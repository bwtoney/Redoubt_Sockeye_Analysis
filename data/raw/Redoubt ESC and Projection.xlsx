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992f22008f4fcb9/Desktop/Forest Service/RedoubtModeling/data/"/>
    </mc:Choice>
  </mc:AlternateContent>
  <xr:revisionPtr revIDLastSave="3" documentId="8_{1F7B2AEE-DE68-418C-A4D7-DB7119212E5A}" xr6:coauthVersionLast="47" xr6:coauthVersionMax="47" xr10:uidLastSave="{066ABDBB-E282-4FF5-92E2-D202B5A339AE}"/>
  <bookViews>
    <workbookView xWindow="-28920" yWindow="915" windowWidth="29040" windowHeight="15720" activeTab="2" xr2:uid="{00000000-000D-0000-FFFF-FFFF00000000}"/>
  </bookViews>
  <sheets>
    <sheet name="Data Entry - Projections" sheetId="4452" r:id="rId1"/>
    <sheet name="Charts" sheetId="4" r:id="rId2"/>
    <sheet name="HistData" sheetId="4448" r:id="rId3"/>
    <sheet name="Sheet1" sheetId="4453" r:id="rId4"/>
  </sheets>
  <definedNames>
    <definedName name="_Fill" hidden="1">HistData!#REF!</definedName>
    <definedName name="_xlnm.Print_Area" localSheetId="1">Charts!$A$2:$AG$63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T13" i="4448" l="1"/>
  <c r="BV9" i="4448"/>
  <c r="AV18" i="4448"/>
  <c r="N29" i="4452"/>
  <c r="C48" i="4452"/>
  <c r="C46" i="4452" l="1"/>
  <c r="D46" i="4452"/>
  <c r="C12" i="4452" l="1"/>
  <c r="GR6" i="4448"/>
  <c r="GR7" i="4448"/>
  <c r="GR8" i="4448"/>
  <c r="GR9" i="4448"/>
  <c r="GR10" i="4448"/>
  <c r="GR11" i="4448"/>
  <c r="GR12" i="4448"/>
  <c r="GR13" i="4448"/>
  <c r="GR14" i="4448"/>
  <c r="GR15" i="4448"/>
  <c r="GR16" i="4448"/>
  <c r="GR17" i="4448"/>
  <c r="GR18" i="4448"/>
  <c r="GR19" i="4448"/>
  <c r="GR20" i="4448"/>
  <c r="GR21" i="4448"/>
  <c r="GR22" i="4448"/>
  <c r="GR23" i="4448"/>
  <c r="GR24" i="4448"/>
  <c r="GR25" i="4448"/>
  <c r="GR26" i="4448"/>
  <c r="GR27" i="4448"/>
  <c r="GR28" i="4448"/>
  <c r="GR29" i="4448"/>
  <c r="GR30" i="4448"/>
  <c r="GR31" i="4448"/>
  <c r="GR32" i="4448"/>
  <c r="GR33" i="4448"/>
  <c r="GR34" i="4448"/>
  <c r="GR35" i="4448"/>
  <c r="GR36" i="4448"/>
  <c r="GR37" i="4448"/>
  <c r="GR38" i="4448"/>
  <c r="GR39" i="4448"/>
  <c r="GR40" i="4448"/>
  <c r="GR41" i="4448"/>
  <c r="GR42" i="4448"/>
  <c r="GR43" i="4448"/>
  <c r="GR44" i="4448"/>
  <c r="GR45" i="4448"/>
  <c r="GR46" i="4448"/>
  <c r="GR47" i="4448"/>
  <c r="GR48" i="4448"/>
  <c r="GR49" i="4448"/>
  <c r="GR50" i="4448"/>
  <c r="GR51" i="4448"/>
  <c r="GR52" i="4448"/>
  <c r="GR53" i="4448"/>
  <c r="GR54" i="4448"/>
  <c r="GR55" i="4448"/>
  <c r="GR56" i="4448"/>
  <c r="GR57" i="4448"/>
  <c r="GR58" i="4448"/>
  <c r="GR59" i="4448"/>
  <c r="GR60" i="4448"/>
  <c r="GR61" i="4448"/>
  <c r="GR62" i="4448"/>
  <c r="GR63" i="4448"/>
  <c r="GR64" i="4448"/>
  <c r="GR65" i="4448"/>
  <c r="GR66" i="4448"/>
  <c r="GR67" i="4448"/>
  <c r="GR68" i="4448"/>
  <c r="GR69" i="4448"/>
  <c r="GR70" i="4448"/>
  <c r="GR71" i="4448"/>
  <c r="GR72" i="4448"/>
  <c r="GR73" i="4448"/>
  <c r="GR74" i="4448"/>
  <c r="GR75" i="4448"/>
  <c r="GR76" i="4448"/>
  <c r="GR77" i="4448"/>
  <c r="GR78" i="4448"/>
  <c r="GR79" i="4448"/>
  <c r="GR80" i="4448"/>
  <c r="GR81" i="4448"/>
  <c r="GR82" i="4448"/>
  <c r="GR83" i="4448"/>
  <c r="GR84" i="4448"/>
  <c r="GR85" i="4448"/>
  <c r="GR86" i="4448"/>
  <c r="GR87" i="4448"/>
  <c r="GR88" i="4448"/>
  <c r="GR89" i="4448"/>
  <c r="GR90" i="4448"/>
  <c r="GR91" i="4448"/>
  <c r="GR92" i="4448"/>
  <c r="GR93" i="4448"/>
  <c r="GR94" i="4448"/>
  <c r="GR95" i="4448"/>
  <c r="GR96" i="4448"/>
  <c r="GR97" i="4448"/>
  <c r="GR98" i="4448"/>
  <c r="GR99" i="4448"/>
  <c r="GR100" i="4448"/>
  <c r="GR101" i="4448"/>
  <c r="GR102" i="4448"/>
  <c r="GR5" i="4448"/>
  <c r="GQ6" i="4448"/>
  <c r="GQ7" i="4448"/>
  <c r="GQ8" i="4448"/>
  <c r="GQ9" i="4448"/>
  <c r="GQ10" i="4448"/>
  <c r="GQ11" i="4448"/>
  <c r="GQ12" i="4448"/>
  <c r="GQ13" i="4448"/>
  <c r="GQ14" i="4448"/>
  <c r="GQ15" i="4448"/>
  <c r="GQ16" i="4448"/>
  <c r="GQ17" i="4448"/>
  <c r="GQ18" i="4448"/>
  <c r="GQ19" i="4448"/>
  <c r="GQ20" i="4448"/>
  <c r="GQ21" i="4448"/>
  <c r="GQ22" i="4448"/>
  <c r="GQ23" i="4448"/>
  <c r="GQ24" i="4448"/>
  <c r="GQ25" i="4448"/>
  <c r="GQ26" i="4448"/>
  <c r="GQ27" i="4448"/>
  <c r="GQ28" i="4448"/>
  <c r="GQ29" i="4448"/>
  <c r="GQ30" i="4448"/>
  <c r="GQ31" i="4448"/>
  <c r="GQ32" i="4448"/>
  <c r="GQ33" i="4448"/>
  <c r="GQ34" i="4448"/>
  <c r="GQ35" i="4448"/>
  <c r="GQ36" i="4448"/>
  <c r="GQ37" i="4448"/>
  <c r="GQ38" i="4448"/>
  <c r="GQ39" i="4448"/>
  <c r="GQ40" i="4448"/>
  <c r="GQ41" i="4448"/>
  <c r="GQ42" i="4448"/>
  <c r="GQ43" i="4448"/>
  <c r="GQ44" i="4448"/>
  <c r="GQ45" i="4448"/>
  <c r="GQ46" i="4448"/>
  <c r="GQ47" i="4448"/>
  <c r="GQ48" i="4448"/>
  <c r="GQ49" i="4448"/>
  <c r="GQ50" i="4448"/>
  <c r="GQ51" i="4448"/>
  <c r="GQ52" i="4448"/>
  <c r="GQ53" i="4448"/>
  <c r="GQ54" i="4448"/>
  <c r="GQ55" i="4448"/>
  <c r="GQ56" i="4448"/>
  <c r="GQ57" i="4448"/>
  <c r="GQ58" i="4448"/>
  <c r="GQ59" i="4448"/>
  <c r="GQ60" i="4448"/>
  <c r="GQ61" i="4448"/>
  <c r="GQ62" i="4448"/>
  <c r="GQ63" i="4448"/>
  <c r="GQ64" i="4448"/>
  <c r="GQ65" i="4448"/>
  <c r="GQ66" i="4448"/>
  <c r="GQ67" i="4448"/>
  <c r="GQ68" i="4448"/>
  <c r="GQ69" i="4448"/>
  <c r="GQ70" i="4448"/>
  <c r="GQ71" i="4448"/>
  <c r="GQ72" i="4448"/>
  <c r="GQ73" i="4448"/>
  <c r="GQ74" i="4448"/>
  <c r="GQ75" i="4448"/>
  <c r="GQ76" i="4448"/>
  <c r="GQ77" i="4448"/>
  <c r="GQ78" i="4448"/>
  <c r="GQ79" i="4448"/>
  <c r="GQ80" i="4448"/>
  <c r="GQ81" i="4448"/>
  <c r="GQ82" i="4448"/>
  <c r="GQ83" i="4448"/>
  <c r="GQ84" i="4448"/>
  <c r="GQ85" i="4448"/>
  <c r="GQ86" i="4448"/>
  <c r="GQ87" i="4448"/>
  <c r="GQ88" i="4448"/>
  <c r="GQ89" i="4448"/>
  <c r="GQ90" i="4448"/>
  <c r="GQ91" i="4448"/>
  <c r="GQ92" i="4448"/>
  <c r="GQ93" i="4448"/>
  <c r="GQ94" i="4448"/>
  <c r="GQ95" i="4448"/>
  <c r="GQ96" i="4448"/>
  <c r="GQ97" i="4448"/>
  <c r="GQ98" i="4448"/>
  <c r="GQ99" i="4448"/>
  <c r="GQ100" i="4448"/>
  <c r="GQ101" i="4448"/>
  <c r="GQ102" i="4448"/>
  <c r="GQ5" i="4448"/>
  <c r="GP44" i="4448"/>
  <c r="GP6" i="4448"/>
  <c r="GP7" i="4448"/>
  <c r="GP8" i="4448"/>
  <c r="GP9" i="4448"/>
  <c r="GP10" i="4448"/>
  <c r="GP11" i="4448"/>
  <c r="GP12" i="4448"/>
  <c r="GP13" i="4448"/>
  <c r="GP14" i="4448"/>
  <c r="GP15" i="4448"/>
  <c r="GP16" i="4448"/>
  <c r="GP17" i="4448"/>
  <c r="GP18" i="4448"/>
  <c r="GP19" i="4448"/>
  <c r="GP20" i="4448"/>
  <c r="GP21" i="4448"/>
  <c r="GP22" i="4448"/>
  <c r="GP23" i="4448"/>
  <c r="GP24" i="4448"/>
  <c r="GP25" i="4448"/>
  <c r="GP26" i="4448"/>
  <c r="GP27" i="4448"/>
  <c r="GP28" i="4448"/>
  <c r="GP29" i="4448"/>
  <c r="GP30" i="4448"/>
  <c r="GP31" i="4448"/>
  <c r="GP32" i="4448"/>
  <c r="GP33" i="4448"/>
  <c r="GP34" i="4448"/>
  <c r="GP35" i="4448"/>
  <c r="GP36" i="4448"/>
  <c r="GP37" i="4448"/>
  <c r="GP38" i="4448"/>
  <c r="GP39" i="4448"/>
  <c r="GP40" i="4448"/>
  <c r="GP41" i="4448"/>
  <c r="GP42" i="4448"/>
  <c r="GP43" i="4448"/>
  <c r="GP45" i="4448"/>
  <c r="GP46" i="4448"/>
  <c r="GP47" i="4448"/>
  <c r="GP48" i="4448"/>
  <c r="GP49" i="4448"/>
  <c r="GP50" i="4448"/>
  <c r="GP51" i="4448"/>
  <c r="GP52" i="4448"/>
  <c r="GP53" i="4448"/>
  <c r="GP54" i="4448"/>
  <c r="GP55" i="4448"/>
  <c r="GP56" i="4448"/>
  <c r="GP57" i="4448"/>
  <c r="GP58" i="4448"/>
  <c r="GP59" i="4448"/>
  <c r="GP60" i="4448"/>
  <c r="GP61" i="4448"/>
  <c r="GP62" i="4448"/>
  <c r="GP63" i="4448"/>
  <c r="GP64" i="4448"/>
  <c r="GP65" i="4448"/>
  <c r="GP66" i="4448"/>
  <c r="GP67" i="4448"/>
  <c r="GP68" i="4448"/>
  <c r="GP69" i="4448"/>
  <c r="GP70" i="4448"/>
  <c r="GP71" i="4448"/>
  <c r="GP72" i="4448"/>
  <c r="GP73" i="4448"/>
  <c r="GP74" i="4448"/>
  <c r="GP75" i="4448"/>
  <c r="GP76" i="4448"/>
  <c r="GP77" i="4448"/>
  <c r="GP78" i="4448"/>
  <c r="GP79" i="4448"/>
  <c r="GP80" i="4448"/>
  <c r="GP81" i="4448"/>
  <c r="GP82" i="4448"/>
  <c r="GP83" i="4448"/>
  <c r="GP84" i="4448"/>
  <c r="GP85" i="4448"/>
  <c r="GP86" i="4448"/>
  <c r="GP87" i="4448"/>
  <c r="GP88" i="4448"/>
  <c r="GP89" i="4448"/>
  <c r="GP90" i="4448"/>
  <c r="GP91" i="4448"/>
  <c r="GP92" i="4448"/>
  <c r="GP93" i="4448"/>
  <c r="GP94" i="4448"/>
  <c r="GP95" i="4448"/>
  <c r="GP96" i="4448"/>
  <c r="GP97" i="4448"/>
  <c r="GP98" i="4448"/>
  <c r="GP99" i="4448"/>
  <c r="GP100" i="4448"/>
  <c r="GP101" i="4448"/>
  <c r="GP102" i="4448"/>
  <c r="GP103" i="4448"/>
  <c r="GP5" i="4448"/>
  <c r="GO5" i="4448"/>
  <c r="ES6" i="4448"/>
  <c r="ES7" i="4448"/>
  <c r="ES8" i="4448"/>
  <c r="ES9" i="4448"/>
  <c r="ES10" i="4448"/>
  <c r="ES11" i="4448"/>
  <c r="ES12" i="4448"/>
  <c r="ES13" i="4448"/>
  <c r="ES14" i="4448"/>
  <c r="ES15" i="4448"/>
  <c r="ES16" i="4448"/>
  <c r="ES17" i="4448"/>
  <c r="ES18" i="4448"/>
  <c r="ES19" i="4448"/>
  <c r="ES20" i="4448"/>
  <c r="ES21" i="4448"/>
  <c r="ES22" i="4448"/>
  <c r="ES23" i="4448"/>
  <c r="ES24" i="4448"/>
  <c r="ES25" i="4448"/>
  <c r="ES26" i="4448"/>
  <c r="ES27" i="4448"/>
  <c r="ES28" i="4448"/>
  <c r="ES29" i="4448"/>
  <c r="ES30" i="4448"/>
  <c r="ES31" i="4448"/>
  <c r="ES32" i="4448"/>
  <c r="ES33" i="4448"/>
  <c r="ES34" i="4448"/>
  <c r="ES35" i="4448"/>
  <c r="ES36" i="4448"/>
  <c r="ES37" i="4448"/>
  <c r="ES38" i="4448"/>
  <c r="ES39" i="4448"/>
  <c r="ES40" i="4448"/>
  <c r="ES41" i="4448"/>
  <c r="ES42" i="4448"/>
  <c r="ES43" i="4448"/>
  <c r="ES44" i="4448"/>
  <c r="ES45" i="4448"/>
  <c r="ES46" i="4448"/>
  <c r="ES47" i="4448"/>
  <c r="ES48" i="4448"/>
  <c r="ES49" i="4448"/>
  <c r="ES50" i="4448"/>
  <c r="ES51" i="4448"/>
  <c r="ES52" i="4448"/>
  <c r="ES53" i="4448"/>
  <c r="ES54" i="4448"/>
  <c r="ES55" i="4448"/>
  <c r="ES56" i="4448"/>
  <c r="ES57" i="4448"/>
  <c r="ES58" i="4448"/>
  <c r="ES59" i="4448"/>
  <c r="ES60" i="4448"/>
  <c r="ES61" i="4448"/>
  <c r="ES62" i="4448"/>
  <c r="ES63" i="4448"/>
  <c r="ES64" i="4448"/>
  <c r="ES65" i="4448"/>
  <c r="ES66" i="4448"/>
  <c r="ES67" i="4448"/>
  <c r="ES68" i="4448"/>
  <c r="ES69" i="4448"/>
  <c r="ES70" i="4448"/>
  <c r="ES71" i="4448"/>
  <c r="ES72" i="4448"/>
  <c r="ES73" i="4448"/>
  <c r="ES74" i="4448"/>
  <c r="ES75" i="4448"/>
  <c r="ES76" i="4448"/>
  <c r="ES77" i="4448"/>
  <c r="ES78" i="4448"/>
  <c r="ES79" i="4448"/>
  <c r="ES80" i="4448"/>
  <c r="ES81" i="4448"/>
  <c r="ES82" i="4448"/>
  <c r="ES83" i="4448"/>
  <c r="ES84" i="4448"/>
  <c r="ES85" i="4448"/>
  <c r="ES86" i="4448"/>
  <c r="ES87" i="4448"/>
  <c r="ES88" i="4448"/>
  <c r="ES89" i="4448"/>
  <c r="ES90" i="4448"/>
  <c r="ES91" i="4448"/>
  <c r="ES92" i="4448"/>
  <c r="ES93" i="4448"/>
  <c r="ES94" i="4448"/>
  <c r="ES95" i="4448"/>
  <c r="ES96" i="4448"/>
  <c r="ES97" i="4448"/>
  <c r="ES98" i="4448"/>
  <c r="ES99" i="4448"/>
  <c r="ES100" i="4448"/>
  <c r="ES101" i="4448"/>
  <c r="ES102" i="4448"/>
  <c r="ES5" i="4448"/>
  <c r="ER34" i="4448"/>
  <c r="ER6" i="4448"/>
  <c r="ER7" i="4448"/>
  <c r="ER8" i="4448"/>
  <c r="ER9" i="4448"/>
  <c r="ER10" i="4448"/>
  <c r="ER11" i="4448"/>
  <c r="ER12" i="4448"/>
  <c r="ER13" i="4448"/>
  <c r="ER14" i="4448"/>
  <c r="ER15" i="4448"/>
  <c r="ER16" i="4448"/>
  <c r="ER17" i="4448"/>
  <c r="ER18" i="4448"/>
  <c r="ER19" i="4448"/>
  <c r="ER20" i="4448"/>
  <c r="ER21" i="4448"/>
  <c r="ER22" i="4448"/>
  <c r="ER23" i="4448"/>
  <c r="ER24" i="4448"/>
  <c r="ER25" i="4448"/>
  <c r="ER26" i="4448"/>
  <c r="ER27" i="4448"/>
  <c r="ER28" i="4448"/>
  <c r="ER29" i="4448"/>
  <c r="ER30" i="4448"/>
  <c r="ER31" i="4448"/>
  <c r="ER32" i="4448"/>
  <c r="ER33" i="4448"/>
  <c r="ER35" i="4448"/>
  <c r="ER36" i="4448"/>
  <c r="ER37" i="4448"/>
  <c r="ER38" i="4448"/>
  <c r="ER39" i="4448"/>
  <c r="ER40" i="4448"/>
  <c r="ER41" i="4448"/>
  <c r="ER42" i="4448"/>
  <c r="ER43" i="4448"/>
  <c r="ER44" i="4448"/>
  <c r="ER45" i="4448"/>
  <c r="ER46" i="4448"/>
  <c r="ER47" i="4448"/>
  <c r="ER48" i="4448"/>
  <c r="ER49" i="4448"/>
  <c r="ER50" i="4448"/>
  <c r="ER51" i="4448"/>
  <c r="ER52" i="4448"/>
  <c r="ER53" i="4448"/>
  <c r="ER54" i="4448"/>
  <c r="ER55" i="4448"/>
  <c r="ER56" i="4448"/>
  <c r="ER57" i="4448"/>
  <c r="ER58" i="4448"/>
  <c r="ER59" i="4448"/>
  <c r="ER60" i="4448"/>
  <c r="ER61" i="4448"/>
  <c r="ER62" i="4448"/>
  <c r="ER63" i="4448"/>
  <c r="ER64" i="4448"/>
  <c r="ER65" i="4448"/>
  <c r="ER66" i="4448"/>
  <c r="ER67" i="4448"/>
  <c r="ER68" i="4448"/>
  <c r="ER69" i="4448"/>
  <c r="ER70" i="4448"/>
  <c r="ER71" i="4448"/>
  <c r="ER72" i="4448"/>
  <c r="ER73" i="4448"/>
  <c r="ER74" i="4448"/>
  <c r="ER75" i="4448"/>
  <c r="ER76" i="4448"/>
  <c r="ER77" i="4448"/>
  <c r="ER78" i="4448"/>
  <c r="ER79" i="4448"/>
  <c r="ER80" i="4448"/>
  <c r="ER81" i="4448"/>
  <c r="ER82" i="4448"/>
  <c r="ER83" i="4448"/>
  <c r="ER84" i="4448"/>
  <c r="ER85" i="4448"/>
  <c r="ER86" i="4448"/>
  <c r="ER87" i="4448"/>
  <c r="ER88" i="4448"/>
  <c r="ER89" i="4448"/>
  <c r="ER90" i="4448"/>
  <c r="ER91" i="4448"/>
  <c r="ER92" i="4448"/>
  <c r="ER93" i="4448"/>
  <c r="ER94" i="4448"/>
  <c r="ER95" i="4448"/>
  <c r="ER96" i="4448"/>
  <c r="ER97" i="4448"/>
  <c r="ER98" i="4448"/>
  <c r="ER99" i="4448"/>
  <c r="ER100" i="4448"/>
  <c r="ER101" i="4448"/>
  <c r="ER102" i="4448"/>
  <c r="ER5" i="4448"/>
  <c r="EQ5" i="4448"/>
  <c r="EQ6" i="4448"/>
  <c r="EQ7" i="4448" s="1"/>
  <c r="EQ8" i="4448" s="1"/>
  <c r="EQ9" i="4448" s="1"/>
  <c r="EQ10" i="4448" s="1"/>
  <c r="EQ11" i="4448" s="1"/>
  <c r="EQ12" i="4448" s="1"/>
  <c r="EQ13" i="4448" s="1"/>
  <c r="EQ14" i="4448" s="1"/>
  <c r="EQ15" i="4448" s="1"/>
  <c r="EQ16" i="4448" s="1"/>
  <c r="EQ17" i="4448" s="1"/>
  <c r="EQ18" i="4448" s="1"/>
  <c r="EQ19" i="4448" s="1"/>
  <c r="EQ20" i="4448" s="1"/>
  <c r="EQ21" i="4448" s="1"/>
  <c r="EQ22" i="4448" s="1"/>
  <c r="EQ23" i="4448" s="1"/>
  <c r="EQ24" i="4448" s="1"/>
  <c r="EQ25" i="4448" s="1"/>
  <c r="EQ26" i="4448" s="1"/>
  <c r="EQ27" i="4448" s="1"/>
  <c r="EQ28" i="4448" s="1"/>
  <c r="EQ29" i="4448" s="1"/>
  <c r="EQ30" i="4448" s="1"/>
  <c r="EQ31" i="4448" s="1"/>
  <c r="EQ32" i="4448" s="1"/>
  <c r="EQ33" i="4448" s="1"/>
  <c r="EQ34" i="4448" s="1"/>
  <c r="EQ35" i="4448" s="1"/>
  <c r="EQ36" i="4448" s="1"/>
  <c r="EQ37" i="4448" s="1"/>
  <c r="EQ38" i="4448" s="1"/>
  <c r="EQ39" i="4448" s="1"/>
  <c r="EQ40" i="4448" s="1"/>
  <c r="EQ41" i="4448" s="1"/>
  <c r="EQ42" i="4448" s="1"/>
  <c r="EQ43" i="4448" s="1"/>
  <c r="EQ44" i="4448" s="1"/>
  <c r="EQ45" i="4448" s="1"/>
  <c r="EQ46" i="4448" s="1"/>
  <c r="EQ47" i="4448" s="1"/>
  <c r="EQ48" i="4448" s="1"/>
  <c r="EQ49" i="4448" s="1"/>
  <c r="EQ50" i="4448" s="1"/>
  <c r="EQ51" i="4448" s="1"/>
  <c r="EQ52" i="4448" s="1"/>
  <c r="EQ53" i="4448" s="1"/>
  <c r="EQ54" i="4448" s="1"/>
  <c r="EQ55" i="4448" s="1"/>
  <c r="EQ56" i="4448" s="1"/>
  <c r="EQ57" i="4448" s="1"/>
  <c r="EQ58" i="4448" s="1"/>
  <c r="EQ59" i="4448" s="1"/>
  <c r="EQ60" i="4448" s="1"/>
  <c r="EQ61" i="4448" s="1"/>
  <c r="EQ62" i="4448" s="1"/>
  <c r="EQ63" i="4448" s="1"/>
  <c r="EQ64" i="4448" s="1"/>
  <c r="EQ65" i="4448" s="1"/>
  <c r="EQ66" i="4448" s="1"/>
  <c r="EQ67" i="4448" s="1"/>
  <c r="EQ68" i="4448" s="1"/>
  <c r="EQ69" i="4448" s="1"/>
  <c r="EQ70" i="4448" s="1"/>
  <c r="EQ71" i="4448" s="1"/>
  <c r="EQ72" i="4448" s="1"/>
  <c r="EQ73" i="4448" s="1"/>
  <c r="EQ74" i="4448" s="1"/>
  <c r="EQ75" i="4448" s="1"/>
  <c r="EQ76" i="4448" s="1"/>
  <c r="EQ77" i="4448" s="1"/>
  <c r="EQ78" i="4448" s="1"/>
  <c r="EQ79" i="4448" s="1"/>
  <c r="EQ80" i="4448" s="1"/>
  <c r="EQ81" i="4448" s="1"/>
  <c r="EQ82" i="4448" s="1"/>
  <c r="EQ83" i="4448" s="1"/>
  <c r="EQ84" i="4448" s="1"/>
  <c r="EQ85" i="4448" s="1"/>
  <c r="EQ86" i="4448" s="1"/>
  <c r="EQ87" i="4448" s="1"/>
  <c r="EQ88" i="4448" s="1"/>
  <c r="EQ89" i="4448" s="1"/>
  <c r="EQ90" i="4448" s="1"/>
  <c r="EQ91" i="4448" s="1"/>
  <c r="EQ92" i="4448" s="1"/>
  <c r="EQ93" i="4448" s="1"/>
  <c r="EQ94" i="4448" s="1"/>
  <c r="EQ95" i="4448" s="1"/>
  <c r="EQ96" i="4448" s="1"/>
  <c r="EQ97" i="4448" s="1"/>
  <c r="EQ98" i="4448" s="1"/>
  <c r="EQ99" i="4448" s="1"/>
  <c r="EQ100" i="4448" s="1"/>
  <c r="EQ101" i="4448" s="1"/>
  <c r="EQ102" i="4448" s="1"/>
  <c r="EP5" i="4448"/>
  <c r="CU6" i="4448"/>
  <c r="CU7" i="4448" s="1"/>
  <c r="CU8" i="4448" s="1"/>
  <c r="CU9" i="4448" s="1"/>
  <c r="CU10" i="4448" s="1"/>
  <c r="CU11" i="4448" s="1"/>
  <c r="CU12" i="4448" s="1"/>
  <c r="CU13" i="4448" s="1"/>
  <c r="CU14" i="4448" s="1"/>
  <c r="CU15" i="4448" s="1"/>
  <c r="CU16" i="4448" s="1"/>
  <c r="CU17" i="4448" s="1"/>
  <c r="CU18" i="4448" s="1"/>
  <c r="CU19" i="4448" s="1"/>
  <c r="CU20" i="4448" s="1"/>
  <c r="CU21" i="4448" s="1"/>
  <c r="CU22" i="4448" s="1"/>
  <c r="CU23" i="4448" s="1"/>
  <c r="CU24" i="4448" s="1"/>
  <c r="CU25" i="4448" s="1"/>
  <c r="CU26" i="4448" s="1"/>
  <c r="CU27" i="4448" s="1"/>
  <c r="CU28" i="4448" s="1"/>
  <c r="CU29" i="4448" s="1"/>
  <c r="CU30" i="4448" s="1"/>
  <c r="CU31" i="4448" s="1"/>
  <c r="CU32" i="4448" s="1"/>
  <c r="CU33" i="4448" s="1"/>
  <c r="CU34" i="4448" s="1"/>
  <c r="CU35" i="4448" s="1"/>
  <c r="CU36" i="4448" s="1"/>
  <c r="CU37" i="4448" s="1"/>
  <c r="CU38" i="4448" s="1"/>
  <c r="CU39" i="4448" s="1"/>
  <c r="CU40" i="4448" s="1"/>
  <c r="CU41" i="4448" s="1"/>
  <c r="CU42" i="4448" s="1"/>
  <c r="CU43" i="4448" s="1"/>
  <c r="CU44" i="4448" s="1"/>
  <c r="CU45" i="4448" s="1"/>
  <c r="CU46" i="4448" s="1"/>
  <c r="CU47" i="4448" s="1"/>
  <c r="CU48" i="4448" s="1"/>
  <c r="CU49" i="4448" s="1"/>
  <c r="CU50" i="4448" s="1"/>
  <c r="CU51" i="4448" s="1"/>
  <c r="CU52" i="4448" s="1"/>
  <c r="CU53" i="4448" s="1"/>
  <c r="CU54" i="4448" s="1"/>
  <c r="CU55" i="4448" s="1"/>
  <c r="CU56" i="4448" s="1"/>
  <c r="CU57" i="4448" s="1"/>
  <c r="CU58" i="4448" s="1"/>
  <c r="CU59" i="4448" s="1"/>
  <c r="CU60" i="4448" s="1"/>
  <c r="CU61" i="4448" s="1"/>
  <c r="CU62" i="4448" s="1"/>
  <c r="CU63" i="4448" s="1"/>
  <c r="CU64" i="4448" s="1"/>
  <c r="CU65" i="4448" s="1"/>
  <c r="CU66" i="4448" s="1"/>
  <c r="CU67" i="4448" s="1"/>
  <c r="CU68" i="4448" s="1"/>
  <c r="CU69" i="4448" s="1"/>
  <c r="CU70" i="4448" s="1"/>
  <c r="CU71" i="4448" s="1"/>
  <c r="CU72" i="4448" s="1"/>
  <c r="CU73" i="4448" s="1"/>
  <c r="CU74" i="4448" s="1"/>
  <c r="CU75" i="4448" s="1"/>
  <c r="CU76" i="4448" s="1"/>
  <c r="CU77" i="4448" s="1"/>
  <c r="CU78" i="4448" s="1"/>
  <c r="CU79" i="4448" s="1"/>
  <c r="CU80" i="4448" s="1"/>
  <c r="CU81" i="4448" s="1"/>
  <c r="CU82" i="4448" s="1"/>
  <c r="CU83" i="4448" s="1"/>
  <c r="CU84" i="4448" s="1"/>
  <c r="CU85" i="4448" s="1"/>
  <c r="CU86" i="4448" s="1"/>
  <c r="CU87" i="4448" s="1"/>
  <c r="CU88" i="4448" s="1"/>
  <c r="CU89" i="4448" s="1"/>
  <c r="CU90" i="4448" s="1"/>
  <c r="CU91" i="4448" s="1"/>
  <c r="CU92" i="4448" s="1"/>
  <c r="CU93" i="4448" s="1"/>
  <c r="CU94" i="4448" s="1"/>
  <c r="CU95" i="4448" s="1"/>
  <c r="CU96" i="4448" s="1"/>
  <c r="CU97" i="4448" s="1"/>
  <c r="CU98" i="4448" s="1"/>
  <c r="CU99" i="4448" s="1"/>
  <c r="CU100" i="4448" s="1"/>
  <c r="CU101" i="4448" s="1"/>
  <c r="CU102" i="4448" s="1"/>
  <c r="CU5" i="4448"/>
  <c r="CT6" i="4448"/>
  <c r="CT7" i="4448" s="1"/>
  <c r="CT8" i="4448" s="1"/>
  <c r="CT9" i="4448" s="1"/>
  <c r="CT10" i="4448" s="1"/>
  <c r="CT11" i="4448" s="1"/>
  <c r="CT12" i="4448" s="1"/>
  <c r="CT14" i="4448" s="1"/>
  <c r="CT15" i="4448" s="1"/>
  <c r="CT16" i="4448" s="1"/>
  <c r="CT17" i="4448" s="1"/>
  <c r="CT18" i="4448" s="1"/>
  <c r="CT19" i="4448" s="1"/>
  <c r="CT20" i="4448" s="1"/>
  <c r="CT21" i="4448" s="1"/>
  <c r="CT22" i="4448" s="1"/>
  <c r="CT23" i="4448" s="1"/>
  <c r="CT24" i="4448" s="1"/>
  <c r="CT25" i="4448" s="1"/>
  <c r="CT26" i="4448" s="1"/>
  <c r="CT27" i="4448" s="1"/>
  <c r="CT28" i="4448" s="1"/>
  <c r="CT29" i="4448" s="1"/>
  <c r="CT30" i="4448" s="1"/>
  <c r="CT31" i="4448" s="1"/>
  <c r="CT32" i="4448" s="1"/>
  <c r="CT33" i="4448" s="1"/>
  <c r="CT34" i="4448" s="1"/>
  <c r="CT35" i="4448" s="1"/>
  <c r="CT36" i="4448" s="1"/>
  <c r="CT37" i="4448" s="1"/>
  <c r="CT38" i="4448" s="1"/>
  <c r="CT39" i="4448" s="1"/>
  <c r="CT40" i="4448" s="1"/>
  <c r="CT41" i="4448" s="1"/>
  <c r="CT42" i="4448" s="1"/>
  <c r="CT43" i="4448" s="1"/>
  <c r="CT44" i="4448" s="1"/>
  <c r="CT45" i="4448" s="1"/>
  <c r="CT46" i="4448" s="1"/>
  <c r="CT47" i="4448" s="1"/>
  <c r="CT48" i="4448" s="1"/>
  <c r="CT49" i="4448" s="1"/>
  <c r="CT50" i="4448" s="1"/>
  <c r="CT51" i="4448" s="1"/>
  <c r="CT52" i="4448" s="1"/>
  <c r="CT53" i="4448" s="1"/>
  <c r="CT54" i="4448" s="1"/>
  <c r="CT55" i="4448" s="1"/>
  <c r="CT56" i="4448" s="1"/>
  <c r="CT57" i="4448" s="1"/>
  <c r="CT58" i="4448" s="1"/>
  <c r="CT59" i="4448" s="1"/>
  <c r="CT60" i="4448" s="1"/>
  <c r="CT61" i="4448" s="1"/>
  <c r="CT62" i="4448" s="1"/>
  <c r="CT63" i="4448" s="1"/>
  <c r="CT64" i="4448" s="1"/>
  <c r="CT65" i="4448" s="1"/>
  <c r="CT66" i="4448" s="1"/>
  <c r="CT67" i="4448" s="1"/>
  <c r="CT68" i="4448" s="1"/>
  <c r="CT69" i="4448" s="1"/>
  <c r="CT70" i="4448" s="1"/>
  <c r="CT71" i="4448" s="1"/>
  <c r="CT72" i="4448" s="1"/>
  <c r="CT73" i="4448" s="1"/>
  <c r="CT74" i="4448" s="1"/>
  <c r="CT75" i="4448" s="1"/>
  <c r="CT76" i="4448" s="1"/>
  <c r="CT77" i="4448" s="1"/>
  <c r="CT78" i="4448" s="1"/>
  <c r="CT79" i="4448" s="1"/>
  <c r="CT80" i="4448" s="1"/>
  <c r="CT81" i="4448" s="1"/>
  <c r="CT82" i="4448" s="1"/>
  <c r="CT83" i="4448" s="1"/>
  <c r="CT84" i="4448" s="1"/>
  <c r="CT85" i="4448" s="1"/>
  <c r="CT86" i="4448" s="1"/>
  <c r="CT87" i="4448" s="1"/>
  <c r="CT88" i="4448" s="1"/>
  <c r="CT89" i="4448" s="1"/>
  <c r="CT90" i="4448" s="1"/>
  <c r="CT91" i="4448" s="1"/>
  <c r="CT92" i="4448" s="1"/>
  <c r="CT93" i="4448" s="1"/>
  <c r="CT94" i="4448" s="1"/>
  <c r="CT95" i="4448" s="1"/>
  <c r="CT96" i="4448" s="1"/>
  <c r="CT97" i="4448" s="1"/>
  <c r="CT98" i="4448" s="1"/>
  <c r="CT99" i="4448" s="1"/>
  <c r="CT100" i="4448" s="1"/>
  <c r="CT101" i="4448" s="1"/>
  <c r="CT102" i="4448" s="1"/>
  <c r="CT5" i="4448"/>
  <c r="CS6" i="4448"/>
  <c r="CS7" i="4448"/>
  <c r="CS8" i="4448"/>
  <c r="CS9" i="4448"/>
  <c r="CS10" i="4448"/>
  <c r="CS11" i="4448"/>
  <c r="CS12" i="4448"/>
  <c r="CS13" i="4448"/>
  <c r="CS14" i="4448"/>
  <c r="CS15" i="4448"/>
  <c r="CS16" i="4448"/>
  <c r="CS17" i="4448"/>
  <c r="CS18" i="4448"/>
  <c r="CS19" i="4448"/>
  <c r="CS20" i="4448"/>
  <c r="CS21" i="4448"/>
  <c r="CS22" i="4448"/>
  <c r="CS23" i="4448"/>
  <c r="CS24" i="4448"/>
  <c r="CS25" i="4448"/>
  <c r="CS26" i="4448"/>
  <c r="CS27" i="4448"/>
  <c r="CS28" i="4448"/>
  <c r="CS29" i="4448"/>
  <c r="CS30" i="4448"/>
  <c r="CS31" i="4448"/>
  <c r="CS32" i="4448"/>
  <c r="CS33" i="4448"/>
  <c r="CS34" i="4448"/>
  <c r="CS35" i="4448"/>
  <c r="CS36" i="4448"/>
  <c r="CS37" i="4448"/>
  <c r="CS38" i="4448"/>
  <c r="CS39" i="4448"/>
  <c r="CS40" i="4448"/>
  <c r="CS41" i="4448"/>
  <c r="CS42" i="4448"/>
  <c r="CS43" i="4448"/>
  <c r="CS44" i="4448"/>
  <c r="CS45" i="4448"/>
  <c r="CS46" i="4448"/>
  <c r="CS47" i="4448"/>
  <c r="CS48" i="4448"/>
  <c r="CS49" i="4448"/>
  <c r="CS50" i="4448"/>
  <c r="CS51" i="4448"/>
  <c r="CS52" i="4448"/>
  <c r="CS53" i="4448"/>
  <c r="CS54" i="4448"/>
  <c r="CS55" i="4448"/>
  <c r="CS56" i="4448"/>
  <c r="CS57" i="4448"/>
  <c r="CS58" i="4448"/>
  <c r="CS59" i="4448"/>
  <c r="CS60" i="4448"/>
  <c r="CS61" i="4448"/>
  <c r="CS62" i="4448"/>
  <c r="CS63" i="4448"/>
  <c r="CS64" i="4448"/>
  <c r="CS65" i="4448"/>
  <c r="CS66" i="4448"/>
  <c r="CS67" i="4448"/>
  <c r="CS68" i="4448"/>
  <c r="CS69" i="4448"/>
  <c r="CS70" i="4448"/>
  <c r="CS71" i="4448"/>
  <c r="CS72" i="4448"/>
  <c r="CS73" i="4448"/>
  <c r="CS74" i="4448"/>
  <c r="CS75" i="4448"/>
  <c r="CS76" i="4448"/>
  <c r="CS77" i="4448"/>
  <c r="CS78" i="4448"/>
  <c r="CS79" i="4448"/>
  <c r="CS80" i="4448"/>
  <c r="CS81" i="4448"/>
  <c r="CS82" i="4448"/>
  <c r="CS83" i="4448"/>
  <c r="CS84" i="4448"/>
  <c r="CS85" i="4448"/>
  <c r="CS86" i="4448"/>
  <c r="CS87" i="4448"/>
  <c r="CS88" i="4448"/>
  <c r="CS89" i="4448"/>
  <c r="CS90" i="4448"/>
  <c r="CS91" i="4448"/>
  <c r="CS92" i="4448"/>
  <c r="CS93" i="4448"/>
  <c r="CS94" i="4448"/>
  <c r="CS95" i="4448"/>
  <c r="CS96" i="4448"/>
  <c r="CS97" i="4448"/>
  <c r="CS98" i="4448"/>
  <c r="CS99" i="4448"/>
  <c r="CS100" i="4448"/>
  <c r="CS101" i="4448"/>
  <c r="CS102" i="4448"/>
  <c r="CS5" i="4448"/>
  <c r="CR5" i="4448"/>
  <c r="AV9" i="4448"/>
  <c r="AV10" i="4448"/>
  <c r="AV11" i="4448"/>
  <c r="AV12" i="4448"/>
  <c r="AV13" i="4448"/>
  <c r="AV14" i="4448"/>
  <c r="AV15" i="4448"/>
  <c r="AV16" i="4448"/>
  <c r="AV17" i="4448"/>
  <c r="AV19" i="4448"/>
  <c r="AV20" i="4448"/>
  <c r="AV21" i="4448"/>
  <c r="AV22" i="4448"/>
  <c r="AV23" i="4448"/>
  <c r="AV24" i="4448"/>
  <c r="AV25" i="4448"/>
  <c r="AV26" i="4448"/>
  <c r="AV27" i="4448"/>
  <c r="AV28" i="4448"/>
  <c r="AV29" i="4448"/>
  <c r="AV30" i="4448"/>
  <c r="AV31" i="4448"/>
  <c r="AV32" i="4448"/>
  <c r="AV33" i="4448"/>
  <c r="AV34" i="4448"/>
  <c r="AV35" i="4448"/>
  <c r="AV36" i="4448"/>
  <c r="AV37" i="4448"/>
  <c r="AV38" i="4448"/>
  <c r="AV39" i="4448"/>
  <c r="AV40" i="4448"/>
  <c r="AV41" i="4448"/>
  <c r="AV42" i="4448"/>
  <c r="AV43" i="4448"/>
  <c r="AV44" i="4448"/>
  <c r="AV45" i="4448"/>
  <c r="AV46" i="4448"/>
  <c r="AV47" i="4448"/>
  <c r="AV48" i="4448"/>
  <c r="AV49" i="4448"/>
  <c r="AV50" i="4448"/>
  <c r="AV51" i="4448"/>
  <c r="AV52" i="4448"/>
  <c r="AV53" i="4448"/>
  <c r="AV54" i="4448"/>
  <c r="AV55" i="4448"/>
  <c r="AV56" i="4448"/>
  <c r="AV57" i="4448"/>
  <c r="AV58" i="4448"/>
  <c r="AV59" i="4448"/>
  <c r="AV60" i="4448"/>
  <c r="AV61" i="4448"/>
  <c r="AV62" i="4448"/>
  <c r="AV63" i="4448"/>
  <c r="AV64" i="4448"/>
  <c r="AV65" i="4448"/>
  <c r="AV66" i="4448"/>
  <c r="AV67" i="4448"/>
  <c r="AV68" i="4448"/>
  <c r="AV69" i="4448"/>
  <c r="AV70" i="4448"/>
  <c r="AV71" i="4448"/>
  <c r="AV72" i="4448"/>
  <c r="AV73" i="4448"/>
  <c r="AV74" i="4448"/>
  <c r="AV75" i="4448"/>
  <c r="AV76" i="4448"/>
  <c r="AV77" i="4448"/>
  <c r="AV78" i="4448"/>
  <c r="AV79" i="4448"/>
  <c r="AV80" i="4448"/>
  <c r="AV81" i="4448"/>
  <c r="AV82" i="4448"/>
  <c r="AV83" i="4448"/>
  <c r="AV84" i="4448"/>
  <c r="AV85" i="4448"/>
  <c r="AV86" i="4448"/>
  <c r="AV87" i="4448"/>
  <c r="AV88" i="4448"/>
  <c r="AV89" i="4448"/>
  <c r="AV90" i="4448"/>
  <c r="AV91" i="4448"/>
  <c r="AV92" i="4448"/>
  <c r="AV93" i="4448"/>
  <c r="AV94" i="4448"/>
  <c r="AV8" i="4448"/>
  <c r="AU104" i="4448"/>
  <c r="EP6" i="4448"/>
  <c r="EO5" i="4448"/>
  <c r="EO6" i="4448" s="1"/>
  <c r="AT104" i="4448"/>
  <c r="CR11" i="4448" s="1"/>
  <c r="AV104" i="4448" l="1"/>
  <c r="CR54" i="4448"/>
  <c r="CR53" i="4448"/>
  <c r="CR52" i="4448"/>
  <c r="CR36" i="4448"/>
  <c r="CR28" i="4448"/>
  <c r="CR35" i="4448"/>
  <c r="CR13" i="4448"/>
  <c r="CR80" i="4448"/>
  <c r="CR10" i="4448"/>
  <c r="CR101" i="4448"/>
  <c r="CR29" i="4448"/>
  <c r="CR77" i="4448"/>
  <c r="CR9" i="4448"/>
  <c r="CR30" i="4448"/>
  <c r="CR76" i="4448"/>
  <c r="CR8" i="4448"/>
  <c r="CR50" i="4448"/>
  <c r="CR14" i="4448"/>
  <c r="CR75" i="4448"/>
  <c r="CR7" i="4448"/>
  <c r="CR102" i="4448"/>
  <c r="CR99" i="4448"/>
  <c r="CR97" i="4448"/>
  <c r="CR95" i="4448"/>
  <c r="CR74" i="4448"/>
  <c r="CR6" i="4448"/>
  <c r="CR32" i="4448"/>
  <c r="CR96" i="4448"/>
  <c r="CR73" i="4448"/>
  <c r="CR31" i="4448"/>
  <c r="CR81" i="4448"/>
  <c r="CR58" i="4448"/>
  <c r="CR51" i="4448"/>
  <c r="CR98" i="4448"/>
  <c r="CR57" i="4448"/>
  <c r="EP7" i="4448"/>
  <c r="CR93" i="4448"/>
  <c r="CR71" i="4448"/>
  <c r="CR48" i="4448"/>
  <c r="CR26" i="4448"/>
  <c r="CR94" i="4448"/>
  <c r="CR25" i="4448"/>
  <c r="CR91" i="4448"/>
  <c r="CR68" i="4448"/>
  <c r="CR46" i="4448"/>
  <c r="CR24" i="4448"/>
  <c r="CR27" i="4448"/>
  <c r="CR92" i="4448"/>
  <c r="CR90" i="4448"/>
  <c r="CR67" i="4448"/>
  <c r="CR45" i="4448"/>
  <c r="CR23" i="4448"/>
  <c r="CR72" i="4448"/>
  <c r="CR89" i="4448"/>
  <c r="CR66" i="4448"/>
  <c r="CR44" i="4448"/>
  <c r="CR22" i="4448"/>
  <c r="CR69" i="4448"/>
  <c r="CR88" i="4448"/>
  <c r="CR65" i="4448"/>
  <c r="CR43" i="4448"/>
  <c r="CR21" i="4448"/>
  <c r="CR70" i="4448"/>
  <c r="CR87" i="4448"/>
  <c r="CR64" i="4448"/>
  <c r="CR42" i="4448"/>
  <c r="CR20" i="4448"/>
  <c r="CR49" i="4448"/>
  <c r="CR47" i="4448"/>
  <c r="CR86" i="4448"/>
  <c r="CR63" i="4448"/>
  <c r="CR41" i="4448"/>
  <c r="CR19" i="4448"/>
  <c r="CR85" i="4448"/>
  <c r="CR62" i="4448"/>
  <c r="CR40" i="4448"/>
  <c r="CR18" i="4448"/>
  <c r="CR84" i="4448"/>
  <c r="CR61" i="4448"/>
  <c r="CR39" i="4448"/>
  <c r="CR17" i="4448"/>
  <c r="CR83" i="4448"/>
  <c r="CR60" i="4448"/>
  <c r="CR38" i="4448"/>
  <c r="CR16" i="4448"/>
  <c r="CR82" i="4448"/>
  <c r="CR59" i="4448"/>
  <c r="CR37" i="4448"/>
  <c r="CR15" i="4448"/>
  <c r="CR79" i="4448"/>
  <c r="CR56" i="4448"/>
  <c r="CR34" i="4448"/>
  <c r="CR12" i="4448"/>
  <c r="CR100" i="4448"/>
  <c r="CR78" i="4448"/>
  <c r="CR55" i="4448"/>
  <c r="CR33" i="4448"/>
  <c r="AW5" i="4448"/>
  <c r="AW6" i="4448" s="1"/>
  <c r="AS104" i="4448"/>
  <c r="C13" i="4452"/>
  <c r="EN5" i="4448"/>
  <c r="AR104" i="4448"/>
  <c r="CP7" i="4448" s="1"/>
  <c r="H84" i="4452"/>
  <c r="EM5" i="4448"/>
  <c r="EL5" i="4448"/>
  <c r="AQ104" i="4448"/>
  <c r="CO93" i="4448" s="1"/>
  <c r="CR104" i="4448" l="1"/>
  <c r="EP8" i="4448"/>
  <c r="CQ28" i="4448"/>
  <c r="CQ7" i="4448"/>
  <c r="CQ6" i="4448"/>
  <c r="CQ5" i="4448"/>
  <c r="EO7" i="4448"/>
  <c r="CQ52" i="4448"/>
  <c r="CQ76" i="4448"/>
  <c r="CQ64" i="4448"/>
  <c r="CO5" i="4448"/>
  <c r="CQ16" i="4448"/>
  <c r="CP81" i="4448"/>
  <c r="CP69" i="4448"/>
  <c r="CQ37" i="4448"/>
  <c r="CQ88" i="4448"/>
  <c r="CQ40" i="4448"/>
  <c r="CP57" i="4448"/>
  <c r="CQ100" i="4448"/>
  <c r="CQ102" i="4448"/>
  <c r="CQ90" i="4448"/>
  <c r="CQ78" i="4448"/>
  <c r="CQ66" i="4448"/>
  <c r="CQ54" i="4448"/>
  <c r="CQ42" i="4448"/>
  <c r="CQ30" i="4448"/>
  <c r="CQ18" i="4448"/>
  <c r="CP93" i="4448"/>
  <c r="CQ101" i="4448"/>
  <c r="CQ89" i="4448"/>
  <c r="CQ77" i="4448"/>
  <c r="CQ65" i="4448"/>
  <c r="CQ53" i="4448"/>
  <c r="CQ41" i="4448"/>
  <c r="CQ29" i="4448"/>
  <c r="CQ17" i="4448"/>
  <c r="CQ99" i="4448"/>
  <c r="CQ87" i="4448"/>
  <c r="CQ75" i="4448"/>
  <c r="CQ63" i="4448"/>
  <c r="CQ51" i="4448"/>
  <c r="CQ39" i="4448"/>
  <c r="CQ27" i="4448"/>
  <c r="CQ15" i="4448"/>
  <c r="CQ74" i="4448"/>
  <c r="CQ50" i="4448"/>
  <c r="CQ14" i="4448"/>
  <c r="CQ98" i="4448"/>
  <c r="CQ86" i="4448"/>
  <c r="CQ62" i="4448"/>
  <c r="CQ38" i="4448"/>
  <c r="CQ26" i="4448"/>
  <c r="CP33" i="4448"/>
  <c r="CQ97" i="4448"/>
  <c r="CQ85" i="4448"/>
  <c r="CQ73" i="4448"/>
  <c r="CQ61" i="4448"/>
  <c r="CQ49" i="4448"/>
  <c r="CQ25" i="4448"/>
  <c r="CQ13" i="4448"/>
  <c r="CP21" i="4448"/>
  <c r="CQ96" i="4448"/>
  <c r="CQ84" i="4448"/>
  <c r="CQ72" i="4448"/>
  <c r="CQ60" i="4448"/>
  <c r="CQ48" i="4448"/>
  <c r="CQ36" i="4448"/>
  <c r="CQ24" i="4448"/>
  <c r="CQ12" i="4448"/>
  <c r="CP9" i="4448"/>
  <c r="CQ95" i="4448"/>
  <c r="CQ83" i="4448"/>
  <c r="CQ71" i="4448"/>
  <c r="CQ59" i="4448"/>
  <c r="CQ47" i="4448"/>
  <c r="CQ35" i="4448"/>
  <c r="CQ23" i="4448"/>
  <c r="CQ11" i="4448"/>
  <c r="CQ94" i="4448"/>
  <c r="CQ82" i="4448"/>
  <c r="CQ70" i="4448"/>
  <c r="CQ58" i="4448"/>
  <c r="CQ46" i="4448"/>
  <c r="CQ34" i="4448"/>
  <c r="CQ22" i="4448"/>
  <c r="CQ10" i="4448"/>
  <c r="CQ93" i="4448"/>
  <c r="CQ81" i="4448"/>
  <c r="CQ69" i="4448"/>
  <c r="CQ57" i="4448"/>
  <c r="CQ45" i="4448"/>
  <c r="CQ33" i="4448"/>
  <c r="CQ21" i="4448"/>
  <c r="CQ9" i="4448"/>
  <c r="CQ92" i="4448"/>
  <c r="CQ80" i="4448"/>
  <c r="CQ68" i="4448"/>
  <c r="CQ56" i="4448"/>
  <c r="CQ44" i="4448"/>
  <c r="CQ32" i="4448"/>
  <c r="CQ20" i="4448"/>
  <c r="CQ8" i="4448"/>
  <c r="CQ91" i="4448"/>
  <c r="CQ79" i="4448"/>
  <c r="CQ67" i="4448"/>
  <c r="CQ55" i="4448"/>
  <c r="CQ43" i="4448"/>
  <c r="CQ31" i="4448"/>
  <c r="CQ19" i="4448"/>
  <c r="CP45" i="4448"/>
  <c r="CP56" i="4448"/>
  <c r="CP43" i="4448"/>
  <c r="CP5" i="4448"/>
  <c r="CP90" i="4448"/>
  <c r="CP78" i="4448"/>
  <c r="CP66" i="4448"/>
  <c r="CP54" i="4448"/>
  <c r="CP42" i="4448"/>
  <c r="CP30" i="4448"/>
  <c r="CP18" i="4448"/>
  <c r="CP6" i="4448"/>
  <c r="CP32" i="4448"/>
  <c r="CP31" i="4448"/>
  <c r="CP101" i="4448"/>
  <c r="CP89" i="4448"/>
  <c r="CP77" i="4448"/>
  <c r="CP65" i="4448"/>
  <c r="CP53" i="4448"/>
  <c r="CP41" i="4448"/>
  <c r="CP29" i="4448"/>
  <c r="CP17" i="4448"/>
  <c r="CP102" i="4448"/>
  <c r="CP8" i="4448"/>
  <c r="CP67" i="4448"/>
  <c r="CP44" i="4448"/>
  <c r="CP19" i="4448"/>
  <c r="CP100" i="4448"/>
  <c r="CP88" i="4448"/>
  <c r="CP76" i="4448"/>
  <c r="CP64" i="4448"/>
  <c r="CP52" i="4448"/>
  <c r="CP40" i="4448"/>
  <c r="CP28" i="4448"/>
  <c r="CP16" i="4448"/>
  <c r="CP99" i="4448"/>
  <c r="CP87" i="4448"/>
  <c r="CP75" i="4448"/>
  <c r="CP63" i="4448"/>
  <c r="CP51" i="4448"/>
  <c r="CP39" i="4448"/>
  <c r="CP27" i="4448"/>
  <c r="CP15" i="4448"/>
  <c r="EN6" i="4448"/>
  <c r="CP80" i="4448"/>
  <c r="CP91" i="4448"/>
  <c r="CP98" i="4448"/>
  <c r="CP86" i="4448"/>
  <c r="CP74" i="4448"/>
  <c r="CP62" i="4448"/>
  <c r="CP50" i="4448"/>
  <c r="CP38" i="4448"/>
  <c r="CP26" i="4448"/>
  <c r="CP14" i="4448"/>
  <c r="CP20" i="4448"/>
  <c r="CP55" i="4448"/>
  <c r="CP97" i="4448"/>
  <c r="CP85" i="4448"/>
  <c r="CP73" i="4448"/>
  <c r="CP61" i="4448"/>
  <c r="CP49" i="4448"/>
  <c r="CP37" i="4448"/>
  <c r="CP25" i="4448"/>
  <c r="CP13" i="4448"/>
  <c r="CP96" i="4448"/>
  <c r="CP84" i="4448"/>
  <c r="CP72" i="4448"/>
  <c r="CP60" i="4448"/>
  <c r="CP48" i="4448"/>
  <c r="CP36" i="4448"/>
  <c r="CP24" i="4448"/>
  <c r="CP12" i="4448"/>
  <c r="CP68" i="4448"/>
  <c r="CP95" i="4448"/>
  <c r="CP83" i="4448"/>
  <c r="CP71" i="4448"/>
  <c r="CP59" i="4448"/>
  <c r="CP47" i="4448"/>
  <c r="CP35" i="4448"/>
  <c r="CP23" i="4448"/>
  <c r="CP11" i="4448"/>
  <c r="CP94" i="4448"/>
  <c r="CP82" i="4448"/>
  <c r="CP70" i="4448"/>
  <c r="CP58" i="4448"/>
  <c r="CP46" i="4448"/>
  <c r="CP34" i="4448"/>
  <c r="CP22" i="4448"/>
  <c r="CP10" i="4448"/>
  <c r="CP92" i="4448"/>
  <c r="CP79" i="4448"/>
  <c r="CO36" i="4448"/>
  <c r="CO96" i="4448"/>
  <c r="EL6" i="4448"/>
  <c r="EM6" i="4448"/>
  <c r="CO24" i="4448"/>
  <c r="CO12" i="4448"/>
  <c r="CO84" i="4448"/>
  <c r="CO11" i="4448"/>
  <c r="CO48" i="4448"/>
  <c r="CO60" i="4448"/>
  <c r="CO72" i="4448"/>
  <c r="CO10" i="4448"/>
  <c r="CO22" i="4448"/>
  <c r="CO34" i="4448"/>
  <c r="CO46" i="4448"/>
  <c r="CO58" i="4448"/>
  <c r="CO70" i="4448"/>
  <c r="CO82" i="4448"/>
  <c r="CO94" i="4448"/>
  <c r="CO23" i="4448"/>
  <c r="CO35" i="4448"/>
  <c r="CO47" i="4448"/>
  <c r="CO59" i="4448"/>
  <c r="CO71" i="4448"/>
  <c r="CO83" i="4448"/>
  <c r="CO95" i="4448"/>
  <c r="CO13" i="4448"/>
  <c r="CO25" i="4448"/>
  <c r="CO37" i="4448"/>
  <c r="CO49" i="4448"/>
  <c r="CO61" i="4448"/>
  <c r="CO73" i="4448"/>
  <c r="CO85" i="4448"/>
  <c r="CO97" i="4448"/>
  <c r="CO14" i="4448"/>
  <c r="CO26" i="4448"/>
  <c r="CO38" i="4448"/>
  <c r="CO50" i="4448"/>
  <c r="CO62" i="4448"/>
  <c r="CO74" i="4448"/>
  <c r="CO86" i="4448"/>
  <c r="CO98" i="4448"/>
  <c r="CO15" i="4448"/>
  <c r="CO27" i="4448"/>
  <c r="CO39" i="4448"/>
  <c r="CO51" i="4448"/>
  <c r="CO63" i="4448"/>
  <c r="CO75" i="4448"/>
  <c r="CO87" i="4448"/>
  <c r="CO99" i="4448"/>
  <c r="CO16" i="4448"/>
  <c r="CO28" i="4448"/>
  <c r="CO40" i="4448"/>
  <c r="CO52" i="4448"/>
  <c r="CO64" i="4448"/>
  <c r="CO76" i="4448"/>
  <c r="CO88" i="4448"/>
  <c r="CO100" i="4448"/>
  <c r="CO17" i="4448"/>
  <c r="CO29" i="4448"/>
  <c r="CO41" i="4448"/>
  <c r="CO53" i="4448"/>
  <c r="CO65" i="4448"/>
  <c r="CO77" i="4448"/>
  <c r="CO89" i="4448"/>
  <c r="CO101" i="4448"/>
  <c r="CO6" i="4448"/>
  <c r="CO18" i="4448"/>
  <c r="CO30" i="4448"/>
  <c r="CO42" i="4448"/>
  <c r="CO54" i="4448"/>
  <c r="CO66" i="4448"/>
  <c r="CO78" i="4448"/>
  <c r="CO90" i="4448"/>
  <c r="CO102" i="4448"/>
  <c r="CO7" i="4448"/>
  <c r="CO19" i="4448"/>
  <c r="CO31" i="4448"/>
  <c r="CO43" i="4448"/>
  <c r="CO55" i="4448"/>
  <c r="CO67" i="4448"/>
  <c r="CO79" i="4448"/>
  <c r="CO91" i="4448"/>
  <c r="CO8" i="4448"/>
  <c r="CO20" i="4448"/>
  <c r="CO32" i="4448"/>
  <c r="CO44" i="4448"/>
  <c r="CO56" i="4448"/>
  <c r="CO68" i="4448"/>
  <c r="CO80" i="4448"/>
  <c r="CO92" i="4448"/>
  <c r="CO9" i="4448"/>
  <c r="CO21" i="4448"/>
  <c r="CO33" i="4448"/>
  <c r="CO45" i="4448"/>
  <c r="CO57" i="4448"/>
  <c r="CO69" i="4448"/>
  <c r="CO81" i="4448"/>
  <c r="CQ104" i="4448" l="1"/>
  <c r="EP9" i="4448"/>
  <c r="EO8" i="4448"/>
  <c r="EN7" i="4448"/>
  <c r="CP104" i="4448"/>
  <c r="EM7" i="4448"/>
  <c r="CO104" i="4448"/>
  <c r="EP10" i="4448" l="1"/>
  <c r="EO9" i="4448"/>
  <c r="EN8" i="4448"/>
  <c r="EM8" i="4448"/>
  <c r="EK5" i="4448"/>
  <c r="AP104" i="4448"/>
  <c r="CN5" i="4448" s="1"/>
  <c r="EP11" i="4448" l="1"/>
  <c r="EO10" i="4448"/>
  <c r="EN9" i="4448"/>
  <c r="EM9" i="4448"/>
  <c r="CN51" i="4448"/>
  <c r="CN102" i="4448"/>
  <c r="CN85" i="4448"/>
  <c r="CN45" i="4448"/>
  <c r="CN50" i="4448"/>
  <c r="CN78" i="4448"/>
  <c r="CN33" i="4448"/>
  <c r="CN54" i="4448"/>
  <c r="CN90" i="4448"/>
  <c r="CN49" i="4448"/>
  <c r="CN81" i="4448"/>
  <c r="CN16" i="4448"/>
  <c r="CN75" i="4448"/>
  <c r="CN27" i="4448"/>
  <c r="CN13" i="4448"/>
  <c r="CN74" i="4448"/>
  <c r="CN26" i="4448"/>
  <c r="CN99" i="4448"/>
  <c r="CN86" i="4448"/>
  <c r="CN42" i="4448"/>
  <c r="CN12" i="4448"/>
  <c r="CN25" i="4448"/>
  <c r="CN11" i="4448"/>
  <c r="CN62" i="4448"/>
  <c r="CN21" i="4448"/>
  <c r="CN73" i="4448"/>
  <c r="CN7" i="4448"/>
  <c r="CN57" i="4448"/>
  <c r="CN17" i="4448"/>
  <c r="CN98" i="4448"/>
  <c r="CN69" i="4448"/>
  <c r="CN39" i="4448"/>
  <c r="CN97" i="4448"/>
  <c r="CN66" i="4448"/>
  <c r="CN38" i="4448"/>
  <c r="CN93" i="4448"/>
  <c r="CN63" i="4448"/>
  <c r="CN37" i="4448"/>
  <c r="CN87" i="4448"/>
  <c r="CN61" i="4448"/>
  <c r="CN30" i="4448"/>
  <c r="CN14" i="4448"/>
  <c r="CN100" i="4448"/>
  <c r="CN88" i="4448"/>
  <c r="CN76" i="4448"/>
  <c r="CN64" i="4448"/>
  <c r="CN52" i="4448"/>
  <c r="CN40" i="4448"/>
  <c r="CN28" i="4448"/>
  <c r="CN96" i="4448"/>
  <c r="CN36" i="4448"/>
  <c r="CN10" i="4448"/>
  <c r="CN72" i="4448"/>
  <c r="CN48" i="4448"/>
  <c r="CN24" i="4448"/>
  <c r="CN9" i="4448"/>
  <c r="CN95" i="4448"/>
  <c r="CN83" i="4448"/>
  <c r="CN71" i="4448"/>
  <c r="CN59" i="4448"/>
  <c r="CN47" i="4448"/>
  <c r="CN35" i="4448"/>
  <c r="CN23" i="4448"/>
  <c r="CN84" i="4448"/>
  <c r="CN60" i="4448"/>
  <c r="CN8" i="4448"/>
  <c r="CN94" i="4448"/>
  <c r="CN82" i="4448"/>
  <c r="CN70" i="4448"/>
  <c r="CN58" i="4448"/>
  <c r="CN46" i="4448"/>
  <c r="CN34" i="4448"/>
  <c r="CN22" i="4448"/>
  <c r="CN6" i="4448"/>
  <c r="CN92" i="4448"/>
  <c r="CN80" i="4448"/>
  <c r="CN68" i="4448"/>
  <c r="CN56" i="4448"/>
  <c r="CN44" i="4448"/>
  <c r="CN32" i="4448"/>
  <c r="CN20" i="4448"/>
  <c r="CN18" i="4448"/>
  <c r="CN91" i="4448"/>
  <c r="CN79" i="4448"/>
  <c r="CN67" i="4448"/>
  <c r="CN55" i="4448"/>
  <c r="CN43" i="4448"/>
  <c r="CN31" i="4448"/>
  <c r="CN19" i="4448"/>
  <c r="CN15" i="4448"/>
  <c r="CN101" i="4448"/>
  <c r="CN89" i="4448"/>
  <c r="CN77" i="4448"/>
  <c r="CN65" i="4448"/>
  <c r="CN53" i="4448"/>
  <c r="CN41" i="4448"/>
  <c r="CN29" i="4448"/>
  <c r="N99" i="4452"/>
  <c r="N100" i="4452"/>
  <c r="N101" i="4452"/>
  <c r="N102" i="4452"/>
  <c r="N103" i="4452"/>
  <c r="N104" i="4452"/>
  <c r="N105" i="4452"/>
  <c r="N106" i="4452"/>
  <c r="N107" i="4452"/>
  <c r="EP12" i="4448" l="1"/>
  <c r="EO11" i="4448"/>
  <c r="EN10" i="4448"/>
  <c r="EM10" i="4448"/>
  <c r="CN104" i="4448"/>
  <c r="EL7" i="4448"/>
  <c r="C99" i="4452"/>
  <c r="C100" i="4452"/>
  <c r="C101" i="4452"/>
  <c r="C102" i="4452"/>
  <c r="C103" i="4452"/>
  <c r="C104" i="4452"/>
  <c r="C105" i="4452"/>
  <c r="C106" i="4452"/>
  <c r="C107" i="4452"/>
  <c r="C14" i="4452"/>
  <c r="EP13" i="4448" l="1"/>
  <c r="EO12" i="4448"/>
  <c r="EN11" i="4448"/>
  <c r="EM11" i="4448"/>
  <c r="C15" i="4452"/>
  <c r="EL8" i="4448"/>
  <c r="J99" i="4452"/>
  <c r="K99" i="4452"/>
  <c r="L99" i="4452"/>
  <c r="J100" i="4452"/>
  <c r="K100" i="4452"/>
  <c r="L100" i="4452"/>
  <c r="J101" i="4452"/>
  <c r="K101" i="4452"/>
  <c r="L101" i="4452"/>
  <c r="J102" i="4452"/>
  <c r="K102" i="4452"/>
  <c r="L102" i="4452"/>
  <c r="J103" i="4452"/>
  <c r="K103" i="4452"/>
  <c r="L103" i="4452"/>
  <c r="J104" i="4452"/>
  <c r="K104" i="4452"/>
  <c r="L104" i="4452"/>
  <c r="J105" i="4452"/>
  <c r="K105" i="4452"/>
  <c r="L105" i="4452"/>
  <c r="J106" i="4452"/>
  <c r="K106" i="4452"/>
  <c r="L106" i="4452"/>
  <c r="J107" i="4452"/>
  <c r="K107" i="4452"/>
  <c r="L107" i="4452"/>
  <c r="H11" i="4452"/>
  <c r="H12" i="4452"/>
  <c r="G100" i="4452"/>
  <c r="H100" i="4452"/>
  <c r="G101" i="4452"/>
  <c r="H101" i="4452"/>
  <c r="G102" i="4452"/>
  <c r="H102" i="4452"/>
  <c r="G103" i="4452"/>
  <c r="H103" i="4452"/>
  <c r="G104" i="4452"/>
  <c r="H104" i="4452"/>
  <c r="G105" i="4452"/>
  <c r="H105" i="4452"/>
  <c r="G106" i="4452"/>
  <c r="H106" i="4452"/>
  <c r="G107" i="4452"/>
  <c r="H107" i="4452"/>
  <c r="DQ105" i="4448"/>
  <c r="EP14" i="4448" l="1"/>
  <c r="EO13" i="4448"/>
  <c r="EN12" i="4448"/>
  <c r="EM12" i="4448"/>
  <c r="C16" i="4452"/>
  <c r="EL9" i="4448"/>
  <c r="CX5" i="4448"/>
  <c r="CX6" i="4448" s="1"/>
  <c r="CX7" i="4448" s="1"/>
  <c r="CY5" i="4448"/>
  <c r="CY6" i="4448" s="1"/>
  <c r="CZ5" i="4448"/>
  <c r="CZ6" i="4448" s="1"/>
  <c r="DA5" i="4448"/>
  <c r="DB5" i="4448"/>
  <c r="DC5" i="4448"/>
  <c r="DD5" i="4448"/>
  <c r="DE5" i="4448"/>
  <c r="DF5" i="4448"/>
  <c r="DF6" i="4448" s="1"/>
  <c r="DG5" i="4448"/>
  <c r="DG6" i="4448" s="1"/>
  <c r="DH5" i="4448"/>
  <c r="DH6" i="4448" s="1"/>
  <c r="DI5" i="4448"/>
  <c r="DJ5" i="4448"/>
  <c r="DJ6" i="4448" s="1"/>
  <c r="DK5" i="4448"/>
  <c r="DK6" i="4448" s="1"/>
  <c r="DL5" i="4448"/>
  <c r="DL6" i="4448" s="1"/>
  <c r="DL7" i="4448" s="1"/>
  <c r="DM5" i="4448"/>
  <c r="DN5" i="4448"/>
  <c r="DO5" i="4448"/>
  <c r="DP5" i="4448"/>
  <c r="DR5" i="4448"/>
  <c r="DS5" i="4448"/>
  <c r="DT5" i="4448"/>
  <c r="DU5" i="4448"/>
  <c r="DV5" i="4448"/>
  <c r="DV6" i="4448" s="1"/>
  <c r="DW5" i="4448"/>
  <c r="DW6" i="4448" s="1"/>
  <c r="DX5" i="4448"/>
  <c r="DX6" i="4448" s="1"/>
  <c r="DY5" i="4448"/>
  <c r="DZ5" i="4448"/>
  <c r="EA5" i="4448"/>
  <c r="EA6" i="4448" s="1"/>
  <c r="EB5" i="4448"/>
  <c r="EC5" i="4448"/>
  <c r="ED5" i="4448"/>
  <c r="EE5" i="4448"/>
  <c r="EF5" i="4448"/>
  <c r="EG5" i="4448"/>
  <c r="EH5" i="4448"/>
  <c r="EI5" i="4448"/>
  <c r="EK6" i="4448"/>
  <c r="EJ5" i="4448"/>
  <c r="H13" i="4452"/>
  <c r="H14" i="4452"/>
  <c r="H16" i="4452"/>
  <c r="H17" i="4452"/>
  <c r="H18" i="4452"/>
  <c r="H19" i="4452"/>
  <c r="H20" i="4452"/>
  <c r="H21" i="4452"/>
  <c r="H22" i="4452"/>
  <c r="H23" i="4452"/>
  <c r="H24" i="4452"/>
  <c r="H25" i="4452"/>
  <c r="H26" i="4452"/>
  <c r="H27" i="4452"/>
  <c r="H28" i="4452"/>
  <c r="H29" i="4452"/>
  <c r="H30" i="4452"/>
  <c r="H31" i="4452"/>
  <c r="H32" i="4452"/>
  <c r="H33" i="4452"/>
  <c r="H34" i="4452"/>
  <c r="H35" i="4452"/>
  <c r="H36" i="4452"/>
  <c r="H37" i="4452"/>
  <c r="H38" i="4452"/>
  <c r="H39" i="4452"/>
  <c r="H40" i="4452"/>
  <c r="H41" i="4452"/>
  <c r="H42" i="4452"/>
  <c r="H43" i="4452"/>
  <c r="H44" i="4452"/>
  <c r="H45" i="4452"/>
  <c r="H46" i="4452"/>
  <c r="H47" i="4452"/>
  <c r="H48" i="4452"/>
  <c r="H49" i="4452"/>
  <c r="H50" i="4452"/>
  <c r="H51" i="4452"/>
  <c r="H52" i="4452"/>
  <c r="H53" i="4452"/>
  <c r="H54" i="4452"/>
  <c r="H55" i="4452"/>
  <c r="H56" i="4452"/>
  <c r="H57" i="4452"/>
  <c r="H58" i="4452"/>
  <c r="H59" i="4452"/>
  <c r="H60" i="4452"/>
  <c r="H61" i="4452"/>
  <c r="H62" i="4452"/>
  <c r="H63" i="4452"/>
  <c r="H64" i="4452"/>
  <c r="H65" i="4452"/>
  <c r="H66" i="4452"/>
  <c r="H67" i="4452"/>
  <c r="H68" i="4452"/>
  <c r="H69" i="4452"/>
  <c r="H70" i="4452"/>
  <c r="H71" i="4452"/>
  <c r="H72" i="4452"/>
  <c r="H73" i="4452"/>
  <c r="H74" i="4452"/>
  <c r="H75" i="4452"/>
  <c r="H76" i="4452"/>
  <c r="H77" i="4452"/>
  <c r="H78" i="4452"/>
  <c r="H79" i="4452"/>
  <c r="H80" i="4452"/>
  <c r="H81" i="4452"/>
  <c r="H82" i="4452"/>
  <c r="H83" i="4452"/>
  <c r="H85" i="4452"/>
  <c r="H86" i="4452"/>
  <c r="H87" i="4452"/>
  <c r="H88" i="4452"/>
  <c r="H89" i="4452"/>
  <c r="H90" i="4452"/>
  <c r="H91" i="4452"/>
  <c r="H92" i="4452"/>
  <c r="H93" i="4452"/>
  <c r="H94" i="4452"/>
  <c r="H95" i="4452"/>
  <c r="H96" i="4452"/>
  <c r="H97" i="4452"/>
  <c r="H98" i="4452"/>
  <c r="H99" i="4452"/>
  <c r="T104" i="4448"/>
  <c r="BR102" i="4448" s="1"/>
  <c r="V104" i="4448"/>
  <c r="BT56" i="4448" s="1"/>
  <c r="W104" i="4448"/>
  <c r="BU81" i="4448" s="1"/>
  <c r="X104" i="4448"/>
  <c r="BV41" i="4448" s="1"/>
  <c r="Y104" i="4448"/>
  <c r="BW68" i="4448" s="1"/>
  <c r="Z104" i="4448"/>
  <c r="BX17" i="4448" s="1"/>
  <c r="AA104" i="4448"/>
  <c r="BY63" i="4448" s="1"/>
  <c r="AB104" i="4448"/>
  <c r="AC104" i="4448"/>
  <c r="CA100" i="4448" s="1"/>
  <c r="AD104" i="4448"/>
  <c r="AE104" i="4448"/>
  <c r="AF104" i="4448"/>
  <c r="AG104" i="4448"/>
  <c r="AH104" i="4448"/>
  <c r="AI104" i="4448"/>
  <c r="AJ104" i="4448"/>
  <c r="AK104" i="4448"/>
  <c r="AL104" i="4448"/>
  <c r="AM104" i="4448"/>
  <c r="AN104" i="4448"/>
  <c r="CL24" i="4448" s="1"/>
  <c r="AO104" i="4448"/>
  <c r="CM5" i="4448" s="1"/>
  <c r="C104" i="4448"/>
  <c r="BA102" i="4448" s="1"/>
  <c r="D104" i="4448"/>
  <c r="BB62" i="4448" s="1"/>
  <c r="E104" i="4448"/>
  <c r="BC8" i="4448" s="1"/>
  <c r="F104" i="4448"/>
  <c r="BD89" i="4448" s="1"/>
  <c r="G104" i="4448"/>
  <c r="BE49" i="4448" s="1"/>
  <c r="H104" i="4448"/>
  <c r="I104" i="4448"/>
  <c r="BG36" i="4448" s="1"/>
  <c r="J104" i="4448"/>
  <c r="BH71" i="4448" s="1"/>
  <c r="K104" i="4448"/>
  <c r="L104" i="4448"/>
  <c r="BJ100" i="4448" s="1"/>
  <c r="M104" i="4448"/>
  <c r="BK15" i="4448" s="1"/>
  <c r="N104" i="4448"/>
  <c r="BL61" i="4448" s="1"/>
  <c r="O104" i="4448"/>
  <c r="BM102" i="4448" s="1"/>
  <c r="P104" i="4448"/>
  <c r="BN80" i="4448" s="1"/>
  <c r="Q104" i="4448"/>
  <c r="R104" i="4448"/>
  <c r="S104" i="4448"/>
  <c r="BQ32" i="4448" s="1"/>
  <c r="B104" i="4448"/>
  <c r="AZ32" i="4448" s="1"/>
  <c r="EP15" i="4448" l="1"/>
  <c r="EF6" i="4448"/>
  <c r="EO14" i="4448"/>
  <c r="EE6" i="4448"/>
  <c r="EE7" i="4448" s="1"/>
  <c r="EN13" i="4448"/>
  <c r="EM13" i="4448"/>
  <c r="EM14" i="4448" s="1"/>
  <c r="C17" i="4452"/>
  <c r="AZ92" i="4448"/>
  <c r="AZ88" i="4448"/>
  <c r="AZ16" i="4448"/>
  <c r="DF7" i="4448"/>
  <c r="EF7" i="4448"/>
  <c r="DG7" i="4448"/>
  <c r="EL10" i="4448"/>
  <c r="CX8" i="4448"/>
  <c r="ED6" i="4448"/>
  <c r="DE6" i="4448"/>
  <c r="AZ60" i="4448"/>
  <c r="DH7" i="4448"/>
  <c r="EC6" i="4448"/>
  <c r="DP6" i="4448"/>
  <c r="DD6" i="4448"/>
  <c r="DR6" i="4448"/>
  <c r="AZ56" i="4448"/>
  <c r="EB6" i="4448"/>
  <c r="EB7" i="4448" s="1"/>
  <c r="DC6" i="4448"/>
  <c r="DS6" i="4448"/>
  <c r="DJ7" i="4448"/>
  <c r="AZ24" i="4448"/>
  <c r="EA7" i="4448"/>
  <c r="DL8" i="4448"/>
  <c r="DK7" i="4448"/>
  <c r="DA6" i="4448"/>
  <c r="BN88" i="4448"/>
  <c r="DW7" i="4448"/>
  <c r="CY7" i="4448"/>
  <c r="DY6" i="4448"/>
  <c r="DZ6" i="4448"/>
  <c r="BD81" i="4448"/>
  <c r="DV7" i="4448"/>
  <c r="DX7" i="4448"/>
  <c r="BU73" i="4448"/>
  <c r="DT6" i="4448"/>
  <c r="EI6" i="4448"/>
  <c r="DM6" i="4448"/>
  <c r="DO6" i="4448"/>
  <c r="EH6" i="4448"/>
  <c r="DI6" i="4448"/>
  <c r="EK7" i="4448"/>
  <c r="CZ7" i="4448"/>
  <c r="EJ6" i="4448"/>
  <c r="DN6" i="4448"/>
  <c r="EG6" i="4448"/>
  <c r="DU6" i="4448"/>
  <c r="BY101" i="4448"/>
  <c r="BN72" i="4448"/>
  <c r="BD97" i="4448"/>
  <c r="BJ66" i="4448"/>
  <c r="BN96" i="4448"/>
  <c r="BN64" i="4448"/>
  <c r="BU57" i="4448"/>
  <c r="H15" i="4452"/>
  <c r="AZ84" i="4448"/>
  <c r="AZ52" i="4448"/>
  <c r="AZ12" i="4448"/>
  <c r="BY95" i="4448"/>
  <c r="BH87" i="4448"/>
  <c r="BH79" i="4448"/>
  <c r="BY71" i="4448"/>
  <c r="BM55" i="4448"/>
  <c r="BI39" i="4448"/>
  <c r="BI47" i="4448"/>
  <c r="BF60" i="4448"/>
  <c r="BF68" i="4448"/>
  <c r="AZ80" i="4448"/>
  <c r="AZ48" i="4448"/>
  <c r="AZ8" i="4448"/>
  <c r="BB94" i="4448"/>
  <c r="BR86" i="4448"/>
  <c r="BR78" i="4448"/>
  <c r="BR62" i="4448"/>
  <c r="BM37" i="4448"/>
  <c r="BP63" i="4448"/>
  <c r="BP101" i="4448"/>
  <c r="BP75" i="4448"/>
  <c r="BT46" i="4448"/>
  <c r="BT27" i="4448"/>
  <c r="AZ76" i="4448"/>
  <c r="AZ44" i="4448"/>
  <c r="BB100" i="4448"/>
  <c r="BL93" i="4448"/>
  <c r="BB86" i="4448"/>
  <c r="BL77" i="4448"/>
  <c r="BL69" i="4448"/>
  <c r="BA35" i="4448"/>
  <c r="BH59" i="4448"/>
  <c r="BH95" i="4448"/>
  <c r="BH63" i="4448"/>
  <c r="BU89" i="4448"/>
  <c r="BU65" i="4448"/>
  <c r="BU101" i="4448"/>
  <c r="BU97" i="4448"/>
  <c r="BD61" i="4448"/>
  <c r="BD65" i="4448"/>
  <c r="BD99" i="4448"/>
  <c r="BD73" i="4448"/>
  <c r="CA62" i="4448"/>
  <c r="CA74" i="4448"/>
  <c r="CA102" i="4448"/>
  <c r="CA82" i="4448"/>
  <c r="AZ72" i="4448"/>
  <c r="BU99" i="4448"/>
  <c r="BX36" i="4448"/>
  <c r="BX44" i="4448"/>
  <c r="BW64" i="4448"/>
  <c r="BW84" i="4448"/>
  <c r="BW102" i="4448"/>
  <c r="BW60" i="4448"/>
  <c r="BW92" i="4448"/>
  <c r="BH101" i="4448"/>
  <c r="BL65" i="4448"/>
  <c r="BL85" i="4448"/>
  <c r="BL99" i="4448"/>
  <c r="BR58" i="4448"/>
  <c r="BR94" i="4448"/>
  <c r="BR70" i="4448"/>
  <c r="BR100" i="4448"/>
  <c r="AW7" i="4448"/>
  <c r="G11" i="4452"/>
  <c r="AZ40" i="4448"/>
  <c r="BN102" i="4448"/>
  <c r="BF92" i="4448"/>
  <c r="BF84" i="4448"/>
  <c r="BW76" i="4448"/>
  <c r="AZ100" i="4448"/>
  <c r="AZ68" i="4448"/>
  <c r="BF102" i="4448"/>
  <c r="BW98" i="4448"/>
  <c r="BP91" i="4448"/>
  <c r="BP83" i="4448"/>
  <c r="BF76" i="4448"/>
  <c r="BP67" i="4448"/>
  <c r="BP59" i="4448"/>
  <c r="AZ9" i="4448"/>
  <c r="AZ36" i="4448"/>
  <c r="AZ20" i="4448"/>
  <c r="BJ90" i="4448"/>
  <c r="BJ58" i="4448"/>
  <c r="BJ102" i="4448"/>
  <c r="BB70" i="4448"/>
  <c r="BB78" i="4448"/>
  <c r="BY79" i="4448"/>
  <c r="BY87" i="4448"/>
  <c r="AZ96" i="4448"/>
  <c r="AZ64" i="4448"/>
  <c r="AZ28" i="4448"/>
  <c r="BB102" i="4448"/>
  <c r="BJ98" i="4448"/>
  <c r="CA90" i="4448"/>
  <c r="BJ82" i="4448"/>
  <c r="BJ74" i="4448"/>
  <c r="CA66" i="4448"/>
  <c r="CA58" i="4448"/>
  <c r="DB6" i="4448"/>
  <c r="BO5" i="4448"/>
  <c r="BO7" i="4448"/>
  <c r="BO9" i="4448"/>
  <c r="BO11" i="4448"/>
  <c r="BO13" i="4448"/>
  <c r="BO12" i="4448"/>
  <c r="BO6" i="4448"/>
  <c r="BO14" i="4448"/>
  <c r="BO16" i="4448"/>
  <c r="BO18" i="4448"/>
  <c r="BO20" i="4448"/>
  <c r="BO22" i="4448"/>
  <c r="BO24" i="4448"/>
  <c r="BO26" i="4448"/>
  <c r="BO28" i="4448"/>
  <c r="BO30" i="4448"/>
  <c r="BO32" i="4448"/>
  <c r="BO8" i="4448"/>
  <c r="BO15" i="4448"/>
  <c r="BO23" i="4448"/>
  <c r="BO31" i="4448"/>
  <c r="BO17" i="4448"/>
  <c r="BO25" i="4448"/>
  <c r="BO33" i="4448"/>
  <c r="BO35" i="4448"/>
  <c r="BO37" i="4448"/>
  <c r="BO39" i="4448"/>
  <c r="BO41" i="4448"/>
  <c r="BO43" i="4448"/>
  <c r="BO45" i="4448"/>
  <c r="BO47" i="4448"/>
  <c r="BO49" i="4448"/>
  <c r="BO51" i="4448"/>
  <c r="BO53" i="4448"/>
  <c r="BO19" i="4448"/>
  <c r="BO27" i="4448"/>
  <c r="BO10" i="4448"/>
  <c r="BO34" i="4448"/>
  <c r="BO42" i="4448"/>
  <c r="BO50" i="4448"/>
  <c r="BO55" i="4448"/>
  <c r="BO58" i="4448"/>
  <c r="BO60" i="4448"/>
  <c r="BO62" i="4448"/>
  <c r="BO64" i="4448"/>
  <c r="BO66" i="4448"/>
  <c r="BO68" i="4448"/>
  <c r="BO70" i="4448"/>
  <c r="BO72" i="4448"/>
  <c r="BO74" i="4448"/>
  <c r="BO76" i="4448"/>
  <c r="BO78" i="4448"/>
  <c r="BO80" i="4448"/>
  <c r="BO82" i="4448"/>
  <c r="BO84" i="4448"/>
  <c r="BO86" i="4448"/>
  <c r="BO88" i="4448"/>
  <c r="BO90" i="4448"/>
  <c r="BO92" i="4448"/>
  <c r="BO94" i="4448"/>
  <c r="BO96" i="4448"/>
  <c r="BO98" i="4448"/>
  <c r="BO100" i="4448"/>
  <c r="BO21" i="4448"/>
  <c r="BO36" i="4448"/>
  <c r="BO44" i="4448"/>
  <c r="BO52" i="4448"/>
  <c r="BO56" i="4448"/>
  <c r="BO29" i="4448"/>
  <c r="BO38" i="4448"/>
  <c r="BO46" i="4448"/>
  <c r="BO57" i="4448"/>
  <c r="BO59" i="4448"/>
  <c r="BO61" i="4448"/>
  <c r="BO63" i="4448"/>
  <c r="BO65" i="4448"/>
  <c r="BO67" i="4448"/>
  <c r="BO69" i="4448"/>
  <c r="BO71" i="4448"/>
  <c r="BO73" i="4448"/>
  <c r="BO75" i="4448"/>
  <c r="BO77" i="4448"/>
  <c r="BO79" i="4448"/>
  <c r="BO81" i="4448"/>
  <c r="BO83" i="4448"/>
  <c r="BO85" i="4448"/>
  <c r="BO87" i="4448"/>
  <c r="BO89" i="4448"/>
  <c r="BO91" i="4448"/>
  <c r="BO93" i="4448"/>
  <c r="BO95" i="4448"/>
  <c r="BO97" i="4448"/>
  <c r="BO99" i="4448"/>
  <c r="BO101" i="4448"/>
  <c r="CL5" i="4448"/>
  <c r="CL6" i="4448"/>
  <c r="CL7" i="4448"/>
  <c r="CL8" i="4448"/>
  <c r="CL9" i="4448"/>
  <c r="CL10" i="4448"/>
  <c r="CL11" i="4448"/>
  <c r="CL12" i="4448"/>
  <c r="CL13" i="4448"/>
  <c r="CL14" i="4448"/>
  <c r="CL15" i="4448"/>
  <c r="CL16" i="4448"/>
  <c r="CL17" i="4448"/>
  <c r="CL18" i="4448"/>
  <c r="CL19" i="4448"/>
  <c r="CL20" i="4448"/>
  <c r="CL21" i="4448"/>
  <c r="CL22" i="4448"/>
  <c r="CL23" i="4448"/>
  <c r="CL25" i="4448"/>
  <c r="CL26" i="4448"/>
  <c r="CL27" i="4448"/>
  <c r="CL28" i="4448"/>
  <c r="CL29" i="4448"/>
  <c r="CL30" i="4448"/>
  <c r="CL31" i="4448"/>
  <c r="CL32" i="4448"/>
  <c r="CL33" i="4448"/>
  <c r="CL34" i="4448"/>
  <c r="CL35" i="4448"/>
  <c r="CL36" i="4448"/>
  <c r="CL37" i="4448"/>
  <c r="CL38" i="4448"/>
  <c r="CL39" i="4448"/>
  <c r="CL40" i="4448"/>
  <c r="CL41" i="4448"/>
  <c r="CL42" i="4448"/>
  <c r="CL43" i="4448"/>
  <c r="CL44" i="4448"/>
  <c r="CL45" i="4448"/>
  <c r="CL46" i="4448"/>
  <c r="CL47" i="4448"/>
  <c r="CL48" i="4448"/>
  <c r="CL49" i="4448"/>
  <c r="CL50" i="4448"/>
  <c r="CL51" i="4448"/>
  <c r="CL52" i="4448"/>
  <c r="CL53" i="4448"/>
  <c r="CL54" i="4448"/>
  <c r="CL55" i="4448"/>
  <c r="CL56" i="4448"/>
  <c r="CL57" i="4448"/>
  <c r="CL58" i="4448"/>
  <c r="CL59" i="4448"/>
  <c r="CL60" i="4448"/>
  <c r="CL61" i="4448"/>
  <c r="CL62" i="4448"/>
  <c r="CL63" i="4448"/>
  <c r="CL64" i="4448"/>
  <c r="CL65" i="4448"/>
  <c r="CL66" i="4448"/>
  <c r="CL67" i="4448"/>
  <c r="CL68" i="4448"/>
  <c r="CL69" i="4448"/>
  <c r="CL70" i="4448"/>
  <c r="CL71" i="4448"/>
  <c r="CL72" i="4448"/>
  <c r="CL74" i="4448"/>
  <c r="CL75" i="4448"/>
  <c r="CL77" i="4448"/>
  <c r="CL78" i="4448"/>
  <c r="CL79" i="4448"/>
  <c r="CL80" i="4448"/>
  <c r="CL81" i="4448"/>
  <c r="CL82" i="4448"/>
  <c r="CL83" i="4448"/>
  <c r="CL84" i="4448"/>
  <c r="CL85" i="4448"/>
  <c r="CL86" i="4448"/>
  <c r="CL87" i="4448"/>
  <c r="CL88" i="4448"/>
  <c r="CL89" i="4448"/>
  <c r="CL90" i="4448"/>
  <c r="CL91" i="4448"/>
  <c r="CL92" i="4448"/>
  <c r="CL93" i="4448"/>
  <c r="CL94" i="4448"/>
  <c r="CL95" i="4448"/>
  <c r="CL96" i="4448"/>
  <c r="CL97" i="4448"/>
  <c r="CL98" i="4448"/>
  <c r="CL99" i="4448"/>
  <c r="CL100" i="4448"/>
  <c r="CL101" i="4448"/>
  <c r="CL102" i="4448"/>
  <c r="CL76" i="4448"/>
  <c r="CL73" i="4448"/>
  <c r="BZ6" i="4448"/>
  <c r="BZ8" i="4448"/>
  <c r="BZ10" i="4448"/>
  <c r="BZ12" i="4448"/>
  <c r="BZ11" i="4448"/>
  <c r="BZ5" i="4448"/>
  <c r="BZ13" i="4448"/>
  <c r="BZ15" i="4448"/>
  <c r="BZ17" i="4448"/>
  <c r="BZ19" i="4448"/>
  <c r="BZ21" i="4448"/>
  <c r="BZ23" i="4448"/>
  <c r="BZ25" i="4448"/>
  <c r="BZ27" i="4448"/>
  <c r="BZ29" i="4448"/>
  <c r="BZ31" i="4448"/>
  <c r="BZ33" i="4448"/>
  <c r="BZ7" i="4448"/>
  <c r="BZ14" i="4448"/>
  <c r="BZ22" i="4448"/>
  <c r="BZ30" i="4448"/>
  <c r="BZ16" i="4448"/>
  <c r="BZ24" i="4448"/>
  <c r="BZ32" i="4448"/>
  <c r="BZ34" i="4448"/>
  <c r="BZ36" i="4448"/>
  <c r="BZ38" i="4448"/>
  <c r="BZ40" i="4448"/>
  <c r="BZ42" i="4448"/>
  <c r="BZ44" i="4448"/>
  <c r="BZ46" i="4448"/>
  <c r="BZ48" i="4448"/>
  <c r="BZ50" i="4448"/>
  <c r="BZ52" i="4448"/>
  <c r="BZ9" i="4448"/>
  <c r="BZ18" i="4448"/>
  <c r="BZ26" i="4448"/>
  <c r="BZ20" i="4448"/>
  <c r="BZ41" i="4448"/>
  <c r="BZ49" i="4448"/>
  <c r="BZ54" i="4448"/>
  <c r="BZ57" i="4448"/>
  <c r="BZ59" i="4448"/>
  <c r="BZ61" i="4448"/>
  <c r="BZ63" i="4448"/>
  <c r="BZ65" i="4448"/>
  <c r="BZ67" i="4448"/>
  <c r="BZ69" i="4448"/>
  <c r="BZ71" i="4448"/>
  <c r="BZ73" i="4448"/>
  <c r="BZ75" i="4448"/>
  <c r="BZ77" i="4448"/>
  <c r="BZ79" i="4448"/>
  <c r="BZ81" i="4448"/>
  <c r="BZ83" i="4448"/>
  <c r="BZ85" i="4448"/>
  <c r="BZ87" i="4448"/>
  <c r="BZ89" i="4448"/>
  <c r="BZ91" i="4448"/>
  <c r="BZ93" i="4448"/>
  <c r="BZ95" i="4448"/>
  <c r="BZ97" i="4448"/>
  <c r="BZ99" i="4448"/>
  <c r="BZ28" i="4448"/>
  <c r="BZ35" i="4448"/>
  <c r="BZ43" i="4448"/>
  <c r="BZ51" i="4448"/>
  <c r="BZ55" i="4448"/>
  <c r="BZ37" i="4448"/>
  <c r="BZ45" i="4448"/>
  <c r="BZ56" i="4448"/>
  <c r="BZ58" i="4448"/>
  <c r="BZ60" i="4448"/>
  <c r="BZ62" i="4448"/>
  <c r="BZ64" i="4448"/>
  <c r="BZ66" i="4448"/>
  <c r="BZ68" i="4448"/>
  <c r="BZ70" i="4448"/>
  <c r="BZ72" i="4448"/>
  <c r="BZ74" i="4448"/>
  <c r="BZ76" i="4448"/>
  <c r="BZ78" i="4448"/>
  <c r="BZ80" i="4448"/>
  <c r="BZ82" i="4448"/>
  <c r="BZ84" i="4448"/>
  <c r="BZ86" i="4448"/>
  <c r="BZ88" i="4448"/>
  <c r="BZ90" i="4448"/>
  <c r="BZ92" i="4448"/>
  <c r="BZ94" i="4448"/>
  <c r="BZ96" i="4448"/>
  <c r="BZ98" i="4448"/>
  <c r="BZ100" i="4448"/>
  <c r="BG52" i="4448"/>
  <c r="BN5" i="4448"/>
  <c r="BN7" i="4448"/>
  <c r="BN9" i="4448"/>
  <c r="BN11" i="4448"/>
  <c r="BN13" i="4448"/>
  <c r="BN6" i="4448"/>
  <c r="BN8" i="4448"/>
  <c r="BN10" i="4448"/>
  <c r="BN12" i="4448"/>
  <c r="BN14" i="4448"/>
  <c r="BN16" i="4448"/>
  <c r="BN18" i="4448"/>
  <c r="BN20" i="4448"/>
  <c r="BN22" i="4448"/>
  <c r="BN24" i="4448"/>
  <c r="BN26" i="4448"/>
  <c r="BN28" i="4448"/>
  <c r="BN30" i="4448"/>
  <c r="BN32" i="4448"/>
  <c r="BN15" i="4448"/>
  <c r="BN17" i="4448"/>
  <c r="BN19" i="4448"/>
  <c r="BN21" i="4448"/>
  <c r="BN23" i="4448"/>
  <c r="BN25" i="4448"/>
  <c r="BN27" i="4448"/>
  <c r="BN29" i="4448"/>
  <c r="BN31" i="4448"/>
  <c r="BN33" i="4448"/>
  <c r="BN35" i="4448"/>
  <c r="BN37" i="4448"/>
  <c r="BN39" i="4448"/>
  <c r="BN41" i="4448"/>
  <c r="BN43" i="4448"/>
  <c r="BN45" i="4448"/>
  <c r="BN47" i="4448"/>
  <c r="BN49" i="4448"/>
  <c r="BN51" i="4448"/>
  <c r="BN53" i="4448"/>
  <c r="BN55" i="4448"/>
  <c r="BN57" i="4448"/>
  <c r="BN34" i="4448"/>
  <c r="BN36" i="4448"/>
  <c r="BN38" i="4448"/>
  <c r="BN40" i="4448"/>
  <c r="BN42" i="4448"/>
  <c r="BN44" i="4448"/>
  <c r="BN46" i="4448"/>
  <c r="BN48" i="4448"/>
  <c r="BN50" i="4448"/>
  <c r="BN52" i="4448"/>
  <c r="BN54" i="4448"/>
  <c r="BN56" i="4448"/>
  <c r="BN59" i="4448"/>
  <c r="BN61" i="4448"/>
  <c r="BN63" i="4448"/>
  <c r="BN65" i="4448"/>
  <c r="BN67" i="4448"/>
  <c r="BN69" i="4448"/>
  <c r="BN71" i="4448"/>
  <c r="BN73" i="4448"/>
  <c r="BN75" i="4448"/>
  <c r="BN77" i="4448"/>
  <c r="BN79" i="4448"/>
  <c r="BN81" i="4448"/>
  <c r="BN83" i="4448"/>
  <c r="BN85" i="4448"/>
  <c r="BN87" i="4448"/>
  <c r="BN89" i="4448"/>
  <c r="BN91" i="4448"/>
  <c r="BN93" i="4448"/>
  <c r="BN95" i="4448"/>
  <c r="BN97" i="4448"/>
  <c r="BJ5" i="4448"/>
  <c r="BJ7" i="4448"/>
  <c r="BJ9" i="4448"/>
  <c r="BJ11" i="4448"/>
  <c r="BJ13" i="4448"/>
  <c r="BJ6" i="4448"/>
  <c r="BJ8" i="4448"/>
  <c r="BJ10" i="4448"/>
  <c r="BJ12" i="4448"/>
  <c r="BJ14" i="4448"/>
  <c r="BJ16" i="4448"/>
  <c r="BJ18" i="4448"/>
  <c r="BJ20" i="4448"/>
  <c r="BJ22" i="4448"/>
  <c r="BJ24" i="4448"/>
  <c r="BJ26" i="4448"/>
  <c r="BJ28" i="4448"/>
  <c r="BJ30" i="4448"/>
  <c r="BJ32" i="4448"/>
  <c r="BJ15" i="4448"/>
  <c r="BJ17" i="4448"/>
  <c r="BJ19" i="4448"/>
  <c r="BJ21" i="4448"/>
  <c r="BJ23" i="4448"/>
  <c r="BJ25" i="4448"/>
  <c r="BJ27" i="4448"/>
  <c r="BJ29" i="4448"/>
  <c r="BJ31" i="4448"/>
  <c r="BJ33" i="4448"/>
  <c r="BJ35" i="4448"/>
  <c r="BJ37" i="4448"/>
  <c r="BJ39" i="4448"/>
  <c r="BJ41" i="4448"/>
  <c r="BJ43" i="4448"/>
  <c r="BJ45" i="4448"/>
  <c r="BJ47" i="4448"/>
  <c r="BJ49" i="4448"/>
  <c r="BJ51" i="4448"/>
  <c r="BJ53" i="4448"/>
  <c r="BJ55" i="4448"/>
  <c r="BJ57" i="4448"/>
  <c r="BJ34" i="4448"/>
  <c r="BJ36" i="4448"/>
  <c r="BJ38" i="4448"/>
  <c r="BJ40" i="4448"/>
  <c r="BJ42" i="4448"/>
  <c r="BJ44" i="4448"/>
  <c r="BJ46" i="4448"/>
  <c r="BJ48" i="4448"/>
  <c r="BJ50" i="4448"/>
  <c r="BJ52" i="4448"/>
  <c r="BJ54" i="4448"/>
  <c r="BJ56" i="4448"/>
  <c r="BJ59" i="4448"/>
  <c r="BJ61" i="4448"/>
  <c r="BJ63" i="4448"/>
  <c r="BJ65" i="4448"/>
  <c r="BJ67" i="4448"/>
  <c r="BJ69" i="4448"/>
  <c r="BJ71" i="4448"/>
  <c r="BJ73" i="4448"/>
  <c r="BJ75" i="4448"/>
  <c r="BJ77" i="4448"/>
  <c r="BJ79" i="4448"/>
  <c r="BJ81" i="4448"/>
  <c r="BJ83" i="4448"/>
  <c r="BJ85" i="4448"/>
  <c r="BJ87" i="4448"/>
  <c r="BJ89" i="4448"/>
  <c r="BJ91" i="4448"/>
  <c r="BJ93" i="4448"/>
  <c r="BJ95" i="4448"/>
  <c r="BJ97" i="4448"/>
  <c r="BF5" i="4448"/>
  <c r="BF7" i="4448"/>
  <c r="BF9" i="4448"/>
  <c r="BF11" i="4448"/>
  <c r="BF13" i="4448"/>
  <c r="BF6" i="4448"/>
  <c r="BF8" i="4448"/>
  <c r="BF10" i="4448"/>
  <c r="BF12" i="4448"/>
  <c r="BF14" i="4448"/>
  <c r="BF16" i="4448"/>
  <c r="BF18" i="4448"/>
  <c r="BF20" i="4448"/>
  <c r="BF22" i="4448"/>
  <c r="BF24" i="4448"/>
  <c r="BF26" i="4448"/>
  <c r="BF28" i="4448"/>
  <c r="BF30" i="4448"/>
  <c r="BF32" i="4448"/>
  <c r="BF34" i="4448"/>
  <c r="BF15" i="4448"/>
  <c r="BF17" i="4448"/>
  <c r="BF19" i="4448"/>
  <c r="BF21" i="4448"/>
  <c r="BF23" i="4448"/>
  <c r="BF25" i="4448"/>
  <c r="BF27" i="4448"/>
  <c r="BF29" i="4448"/>
  <c r="BF31" i="4448"/>
  <c r="BF33" i="4448"/>
  <c r="BF35" i="4448"/>
  <c r="BF37" i="4448"/>
  <c r="BF39" i="4448"/>
  <c r="BF41" i="4448"/>
  <c r="BF43" i="4448"/>
  <c r="BF45" i="4448"/>
  <c r="BF47" i="4448"/>
  <c r="BF49" i="4448"/>
  <c r="BF51" i="4448"/>
  <c r="BF53" i="4448"/>
  <c r="BF55" i="4448"/>
  <c r="BF57" i="4448"/>
  <c r="BF36" i="4448"/>
  <c r="BF38" i="4448"/>
  <c r="BF40" i="4448"/>
  <c r="BF42" i="4448"/>
  <c r="BF44" i="4448"/>
  <c r="BF46" i="4448"/>
  <c r="BF48" i="4448"/>
  <c r="BF50" i="4448"/>
  <c r="BF52" i="4448"/>
  <c r="BF54" i="4448"/>
  <c r="BF56" i="4448"/>
  <c r="BF59" i="4448"/>
  <c r="BF61" i="4448"/>
  <c r="BF63" i="4448"/>
  <c r="BF65" i="4448"/>
  <c r="BF67" i="4448"/>
  <c r="BF69" i="4448"/>
  <c r="BF71" i="4448"/>
  <c r="BF73" i="4448"/>
  <c r="BF75" i="4448"/>
  <c r="BF77" i="4448"/>
  <c r="BF79" i="4448"/>
  <c r="BF81" i="4448"/>
  <c r="BF83" i="4448"/>
  <c r="BF85" i="4448"/>
  <c r="BF87" i="4448"/>
  <c r="BF89" i="4448"/>
  <c r="BF91" i="4448"/>
  <c r="BF93" i="4448"/>
  <c r="BF95" i="4448"/>
  <c r="BF97" i="4448"/>
  <c r="BB5" i="4448"/>
  <c r="BB7" i="4448"/>
  <c r="BB9" i="4448"/>
  <c r="BB11" i="4448"/>
  <c r="BB13" i="4448"/>
  <c r="BB6" i="4448"/>
  <c r="BB8" i="4448"/>
  <c r="BB10" i="4448"/>
  <c r="BB12" i="4448"/>
  <c r="BB14" i="4448"/>
  <c r="BB16" i="4448"/>
  <c r="BB18" i="4448"/>
  <c r="BB20" i="4448"/>
  <c r="BB22" i="4448"/>
  <c r="BB24" i="4448"/>
  <c r="BB26" i="4448"/>
  <c r="BB28" i="4448"/>
  <c r="BB30" i="4448"/>
  <c r="BB32" i="4448"/>
  <c r="BB34" i="4448"/>
  <c r="BB15" i="4448"/>
  <c r="BB17" i="4448"/>
  <c r="BB19" i="4448"/>
  <c r="BB21" i="4448"/>
  <c r="BB23" i="4448"/>
  <c r="BB25" i="4448"/>
  <c r="BB27" i="4448"/>
  <c r="BB29" i="4448"/>
  <c r="BB31" i="4448"/>
  <c r="BB33" i="4448"/>
  <c r="BB35" i="4448"/>
  <c r="BB37" i="4448"/>
  <c r="BB39" i="4448"/>
  <c r="BB41" i="4448"/>
  <c r="BB43" i="4448"/>
  <c r="BB45" i="4448"/>
  <c r="BB47" i="4448"/>
  <c r="BB49" i="4448"/>
  <c r="BB51" i="4448"/>
  <c r="BB53" i="4448"/>
  <c r="BB55" i="4448"/>
  <c r="BB57" i="4448"/>
  <c r="BB36" i="4448"/>
  <c r="BB38" i="4448"/>
  <c r="BB40" i="4448"/>
  <c r="BB42" i="4448"/>
  <c r="BB44" i="4448"/>
  <c r="BB46" i="4448"/>
  <c r="BB48" i="4448"/>
  <c r="BB50" i="4448"/>
  <c r="BB52" i="4448"/>
  <c r="BB54" i="4448"/>
  <c r="BB56" i="4448"/>
  <c r="BB59" i="4448"/>
  <c r="BB61" i="4448"/>
  <c r="BB63" i="4448"/>
  <c r="BB65" i="4448"/>
  <c r="BB67" i="4448"/>
  <c r="BB69" i="4448"/>
  <c r="BB71" i="4448"/>
  <c r="BB73" i="4448"/>
  <c r="BB75" i="4448"/>
  <c r="BB77" i="4448"/>
  <c r="BB79" i="4448"/>
  <c r="BB81" i="4448"/>
  <c r="BB83" i="4448"/>
  <c r="BB85" i="4448"/>
  <c r="BB87" i="4448"/>
  <c r="BB89" i="4448"/>
  <c r="BB91" i="4448"/>
  <c r="BB93" i="4448"/>
  <c r="BB95" i="4448"/>
  <c r="BB97" i="4448"/>
  <c r="CK8" i="4448"/>
  <c r="CK12" i="4448"/>
  <c r="CK16" i="4448"/>
  <c r="CK20" i="4448"/>
  <c r="CK24" i="4448"/>
  <c r="CK28" i="4448"/>
  <c r="CK30" i="4448"/>
  <c r="CK31" i="4448"/>
  <c r="CK32" i="4448"/>
  <c r="CK33" i="4448"/>
  <c r="CK34" i="4448"/>
  <c r="CK35" i="4448"/>
  <c r="CK36" i="4448"/>
  <c r="CK37" i="4448"/>
  <c r="CK38" i="4448"/>
  <c r="CK39" i="4448"/>
  <c r="CK40" i="4448"/>
  <c r="CK41" i="4448"/>
  <c r="CK42" i="4448"/>
  <c r="CK43" i="4448"/>
  <c r="CK44" i="4448"/>
  <c r="CK45" i="4448"/>
  <c r="CK46" i="4448"/>
  <c r="CK47" i="4448"/>
  <c r="CK48" i="4448"/>
  <c r="CK49" i="4448"/>
  <c r="CK50" i="4448"/>
  <c r="CK7" i="4448"/>
  <c r="CK11" i="4448"/>
  <c r="CK15" i="4448"/>
  <c r="CK19" i="4448"/>
  <c r="CK23" i="4448"/>
  <c r="CK27" i="4448"/>
  <c r="CK6" i="4448"/>
  <c r="CK10" i="4448"/>
  <c r="CK14" i="4448"/>
  <c r="CK18" i="4448"/>
  <c r="CK22" i="4448"/>
  <c r="CK26" i="4448"/>
  <c r="CK13" i="4448"/>
  <c r="CK29" i="4448"/>
  <c r="CK51" i="4448"/>
  <c r="CK53" i="4448"/>
  <c r="CK54" i="4448"/>
  <c r="CK55" i="4448"/>
  <c r="CK56" i="4448"/>
  <c r="CK57" i="4448"/>
  <c r="CK58" i="4448"/>
  <c r="CK59" i="4448"/>
  <c r="CK60" i="4448"/>
  <c r="CK61" i="4448"/>
  <c r="CK62" i="4448"/>
  <c r="CK63" i="4448"/>
  <c r="CK64" i="4448"/>
  <c r="CK65" i="4448"/>
  <c r="CK66" i="4448"/>
  <c r="CK67" i="4448"/>
  <c r="CK68" i="4448"/>
  <c r="CK69" i="4448"/>
  <c r="CK70" i="4448"/>
  <c r="CK71" i="4448"/>
  <c r="CK72" i="4448"/>
  <c r="CK73" i="4448"/>
  <c r="CK74" i="4448"/>
  <c r="CK75" i="4448"/>
  <c r="CK76" i="4448"/>
  <c r="CK9" i="4448"/>
  <c r="CK25" i="4448"/>
  <c r="CK52" i="4448"/>
  <c r="CK5" i="4448"/>
  <c r="CK21" i="4448"/>
  <c r="CK77" i="4448"/>
  <c r="CK78" i="4448"/>
  <c r="CK79" i="4448"/>
  <c r="CK80" i="4448"/>
  <c r="CK81" i="4448"/>
  <c r="CK82" i="4448"/>
  <c r="CK83" i="4448"/>
  <c r="CK84" i="4448"/>
  <c r="CK85" i="4448"/>
  <c r="CK86" i="4448"/>
  <c r="CK87" i="4448"/>
  <c r="CK88" i="4448"/>
  <c r="CK89" i="4448"/>
  <c r="CK90" i="4448"/>
  <c r="CK91" i="4448"/>
  <c r="CK92" i="4448"/>
  <c r="CK93" i="4448"/>
  <c r="CK94" i="4448"/>
  <c r="CK95" i="4448"/>
  <c r="CK96" i="4448"/>
  <c r="CK97" i="4448"/>
  <c r="CK98" i="4448"/>
  <c r="CK99" i="4448"/>
  <c r="CK100" i="4448"/>
  <c r="CK101" i="4448"/>
  <c r="CK102" i="4448"/>
  <c r="CK17" i="4448"/>
  <c r="CG7" i="4448"/>
  <c r="CG11" i="4448"/>
  <c r="CG15" i="4448"/>
  <c r="CG19" i="4448"/>
  <c r="CG23" i="4448"/>
  <c r="CG27" i="4448"/>
  <c r="CG30" i="4448"/>
  <c r="CG31" i="4448"/>
  <c r="CG32" i="4448"/>
  <c r="CG33" i="4448"/>
  <c r="CG34" i="4448"/>
  <c r="CG35" i="4448"/>
  <c r="CG36" i="4448"/>
  <c r="CG37" i="4448"/>
  <c r="CG38" i="4448"/>
  <c r="CG39" i="4448"/>
  <c r="CG40" i="4448"/>
  <c r="CG41" i="4448"/>
  <c r="CG42" i="4448"/>
  <c r="CG43" i="4448"/>
  <c r="CG44" i="4448"/>
  <c r="CG45" i="4448"/>
  <c r="CG46" i="4448"/>
  <c r="CG47" i="4448"/>
  <c r="CG48" i="4448"/>
  <c r="CG49" i="4448"/>
  <c r="CG50" i="4448"/>
  <c r="CG6" i="4448"/>
  <c r="CG10" i="4448"/>
  <c r="CG14" i="4448"/>
  <c r="CG18" i="4448"/>
  <c r="CG22" i="4448"/>
  <c r="CG26" i="4448"/>
  <c r="CG5" i="4448"/>
  <c r="CG9" i="4448"/>
  <c r="CG13" i="4448"/>
  <c r="CG17" i="4448"/>
  <c r="CG21" i="4448"/>
  <c r="CG25" i="4448"/>
  <c r="CG29" i="4448"/>
  <c r="CG8" i="4448"/>
  <c r="CG24" i="4448"/>
  <c r="CG53" i="4448"/>
  <c r="CG54" i="4448"/>
  <c r="CG55" i="4448"/>
  <c r="CG56" i="4448"/>
  <c r="CG57" i="4448"/>
  <c r="CG58" i="4448"/>
  <c r="CG59" i="4448"/>
  <c r="CG60" i="4448"/>
  <c r="CG61" i="4448"/>
  <c r="CG62" i="4448"/>
  <c r="CG63" i="4448"/>
  <c r="CG64" i="4448"/>
  <c r="CG65" i="4448"/>
  <c r="CG66" i="4448"/>
  <c r="CG67" i="4448"/>
  <c r="CG68" i="4448"/>
  <c r="CG69" i="4448"/>
  <c r="CG70" i="4448"/>
  <c r="CG71" i="4448"/>
  <c r="CG72" i="4448"/>
  <c r="CG73" i="4448"/>
  <c r="CG74" i="4448"/>
  <c r="CG75" i="4448"/>
  <c r="CG76" i="4448"/>
  <c r="CG20" i="4448"/>
  <c r="CG51" i="4448"/>
  <c r="CG16" i="4448"/>
  <c r="CG52" i="4448"/>
  <c r="CG28" i="4448"/>
  <c r="CG77" i="4448"/>
  <c r="CG78" i="4448"/>
  <c r="CG79" i="4448"/>
  <c r="CG80" i="4448"/>
  <c r="CG81" i="4448"/>
  <c r="CG82" i="4448"/>
  <c r="CG83" i="4448"/>
  <c r="CG84" i="4448"/>
  <c r="CG85" i="4448"/>
  <c r="CG86" i="4448"/>
  <c r="CG87" i="4448"/>
  <c r="CG88" i="4448"/>
  <c r="CG89" i="4448"/>
  <c r="CG90" i="4448"/>
  <c r="CG91" i="4448"/>
  <c r="CG92" i="4448"/>
  <c r="CG93" i="4448"/>
  <c r="CG94" i="4448"/>
  <c r="CG95" i="4448"/>
  <c r="CG96" i="4448"/>
  <c r="CG97" i="4448"/>
  <c r="CG98" i="4448"/>
  <c r="CG99" i="4448"/>
  <c r="CG100" i="4448"/>
  <c r="CG101" i="4448"/>
  <c r="CG102" i="4448"/>
  <c r="CG12" i="4448"/>
  <c r="CC6" i="4448"/>
  <c r="CC10" i="4448"/>
  <c r="CC14" i="4448"/>
  <c r="CC18" i="4448"/>
  <c r="CC22" i="4448"/>
  <c r="CC26" i="4448"/>
  <c r="CC30" i="4448"/>
  <c r="CC31" i="4448"/>
  <c r="CC32" i="4448"/>
  <c r="CC33" i="4448"/>
  <c r="CC34" i="4448"/>
  <c r="CC35" i="4448"/>
  <c r="CC36" i="4448"/>
  <c r="CC37" i="4448"/>
  <c r="CC38" i="4448"/>
  <c r="CC39" i="4448"/>
  <c r="CC40" i="4448"/>
  <c r="CC41" i="4448"/>
  <c r="CC42" i="4448"/>
  <c r="CC43" i="4448"/>
  <c r="CC44" i="4448"/>
  <c r="CC45" i="4448"/>
  <c r="CC46" i="4448"/>
  <c r="CC47" i="4448"/>
  <c r="CC48" i="4448"/>
  <c r="CC49" i="4448"/>
  <c r="CC50" i="4448"/>
  <c r="CC51" i="4448"/>
  <c r="CC5" i="4448"/>
  <c r="CC9" i="4448"/>
  <c r="CC13" i="4448"/>
  <c r="CC17" i="4448"/>
  <c r="CC21" i="4448"/>
  <c r="CC25" i="4448"/>
  <c r="CC29" i="4448"/>
  <c r="CC8" i="4448"/>
  <c r="CC12" i="4448"/>
  <c r="CC16" i="4448"/>
  <c r="CC20" i="4448"/>
  <c r="CC24" i="4448"/>
  <c r="CC28" i="4448"/>
  <c r="CC19" i="4448"/>
  <c r="CC53" i="4448"/>
  <c r="CC54" i="4448"/>
  <c r="CC55" i="4448"/>
  <c r="CC56" i="4448"/>
  <c r="CC57" i="4448"/>
  <c r="CC58" i="4448"/>
  <c r="CC59" i="4448"/>
  <c r="CC60" i="4448"/>
  <c r="CC61" i="4448"/>
  <c r="CC62" i="4448"/>
  <c r="CC63" i="4448"/>
  <c r="CC64" i="4448"/>
  <c r="CC65" i="4448"/>
  <c r="CC66" i="4448"/>
  <c r="CC67" i="4448"/>
  <c r="CC68" i="4448"/>
  <c r="CC69" i="4448"/>
  <c r="CC70" i="4448"/>
  <c r="CC71" i="4448"/>
  <c r="CC72" i="4448"/>
  <c r="CC73" i="4448"/>
  <c r="CC74" i="4448"/>
  <c r="CC75" i="4448"/>
  <c r="CC76" i="4448"/>
  <c r="CC77" i="4448"/>
  <c r="CC15" i="4448"/>
  <c r="CC11" i="4448"/>
  <c r="CC27" i="4448"/>
  <c r="CC7" i="4448"/>
  <c r="CC78" i="4448"/>
  <c r="CC79" i="4448"/>
  <c r="CC80" i="4448"/>
  <c r="CC81" i="4448"/>
  <c r="CC82" i="4448"/>
  <c r="CC83" i="4448"/>
  <c r="CC84" i="4448"/>
  <c r="CC85" i="4448"/>
  <c r="CC86" i="4448"/>
  <c r="CC87" i="4448"/>
  <c r="CC88" i="4448"/>
  <c r="CC89" i="4448"/>
  <c r="CC90" i="4448"/>
  <c r="CC91" i="4448"/>
  <c r="CC92" i="4448"/>
  <c r="CC93" i="4448"/>
  <c r="CC94" i="4448"/>
  <c r="CC95" i="4448"/>
  <c r="CC96" i="4448"/>
  <c r="CC97" i="4448"/>
  <c r="CC98" i="4448"/>
  <c r="CC99" i="4448"/>
  <c r="CC100" i="4448"/>
  <c r="CC101" i="4448"/>
  <c r="CC102" i="4448"/>
  <c r="CC52" i="4448"/>
  <c r="CC23" i="4448"/>
  <c r="BY6" i="4448"/>
  <c r="BY8" i="4448"/>
  <c r="BY10" i="4448"/>
  <c r="BY12" i="4448"/>
  <c r="BY5" i="4448"/>
  <c r="BY7" i="4448"/>
  <c r="BY9" i="4448"/>
  <c r="BY11" i="4448"/>
  <c r="BY13" i="4448"/>
  <c r="BY15" i="4448"/>
  <c r="BY17" i="4448"/>
  <c r="BY19" i="4448"/>
  <c r="BY21" i="4448"/>
  <c r="BY23" i="4448"/>
  <c r="BY25" i="4448"/>
  <c r="BY27" i="4448"/>
  <c r="BY29" i="4448"/>
  <c r="BY31" i="4448"/>
  <c r="BY33" i="4448"/>
  <c r="BY14" i="4448"/>
  <c r="BY16" i="4448"/>
  <c r="BY18" i="4448"/>
  <c r="BY20" i="4448"/>
  <c r="BY22" i="4448"/>
  <c r="BY24" i="4448"/>
  <c r="BY26" i="4448"/>
  <c r="BY28" i="4448"/>
  <c r="BY30" i="4448"/>
  <c r="BY32" i="4448"/>
  <c r="BY34" i="4448"/>
  <c r="BY36" i="4448"/>
  <c r="BY38" i="4448"/>
  <c r="BY40" i="4448"/>
  <c r="BY42" i="4448"/>
  <c r="BY44" i="4448"/>
  <c r="BY46" i="4448"/>
  <c r="BY48" i="4448"/>
  <c r="BY50" i="4448"/>
  <c r="BY52" i="4448"/>
  <c r="BY54" i="4448"/>
  <c r="BY56" i="4448"/>
  <c r="BY35" i="4448"/>
  <c r="BY37" i="4448"/>
  <c r="BY39" i="4448"/>
  <c r="BY41" i="4448"/>
  <c r="BY43" i="4448"/>
  <c r="BY45" i="4448"/>
  <c r="BY47" i="4448"/>
  <c r="BY49" i="4448"/>
  <c r="BY51" i="4448"/>
  <c r="BY53" i="4448"/>
  <c r="BY55" i="4448"/>
  <c r="BY58" i="4448"/>
  <c r="BY60" i="4448"/>
  <c r="BY62" i="4448"/>
  <c r="BY64" i="4448"/>
  <c r="BY66" i="4448"/>
  <c r="BY68" i="4448"/>
  <c r="BY70" i="4448"/>
  <c r="BY72" i="4448"/>
  <c r="BY74" i="4448"/>
  <c r="BY76" i="4448"/>
  <c r="BY78" i="4448"/>
  <c r="BY80" i="4448"/>
  <c r="BY82" i="4448"/>
  <c r="BY84" i="4448"/>
  <c r="BY86" i="4448"/>
  <c r="BY88" i="4448"/>
  <c r="BY90" i="4448"/>
  <c r="BY92" i="4448"/>
  <c r="BY94" i="4448"/>
  <c r="BY96" i="4448"/>
  <c r="BU6" i="4448"/>
  <c r="BU8" i="4448"/>
  <c r="BU10" i="4448"/>
  <c r="BU12" i="4448"/>
  <c r="BU5" i="4448"/>
  <c r="BU7" i="4448"/>
  <c r="BU9" i="4448"/>
  <c r="BU11" i="4448"/>
  <c r="BU13" i="4448"/>
  <c r="BU15" i="4448"/>
  <c r="BU17" i="4448"/>
  <c r="BU19" i="4448"/>
  <c r="BU21" i="4448"/>
  <c r="BU23" i="4448"/>
  <c r="BU25" i="4448"/>
  <c r="BU27" i="4448"/>
  <c r="BU29" i="4448"/>
  <c r="BU31" i="4448"/>
  <c r="BU33" i="4448"/>
  <c r="BU14" i="4448"/>
  <c r="BU16" i="4448"/>
  <c r="BU18" i="4448"/>
  <c r="BU20" i="4448"/>
  <c r="BU22" i="4448"/>
  <c r="BU24" i="4448"/>
  <c r="BU26" i="4448"/>
  <c r="BU28" i="4448"/>
  <c r="BU30" i="4448"/>
  <c r="BU32" i="4448"/>
  <c r="BU34" i="4448"/>
  <c r="BU36" i="4448"/>
  <c r="BU38" i="4448"/>
  <c r="BU40" i="4448"/>
  <c r="BU42" i="4448"/>
  <c r="BU44" i="4448"/>
  <c r="BU46" i="4448"/>
  <c r="BU48" i="4448"/>
  <c r="BU50" i="4448"/>
  <c r="BU52" i="4448"/>
  <c r="BU54" i="4448"/>
  <c r="BU56" i="4448"/>
  <c r="BU35" i="4448"/>
  <c r="BU37" i="4448"/>
  <c r="BU39" i="4448"/>
  <c r="BU41" i="4448"/>
  <c r="BU43" i="4448"/>
  <c r="BU45" i="4448"/>
  <c r="BU47" i="4448"/>
  <c r="BU49" i="4448"/>
  <c r="BU51" i="4448"/>
  <c r="BU53" i="4448"/>
  <c r="BU55" i="4448"/>
  <c r="BU58" i="4448"/>
  <c r="BU60" i="4448"/>
  <c r="BU62" i="4448"/>
  <c r="BU64" i="4448"/>
  <c r="BU66" i="4448"/>
  <c r="BU68" i="4448"/>
  <c r="BU70" i="4448"/>
  <c r="BU72" i="4448"/>
  <c r="BU74" i="4448"/>
  <c r="BU76" i="4448"/>
  <c r="BU78" i="4448"/>
  <c r="BU80" i="4448"/>
  <c r="BU82" i="4448"/>
  <c r="BU84" i="4448"/>
  <c r="BU86" i="4448"/>
  <c r="BU88" i="4448"/>
  <c r="BU90" i="4448"/>
  <c r="BU92" i="4448"/>
  <c r="BU94" i="4448"/>
  <c r="BU96" i="4448"/>
  <c r="AZ5" i="4448"/>
  <c r="AZ99" i="4448"/>
  <c r="AZ95" i="4448"/>
  <c r="AZ91" i="4448"/>
  <c r="AZ87" i="4448"/>
  <c r="AZ83" i="4448"/>
  <c r="AZ79" i="4448"/>
  <c r="AZ75" i="4448"/>
  <c r="AZ71" i="4448"/>
  <c r="AZ67" i="4448"/>
  <c r="AZ63" i="4448"/>
  <c r="AZ59" i="4448"/>
  <c r="AZ55" i="4448"/>
  <c r="AZ51" i="4448"/>
  <c r="AZ47" i="4448"/>
  <c r="AZ43" i="4448"/>
  <c r="AZ39" i="4448"/>
  <c r="AZ35" i="4448"/>
  <c r="AZ31" i="4448"/>
  <c r="AZ27" i="4448"/>
  <c r="AZ23" i="4448"/>
  <c r="AZ19" i="4448"/>
  <c r="AZ15" i="4448"/>
  <c r="AZ11" i="4448"/>
  <c r="AZ7" i="4448"/>
  <c r="BZ102" i="4448"/>
  <c r="BV102" i="4448"/>
  <c r="BQ102" i="4448"/>
  <c r="BI102" i="4448"/>
  <c r="BE102" i="4448"/>
  <c r="BX101" i="4448"/>
  <c r="BT101" i="4448"/>
  <c r="BN101" i="4448"/>
  <c r="BF101" i="4448"/>
  <c r="BY100" i="4448"/>
  <c r="BP100" i="4448"/>
  <c r="BH100" i="4448"/>
  <c r="CA99" i="4448"/>
  <c r="BR99" i="4448"/>
  <c r="BJ99" i="4448"/>
  <c r="BB99" i="4448"/>
  <c r="BU98" i="4448"/>
  <c r="BF98" i="4448"/>
  <c r="BP97" i="4448"/>
  <c r="CA96" i="4448"/>
  <c r="BJ96" i="4448"/>
  <c r="BU95" i="4448"/>
  <c r="BD95" i="4448"/>
  <c r="BN94" i="4448"/>
  <c r="BY93" i="4448"/>
  <c r="BH93" i="4448"/>
  <c r="BR92" i="4448"/>
  <c r="BB92" i="4448"/>
  <c r="BL91" i="4448"/>
  <c r="BW90" i="4448"/>
  <c r="BF90" i="4448"/>
  <c r="BP89" i="4448"/>
  <c r="CA88" i="4448"/>
  <c r="BJ88" i="4448"/>
  <c r="BU87" i="4448"/>
  <c r="BD87" i="4448"/>
  <c r="BN86" i="4448"/>
  <c r="BY85" i="4448"/>
  <c r="BH85" i="4448"/>
  <c r="BR84" i="4448"/>
  <c r="BB84" i="4448"/>
  <c r="BL83" i="4448"/>
  <c r="BW82" i="4448"/>
  <c r="BF82" i="4448"/>
  <c r="BP81" i="4448"/>
  <c r="CA80" i="4448"/>
  <c r="BJ80" i="4448"/>
  <c r="BU79" i="4448"/>
  <c r="BD79" i="4448"/>
  <c r="BN78" i="4448"/>
  <c r="BY77" i="4448"/>
  <c r="BH77" i="4448"/>
  <c r="BR76" i="4448"/>
  <c r="BB76" i="4448"/>
  <c r="BL75" i="4448"/>
  <c r="BW74" i="4448"/>
  <c r="BF74" i="4448"/>
  <c r="BP73" i="4448"/>
  <c r="CA72" i="4448"/>
  <c r="BJ72" i="4448"/>
  <c r="BU71" i="4448"/>
  <c r="BD71" i="4448"/>
  <c r="BN70" i="4448"/>
  <c r="BY69" i="4448"/>
  <c r="BH69" i="4448"/>
  <c r="BR68" i="4448"/>
  <c r="BB68" i="4448"/>
  <c r="BL67" i="4448"/>
  <c r="BW66" i="4448"/>
  <c r="BF66" i="4448"/>
  <c r="BP65" i="4448"/>
  <c r="CA64" i="4448"/>
  <c r="BJ64" i="4448"/>
  <c r="BU63" i="4448"/>
  <c r="BD63" i="4448"/>
  <c r="BN62" i="4448"/>
  <c r="BY61" i="4448"/>
  <c r="BH61" i="4448"/>
  <c r="BR60" i="4448"/>
  <c r="BB60" i="4448"/>
  <c r="BL59" i="4448"/>
  <c r="BW58" i="4448"/>
  <c r="BF58" i="4448"/>
  <c r="BP57" i="4448"/>
  <c r="BK56" i="4448"/>
  <c r="BE55" i="4448"/>
  <c r="BZ53" i="4448"/>
  <c r="BQ51" i="4448"/>
  <c r="BG44" i="4448"/>
  <c r="BK34" i="4448"/>
  <c r="BG25" i="4448"/>
  <c r="BK5" i="4448"/>
  <c r="BK7" i="4448"/>
  <c r="BK9" i="4448"/>
  <c r="BK11" i="4448"/>
  <c r="BK13" i="4448"/>
  <c r="BK6" i="4448"/>
  <c r="BK14" i="4448"/>
  <c r="BK8" i="4448"/>
  <c r="BK16" i="4448"/>
  <c r="BK18" i="4448"/>
  <c r="BK20" i="4448"/>
  <c r="BK22" i="4448"/>
  <c r="BK24" i="4448"/>
  <c r="BK26" i="4448"/>
  <c r="BK28" i="4448"/>
  <c r="BK30" i="4448"/>
  <c r="BK32" i="4448"/>
  <c r="BK10" i="4448"/>
  <c r="BK17" i="4448"/>
  <c r="BK25" i="4448"/>
  <c r="BK33" i="4448"/>
  <c r="BK19" i="4448"/>
  <c r="BK27" i="4448"/>
  <c r="BK35" i="4448"/>
  <c r="BK37" i="4448"/>
  <c r="BK39" i="4448"/>
  <c r="BK41" i="4448"/>
  <c r="BK43" i="4448"/>
  <c r="BK45" i="4448"/>
  <c r="BK47" i="4448"/>
  <c r="BK49" i="4448"/>
  <c r="BK51" i="4448"/>
  <c r="BK53" i="4448"/>
  <c r="BK12" i="4448"/>
  <c r="BK21" i="4448"/>
  <c r="BK29" i="4448"/>
  <c r="BK23" i="4448"/>
  <c r="BK36" i="4448"/>
  <c r="BK44" i="4448"/>
  <c r="BK52" i="4448"/>
  <c r="BK57" i="4448"/>
  <c r="BK58" i="4448"/>
  <c r="BK60" i="4448"/>
  <c r="BK62" i="4448"/>
  <c r="BK64" i="4448"/>
  <c r="BK66" i="4448"/>
  <c r="BK68" i="4448"/>
  <c r="BK70" i="4448"/>
  <c r="BK72" i="4448"/>
  <c r="BK74" i="4448"/>
  <c r="BK76" i="4448"/>
  <c r="BK78" i="4448"/>
  <c r="BK80" i="4448"/>
  <c r="BK82" i="4448"/>
  <c r="BK84" i="4448"/>
  <c r="BK86" i="4448"/>
  <c r="BK88" i="4448"/>
  <c r="BK90" i="4448"/>
  <c r="BK92" i="4448"/>
  <c r="BK94" i="4448"/>
  <c r="BK96" i="4448"/>
  <c r="BK98" i="4448"/>
  <c r="BK100" i="4448"/>
  <c r="BK31" i="4448"/>
  <c r="BK38" i="4448"/>
  <c r="BK46" i="4448"/>
  <c r="BK54" i="4448"/>
  <c r="BK40" i="4448"/>
  <c r="BK48" i="4448"/>
  <c r="BK55" i="4448"/>
  <c r="BK59" i="4448"/>
  <c r="BK61" i="4448"/>
  <c r="BK63" i="4448"/>
  <c r="BK65" i="4448"/>
  <c r="BK67" i="4448"/>
  <c r="BK69" i="4448"/>
  <c r="BK71" i="4448"/>
  <c r="BK73" i="4448"/>
  <c r="BK75" i="4448"/>
  <c r="BK77" i="4448"/>
  <c r="BK79" i="4448"/>
  <c r="BK81" i="4448"/>
  <c r="BK83" i="4448"/>
  <c r="BK85" i="4448"/>
  <c r="BK87" i="4448"/>
  <c r="BK89" i="4448"/>
  <c r="BK91" i="4448"/>
  <c r="BK93" i="4448"/>
  <c r="BK95" i="4448"/>
  <c r="BK97" i="4448"/>
  <c r="BK99" i="4448"/>
  <c r="BK101" i="4448"/>
  <c r="CH5" i="4448"/>
  <c r="CH6" i="4448"/>
  <c r="CH7" i="4448"/>
  <c r="CH8" i="4448"/>
  <c r="CH9" i="4448"/>
  <c r="CH10" i="4448"/>
  <c r="CH11" i="4448"/>
  <c r="CH12" i="4448"/>
  <c r="CH13" i="4448"/>
  <c r="CH14" i="4448"/>
  <c r="CH15" i="4448"/>
  <c r="CH16" i="4448"/>
  <c r="CH17" i="4448"/>
  <c r="CH18" i="4448"/>
  <c r="CH19" i="4448"/>
  <c r="CH20" i="4448"/>
  <c r="CH21" i="4448"/>
  <c r="CH22" i="4448"/>
  <c r="CH23" i="4448"/>
  <c r="CH24" i="4448"/>
  <c r="CH25" i="4448"/>
  <c r="CH26" i="4448"/>
  <c r="CH27" i="4448"/>
  <c r="CH28" i="4448"/>
  <c r="CH29" i="4448"/>
  <c r="CH30" i="4448"/>
  <c r="CH31" i="4448"/>
  <c r="CH32" i="4448"/>
  <c r="CH33" i="4448"/>
  <c r="CH34" i="4448"/>
  <c r="CH35" i="4448"/>
  <c r="CH36" i="4448"/>
  <c r="CH37" i="4448"/>
  <c r="CH38" i="4448"/>
  <c r="CH39" i="4448"/>
  <c r="CH40" i="4448"/>
  <c r="CH41" i="4448"/>
  <c r="CH42" i="4448"/>
  <c r="CH43" i="4448"/>
  <c r="CH44" i="4448"/>
  <c r="CH45" i="4448"/>
  <c r="CH46" i="4448"/>
  <c r="CH47" i="4448"/>
  <c r="CH48" i="4448"/>
  <c r="CH49" i="4448"/>
  <c r="CH50" i="4448"/>
  <c r="CH51" i="4448"/>
  <c r="CH52" i="4448"/>
  <c r="CH53" i="4448"/>
  <c r="CH54" i="4448"/>
  <c r="CH55" i="4448"/>
  <c r="CH56" i="4448"/>
  <c r="CH57" i="4448"/>
  <c r="CH58" i="4448"/>
  <c r="CH59" i="4448"/>
  <c r="CH60" i="4448"/>
  <c r="CH61" i="4448"/>
  <c r="CH62" i="4448"/>
  <c r="CH63" i="4448"/>
  <c r="CH64" i="4448"/>
  <c r="CH65" i="4448"/>
  <c r="CH66" i="4448"/>
  <c r="CH67" i="4448"/>
  <c r="CH68" i="4448"/>
  <c r="CH69" i="4448"/>
  <c r="CH70" i="4448"/>
  <c r="CH71" i="4448"/>
  <c r="CH72" i="4448"/>
  <c r="CH73" i="4448"/>
  <c r="CH74" i="4448"/>
  <c r="CH77" i="4448"/>
  <c r="CH78" i="4448"/>
  <c r="CH79" i="4448"/>
  <c r="CH80" i="4448"/>
  <c r="CH81" i="4448"/>
  <c r="CH82" i="4448"/>
  <c r="CH83" i="4448"/>
  <c r="CH84" i="4448"/>
  <c r="CH85" i="4448"/>
  <c r="CH86" i="4448"/>
  <c r="CH87" i="4448"/>
  <c r="CH88" i="4448"/>
  <c r="CH89" i="4448"/>
  <c r="CH90" i="4448"/>
  <c r="CH91" i="4448"/>
  <c r="CH92" i="4448"/>
  <c r="CH93" i="4448"/>
  <c r="CH94" i="4448"/>
  <c r="CH95" i="4448"/>
  <c r="CH96" i="4448"/>
  <c r="CH97" i="4448"/>
  <c r="CH98" i="4448"/>
  <c r="CH99" i="4448"/>
  <c r="CH100" i="4448"/>
  <c r="CH101" i="4448"/>
  <c r="CH102" i="4448"/>
  <c r="CH75" i="4448"/>
  <c r="CH76" i="4448"/>
  <c r="BV6" i="4448"/>
  <c r="BV8" i="4448"/>
  <c r="BV10" i="4448"/>
  <c r="BV12" i="4448"/>
  <c r="BV5" i="4448"/>
  <c r="BV13" i="4448"/>
  <c r="BV7" i="4448"/>
  <c r="BV15" i="4448"/>
  <c r="BV17" i="4448"/>
  <c r="BV19" i="4448"/>
  <c r="BV21" i="4448"/>
  <c r="BV23" i="4448"/>
  <c r="BV25" i="4448"/>
  <c r="BV27" i="4448"/>
  <c r="BV29" i="4448"/>
  <c r="BV31" i="4448"/>
  <c r="BV33" i="4448"/>
  <c r="BV16" i="4448"/>
  <c r="BV24" i="4448"/>
  <c r="BV32" i="4448"/>
  <c r="BV11" i="4448"/>
  <c r="BV18" i="4448"/>
  <c r="BV26" i="4448"/>
  <c r="BV34" i="4448"/>
  <c r="BV36" i="4448"/>
  <c r="BV38" i="4448"/>
  <c r="BV40" i="4448"/>
  <c r="BV42" i="4448"/>
  <c r="BV44" i="4448"/>
  <c r="BV46" i="4448"/>
  <c r="BV48" i="4448"/>
  <c r="BV50" i="4448"/>
  <c r="BV52" i="4448"/>
  <c r="BV20" i="4448"/>
  <c r="BV28" i="4448"/>
  <c r="BV30" i="4448"/>
  <c r="BV35" i="4448"/>
  <c r="BV43" i="4448"/>
  <c r="BV51" i="4448"/>
  <c r="BV56" i="4448"/>
  <c r="BV57" i="4448"/>
  <c r="BV59" i="4448"/>
  <c r="BV61" i="4448"/>
  <c r="BV63" i="4448"/>
  <c r="BV65" i="4448"/>
  <c r="BV67" i="4448"/>
  <c r="BV69" i="4448"/>
  <c r="BV71" i="4448"/>
  <c r="BV73" i="4448"/>
  <c r="BV75" i="4448"/>
  <c r="BV77" i="4448"/>
  <c r="BV79" i="4448"/>
  <c r="BV81" i="4448"/>
  <c r="BV83" i="4448"/>
  <c r="BV85" i="4448"/>
  <c r="BV87" i="4448"/>
  <c r="BV89" i="4448"/>
  <c r="BV91" i="4448"/>
  <c r="BV93" i="4448"/>
  <c r="BV95" i="4448"/>
  <c r="BV97" i="4448"/>
  <c r="BV99" i="4448"/>
  <c r="BV37" i="4448"/>
  <c r="BV45" i="4448"/>
  <c r="BV53" i="4448"/>
  <c r="BV14" i="4448"/>
  <c r="BV39" i="4448"/>
  <c r="BV47" i="4448"/>
  <c r="BV54" i="4448"/>
  <c r="BV58" i="4448"/>
  <c r="BV60" i="4448"/>
  <c r="BV62" i="4448"/>
  <c r="BV64" i="4448"/>
  <c r="BV66" i="4448"/>
  <c r="BV68" i="4448"/>
  <c r="BV70" i="4448"/>
  <c r="BV72" i="4448"/>
  <c r="BV74" i="4448"/>
  <c r="BV76" i="4448"/>
  <c r="BV78" i="4448"/>
  <c r="BV80" i="4448"/>
  <c r="BV82" i="4448"/>
  <c r="BV84" i="4448"/>
  <c r="BV86" i="4448"/>
  <c r="BV88" i="4448"/>
  <c r="BV90" i="4448"/>
  <c r="BV92" i="4448"/>
  <c r="BV94" i="4448"/>
  <c r="BV96" i="4448"/>
  <c r="BV98" i="4448"/>
  <c r="BV100" i="4448"/>
  <c r="BZ39" i="4448"/>
  <c r="BM6" i="4448"/>
  <c r="BM8" i="4448"/>
  <c r="BM10" i="4448"/>
  <c r="BM12" i="4448"/>
  <c r="BM14" i="4448"/>
  <c r="BM9" i="4448"/>
  <c r="BM11" i="4448"/>
  <c r="BM15" i="4448"/>
  <c r="BM17" i="4448"/>
  <c r="BM19" i="4448"/>
  <c r="BM21" i="4448"/>
  <c r="BM23" i="4448"/>
  <c r="BM25" i="4448"/>
  <c r="BM27" i="4448"/>
  <c r="BM29" i="4448"/>
  <c r="BM31" i="4448"/>
  <c r="BM33" i="4448"/>
  <c r="BM5" i="4448"/>
  <c r="BM13" i="4448"/>
  <c r="BM20" i="4448"/>
  <c r="BM28" i="4448"/>
  <c r="BM22" i="4448"/>
  <c r="BM30" i="4448"/>
  <c r="BM34" i="4448"/>
  <c r="BM36" i="4448"/>
  <c r="BM38" i="4448"/>
  <c r="BM40" i="4448"/>
  <c r="BM42" i="4448"/>
  <c r="BM44" i="4448"/>
  <c r="BM46" i="4448"/>
  <c r="BM48" i="4448"/>
  <c r="BM50" i="4448"/>
  <c r="BM52" i="4448"/>
  <c r="BM7" i="4448"/>
  <c r="BM16" i="4448"/>
  <c r="BM24" i="4448"/>
  <c r="BM32" i="4448"/>
  <c r="BM18" i="4448"/>
  <c r="BM39" i="4448"/>
  <c r="BM47" i="4448"/>
  <c r="BM56" i="4448"/>
  <c r="BM59" i="4448"/>
  <c r="BM61" i="4448"/>
  <c r="BM63" i="4448"/>
  <c r="BM65" i="4448"/>
  <c r="BM67" i="4448"/>
  <c r="BM69" i="4448"/>
  <c r="BM71" i="4448"/>
  <c r="BM73" i="4448"/>
  <c r="BM75" i="4448"/>
  <c r="BM77" i="4448"/>
  <c r="BM79" i="4448"/>
  <c r="BM81" i="4448"/>
  <c r="BM83" i="4448"/>
  <c r="BM85" i="4448"/>
  <c r="BM87" i="4448"/>
  <c r="BM89" i="4448"/>
  <c r="BM91" i="4448"/>
  <c r="BM93" i="4448"/>
  <c r="BM95" i="4448"/>
  <c r="BM97" i="4448"/>
  <c r="BM99" i="4448"/>
  <c r="BM101" i="4448"/>
  <c r="BM26" i="4448"/>
  <c r="BM41" i="4448"/>
  <c r="BM49" i="4448"/>
  <c r="BM57" i="4448"/>
  <c r="BM35" i="4448"/>
  <c r="BM43" i="4448"/>
  <c r="BM51" i="4448"/>
  <c r="BM54" i="4448"/>
  <c r="BM58" i="4448"/>
  <c r="BM60" i="4448"/>
  <c r="BM62" i="4448"/>
  <c r="BM64" i="4448"/>
  <c r="BM66" i="4448"/>
  <c r="BM68" i="4448"/>
  <c r="BM70" i="4448"/>
  <c r="BM72" i="4448"/>
  <c r="BM74" i="4448"/>
  <c r="BM76" i="4448"/>
  <c r="BM78" i="4448"/>
  <c r="BM80" i="4448"/>
  <c r="BM82" i="4448"/>
  <c r="BM84" i="4448"/>
  <c r="BM86" i="4448"/>
  <c r="BM88" i="4448"/>
  <c r="BM90" i="4448"/>
  <c r="BM92" i="4448"/>
  <c r="BM94" i="4448"/>
  <c r="BM96" i="4448"/>
  <c r="BM98" i="4448"/>
  <c r="BM100" i="4448"/>
  <c r="BI6" i="4448"/>
  <c r="BI8" i="4448"/>
  <c r="BI10" i="4448"/>
  <c r="BI12" i="4448"/>
  <c r="BI14" i="4448"/>
  <c r="BI11" i="4448"/>
  <c r="BI5" i="4448"/>
  <c r="BI13" i="4448"/>
  <c r="BI15" i="4448"/>
  <c r="BI17" i="4448"/>
  <c r="BI19" i="4448"/>
  <c r="BI21" i="4448"/>
  <c r="BI23" i="4448"/>
  <c r="BI25" i="4448"/>
  <c r="BI27" i="4448"/>
  <c r="BI29" i="4448"/>
  <c r="BI31" i="4448"/>
  <c r="BI33" i="4448"/>
  <c r="BI7" i="4448"/>
  <c r="BI22" i="4448"/>
  <c r="BI30" i="4448"/>
  <c r="BI9" i="4448"/>
  <c r="BI16" i="4448"/>
  <c r="BI24" i="4448"/>
  <c r="BI32" i="4448"/>
  <c r="BI34" i="4448"/>
  <c r="BI36" i="4448"/>
  <c r="BI38" i="4448"/>
  <c r="BI40" i="4448"/>
  <c r="BI42" i="4448"/>
  <c r="BI44" i="4448"/>
  <c r="BI46" i="4448"/>
  <c r="BI48" i="4448"/>
  <c r="BI50" i="4448"/>
  <c r="BI52" i="4448"/>
  <c r="BI18" i="4448"/>
  <c r="BI26" i="4448"/>
  <c r="BI28" i="4448"/>
  <c r="BI41" i="4448"/>
  <c r="BI49" i="4448"/>
  <c r="BI54" i="4448"/>
  <c r="BI59" i="4448"/>
  <c r="BI61" i="4448"/>
  <c r="BI63" i="4448"/>
  <c r="BI65" i="4448"/>
  <c r="BI67" i="4448"/>
  <c r="BI69" i="4448"/>
  <c r="BI71" i="4448"/>
  <c r="BI73" i="4448"/>
  <c r="BI75" i="4448"/>
  <c r="BI77" i="4448"/>
  <c r="BI79" i="4448"/>
  <c r="BI81" i="4448"/>
  <c r="BI83" i="4448"/>
  <c r="BI85" i="4448"/>
  <c r="BI87" i="4448"/>
  <c r="BI89" i="4448"/>
  <c r="BI91" i="4448"/>
  <c r="BI93" i="4448"/>
  <c r="BI95" i="4448"/>
  <c r="BI97" i="4448"/>
  <c r="BI99" i="4448"/>
  <c r="BI101" i="4448"/>
  <c r="BI35" i="4448"/>
  <c r="BI43" i="4448"/>
  <c r="BI51" i="4448"/>
  <c r="BI55" i="4448"/>
  <c r="BI37" i="4448"/>
  <c r="BI45" i="4448"/>
  <c r="BI53" i="4448"/>
  <c r="BI56" i="4448"/>
  <c r="BI58" i="4448"/>
  <c r="BI60" i="4448"/>
  <c r="BI62" i="4448"/>
  <c r="BI64" i="4448"/>
  <c r="BI66" i="4448"/>
  <c r="BI68" i="4448"/>
  <c r="BI70" i="4448"/>
  <c r="BI72" i="4448"/>
  <c r="BI74" i="4448"/>
  <c r="BI76" i="4448"/>
  <c r="BI78" i="4448"/>
  <c r="BI80" i="4448"/>
  <c r="BI82" i="4448"/>
  <c r="BI84" i="4448"/>
  <c r="BI86" i="4448"/>
  <c r="BI88" i="4448"/>
  <c r="BI90" i="4448"/>
  <c r="BI92" i="4448"/>
  <c r="BI94" i="4448"/>
  <c r="BI96" i="4448"/>
  <c r="BI98" i="4448"/>
  <c r="BI100" i="4448"/>
  <c r="BE6" i="4448"/>
  <c r="BE8" i="4448"/>
  <c r="BE10" i="4448"/>
  <c r="BE12" i="4448"/>
  <c r="BE14" i="4448"/>
  <c r="BE5" i="4448"/>
  <c r="BE13" i="4448"/>
  <c r="BE7" i="4448"/>
  <c r="BE15" i="4448"/>
  <c r="BE17" i="4448"/>
  <c r="BE19" i="4448"/>
  <c r="BE21" i="4448"/>
  <c r="BE23" i="4448"/>
  <c r="BE25" i="4448"/>
  <c r="BE27" i="4448"/>
  <c r="BE29" i="4448"/>
  <c r="BE31" i="4448"/>
  <c r="BE33" i="4448"/>
  <c r="BE9" i="4448"/>
  <c r="BE11" i="4448"/>
  <c r="BE16" i="4448"/>
  <c r="BE24" i="4448"/>
  <c r="BE32" i="4448"/>
  <c r="BE18" i="4448"/>
  <c r="BE26" i="4448"/>
  <c r="BE36" i="4448"/>
  <c r="BE38" i="4448"/>
  <c r="BE40" i="4448"/>
  <c r="BE42" i="4448"/>
  <c r="BE44" i="4448"/>
  <c r="BE46" i="4448"/>
  <c r="BE48" i="4448"/>
  <c r="BE50" i="4448"/>
  <c r="BE52" i="4448"/>
  <c r="BE20" i="4448"/>
  <c r="BE28" i="4448"/>
  <c r="BE34" i="4448"/>
  <c r="BE35" i="4448"/>
  <c r="BE43" i="4448"/>
  <c r="BE51" i="4448"/>
  <c r="BE56" i="4448"/>
  <c r="BE59" i="4448"/>
  <c r="BE61" i="4448"/>
  <c r="BE63" i="4448"/>
  <c r="BE65" i="4448"/>
  <c r="BE67" i="4448"/>
  <c r="BE69" i="4448"/>
  <c r="BE71" i="4448"/>
  <c r="BE73" i="4448"/>
  <c r="BE75" i="4448"/>
  <c r="BE77" i="4448"/>
  <c r="BE79" i="4448"/>
  <c r="BE81" i="4448"/>
  <c r="BE83" i="4448"/>
  <c r="BE85" i="4448"/>
  <c r="BE87" i="4448"/>
  <c r="BE89" i="4448"/>
  <c r="BE91" i="4448"/>
  <c r="BE93" i="4448"/>
  <c r="BE95" i="4448"/>
  <c r="BE97" i="4448"/>
  <c r="BE99" i="4448"/>
  <c r="BE101" i="4448"/>
  <c r="BE37" i="4448"/>
  <c r="BE45" i="4448"/>
  <c r="BE53" i="4448"/>
  <c r="BE57" i="4448"/>
  <c r="BE22" i="4448"/>
  <c r="BE39" i="4448"/>
  <c r="BE47" i="4448"/>
  <c r="BE54" i="4448"/>
  <c r="BE58" i="4448"/>
  <c r="BE60" i="4448"/>
  <c r="BE62" i="4448"/>
  <c r="BE64" i="4448"/>
  <c r="BE66" i="4448"/>
  <c r="BE68" i="4448"/>
  <c r="BE70" i="4448"/>
  <c r="BE72" i="4448"/>
  <c r="BE74" i="4448"/>
  <c r="BE76" i="4448"/>
  <c r="BE78" i="4448"/>
  <c r="BE80" i="4448"/>
  <c r="BE82" i="4448"/>
  <c r="BE84" i="4448"/>
  <c r="BE86" i="4448"/>
  <c r="BE88" i="4448"/>
  <c r="BE90" i="4448"/>
  <c r="BE92" i="4448"/>
  <c r="BE94" i="4448"/>
  <c r="BE96" i="4448"/>
  <c r="BE98" i="4448"/>
  <c r="BE100" i="4448"/>
  <c r="BA6" i="4448"/>
  <c r="BA8" i="4448"/>
  <c r="BA10" i="4448"/>
  <c r="BA12" i="4448"/>
  <c r="BA14" i="4448"/>
  <c r="BA7" i="4448"/>
  <c r="BA9" i="4448"/>
  <c r="BA15" i="4448"/>
  <c r="BA17" i="4448"/>
  <c r="BA19" i="4448"/>
  <c r="BA21" i="4448"/>
  <c r="BA23" i="4448"/>
  <c r="BA25" i="4448"/>
  <c r="BA27" i="4448"/>
  <c r="BA29" i="4448"/>
  <c r="BA31" i="4448"/>
  <c r="BA33" i="4448"/>
  <c r="BA11" i="4448"/>
  <c r="BA18" i="4448"/>
  <c r="BA26" i="4448"/>
  <c r="BA34" i="4448"/>
  <c r="BA20" i="4448"/>
  <c r="BA28" i="4448"/>
  <c r="BA36" i="4448"/>
  <c r="BA38" i="4448"/>
  <c r="BA40" i="4448"/>
  <c r="BA42" i="4448"/>
  <c r="BA44" i="4448"/>
  <c r="BA46" i="4448"/>
  <c r="BA48" i="4448"/>
  <c r="BA50" i="4448"/>
  <c r="BA52" i="4448"/>
  <c r="BA5" i="4448"/>
  <c r="BA22" i="4448"/>
  <c r="BA30" i="4448"/>
  <c r="BA16" i="4448"/>
  <c r="BA37" i="4448"/>
  <c r="BA45" i="4448"/>
  <c r="BA53" i="4448"/>
  <c r="BA54" i="4448"/>
  <c r="BA59" i="4448"/>
  <c r="BA61" i="4448"/>
  <c r="BA63" i="4448"/>
  <c r="BA65" i="4448"/>
  <c r="BA67" i="4448"/>
  <c r="BA69" i="4448"/>
  <c r="BA71" i="4448"/>
  <c r="BA73" i="4448"/>
  <c r="BA75" i="4448"/>
  <c r="BA77" i="4448"/>
  <c r="BA79" i="4448"/>
  <c r="BA81" i="4448"/>
  <c r="BA83" i="4448"/>
  <c r="BA85" i="4448"/>
  <c r="BA87" i="4448"/>
  <c r="BA89" i="4448"/>
  <c r="BA91" i="4448"/>
  <c r="BA93" i="4448"/>
  <c r="BA95" i="4448"/>
  <c r="BA97" i="4448"/>
  <c r="BA99" i="4448"/>
  <c r="BA101" i="4448"/>
  <c r="BA13" i="4448"/>
  <c r="BA24" i="4448"/>
  <c r="BA39" i="4448"/>
  <c r="BA47" i="4448"/>
  <c r="BA55" i="4448"/>
  <c r="BA32" i="4448"/>
  <c r="BA41" i="4448"/>
  <c r="BA49" i="4448"/>
  <c r="BA56" i="4448"/>
  <c r="BA58" i="4448"/>
  <c r="BA60" i="4448"/>
  <c r="BA62" i="4448"/>
  <c r="BA64" i="4448"/>
  <c r="BA66" i="4448"/>
  <c r="BA68" i="4448"/>
  <c r="BA70" i="4448"/>
  <c r="BA72" i="4448"/>
  <c r="BA74" i="4448"/>
  <c r="BA76" i="4448"/>
  <c r="BA78" i="4448"/>
  <c r="BA80" i="4448"/>
  <c r="BA82" i="4448"/>
  <c r="BA84" i="4448"/>
  <c r="BA86" i="4448"/>
  <c r="BA88" i="4448"/>
  <c r="BA90" i="4448"/>
  <c r="BA92" i="4448"/>
  <c r="BA94" i="4448"/>
  <c r="BA96" i="4448"/>
  <c r="BA98" i="4448"/>
  <c r="BA100" i="4448"/>
  <c r="CJ5" i="4448"/>
  <c r="CJ6" i="4448"/>
  <c r="CJ7" i="4448"/>
  <c r="CJ8" i="4448"/>
  <c r="CJ9" i="4448"/>
  <c r="CJ10" i="4448"/>
  <c r="CJ11" i="4448"/>
  <c r="CJ12" i="4448"/>
  <c r="CJ13" i="4448"/>
  <c r="CJ14" i="4448"/>
  <c r="CJ15" i="4448"/>
  <c r="CJ16" i="4448"/>
  <c r="CJ17" i="4448"/>
  <c r="CJ18" i="4448"/>
  <c r="CJ19" i="4448"/>
  <c r="CJ20" i="4448"/>
  <c r="CJ21" i="4448"/>
  <c r="CJ22" i="4448"/>
  <c r="CJ23" i="4448"/>
  <c r="CJ24" i="4448"/>
  <c r="CJ25" i="4448"/>
  <c r="CJ26" i="4448"/>
  <c r="CJ27" i="4448"/>
  <c r="CJ28" i="4448"/>
  <c r="CJ29" i="4448"/>
  <c r="CJ32" i="4448"/>
  <c r="CJ36" i="4448"/>
  <c r="CJ40" i="4448"/>
  <c r="CJ44" i="4448"/>
  <c r="CJ48" i="4448"/>
  <c r="CJ52" i="4448"/>
  <c r="CJ31" i="4448"/>
  <c r="CJ35" i="4448"/>
  <c r="CJ39" i="4448"/>
  <c r="CJ43" i="4448"/>
  <c r="CJ47" i="4448"/>
  <c r="CJ30" i="4448"/>
  <c r="CJ34" i="4448"/>
  <c r="CJ38" i="4448"/>
  <c r="CJ42" i="4448"/>
  <c r="CJ46" i="4448"/>
  <c r="CJ50" i="4448"/>
  <c r="CJ45" i="4448"/>
  <c r="CJ55" i="4448"/>
  <c r="CJ59" i="4448"/>
  <c r="CJ63" i="4448"/>
  <c r="CJ67" i="4448"/>
  <c r="CJ71" i="4448"/>
  <c r="CJ75" i="4448"/>
  <c r="CJ41" i="4448"/>
  <c r="CJ51" i="4448"/>
  <c r="CJ54" i="4448"/>
  <c r="CJ58" i="4448"/>
  <c r="CJ62" i="4448"/>
  <c r="CJ66" i="4448"/>
  <c r="CJ70" i="4448"/>
  <c r="CJ76" i="4448"/>
  <c r="CJ37" i="4448"/>
  <c r="CJ53" i="4448"/>
  <c r="CJ57" i="4448"/>
  <c r="CJ61" i="4448"/>
  <c r="CJ65" i="4448"/>
  <c r="CJ69" i="4448"/>
  <c r="CJ73" i="4448"/>
  <c r="CJ49" i="4448"/>
  <c r="CJ56" i="4448"/>
  <c r="CJ72" i="4448"/>
  <c r="CJ74" i="4448"/>
  <c r="CJ80" i="4448"/>
  <c r="CJ84" i="4448"/>
  <c r="CJ88" i="4448"/>
  <c r="CJ92" i="4448"/>
  <c r="CJ96" i="4448"/>
  <c r="CJ100" i="4448"/>
  <c r="CJ33" i="4448"/>
  <c r="CJ68" i="4448"/>
  <c r="CJ79" i="4448"/>
  <c r="CJ83" i="4448"/>
  <c r="CJ87" i="4448"/>
  <c r="CJ91" i="4448"/>
  <c r="CJ95" i="4448"/>
  <c r="CJ99" i="4448"/>
  <c r="CJ64" i="4448"/>
  <c r="CJ78" i="4448"/>
  <c r="CJ82" i="4448"/>
  <c r="CJ86" i="4448"/>
  <c r="CJ90" i="4448"/>
  <c r="CJ94" i="4448"/>
  <c r="CJ98" i="4448"/>
  <c r="CJ102" i="4448"/>
  <c r="CJ89" i="4448"/>
  <c r="CJ85" i="4448"/>
  <c r="CJ101" i="4448"/>
  <c r="CJ60" i="4448"/>
  <c r="CJ81" i="4448"/>
  <c r="CJ97" i="4448"/>
  <c r="CJ93" i="4448"/>
  <c r="CJ77" i="4448"/>
  <c r="CF5" i="4448"/>
  <c r="CF6" i="4448"/>
  <c r="CF7" i="4448"/>
  <c r="CF8" i="4448"/>
  <c r="CF9" i="4448"/>
  <c r="CF10" i="4448"/>
  <c r="CF11" i="4448"/>
  <c r="CF12" i="4448"/>
  <c r="CF13" i="4448"/>
  <c r="CF14" i="4448"/>
  <c r="CF15" i="4448"/>
  <c r="CF16" i="4448"/>
  <c r="CF17" i="4448"/>
  <c r="CF18" i="4448"/>
  <c r="CF19" i="4448"/>
  <c r="CF20" i="4448"/>
  <c r="CF21" i="4448"/>
  <c r="CF22" i="4448"/>
  <c r="CF23" i="4448"/>
  <c r="CF24" i="4448"/>
  <c r="CF25" i="4448"/>
  <c r="CF26" i="4448"/>
  <c r="CF27" i="4448"/>
  <c r="CF28" i="4448"/>
  <c r="CF29" i="4448"/>
  <c r="CF31" i="4448"/>
  <c r="CF35" i="4448"/>
  <c r="CF39" i="4448"/>
  <c r="CF43" i="4448"/>
  <c r="CF47" i="4448"/>
  <c r="CF51" i="4448"/>
  <c r="CF30" i="4448"/>
  <c r="CF34" i="4448"/>
  <c r="CF38" i="4448"/>
  <c r="CF42" i="4448"/>
  <c r="CF46" i="4448"/>
  <c r="CF50" i="4448"/>
  <c r="CF52" i="4448"/>
  <c r="CF33" i="4448"/>
  <c r="CF37" i="4448"/>
  <c r="CF41" i="4448"/>
  <c r="CF45" i="4448"/>
  <c r="CF49" i="4448"/>
  <c r="CF40" i="4448"/>
  <c r="CF54" i="4448"/>
  <c r="CF58" i="4448"/>
  <c r="CF62" i="4448"/>
  <c r="CF66" i="4448"/>
  <c r="CF70" i="4448"/>
  <c r="CF74" i="4448"/>
  <c r="CF36" i="4448"/>
  <c r="CF53" i="4448"/>
  <c r="CF57" i="4448"/>
  <c r="CF61" i="4448"/>
  <c r="CF65" i="4448"/>
  <c r="CF69" i="4448"/>
  <c r="CF75" i="4448"/>
  <c r="CF32" i="4448"/>
  <c r="CF48" i="4448"/>
  <c r="CF56" i="4448"/>
  <c r="CF60" i="4448"/>
  <c r="CF64" i="4448"/>
  <c r="CF68" i="4448"/>
  <c r="CF72" i="4448"/>
  <c r="CF76" i="4448"/>
  <c r="CF67" i="4448"/>
  <c r="CF79" i="4448"/>
  <c r="CF83" i="4448"/>
  <c r="CF87" i="4448"/>
  <c r="CF91" i="4448"/>
  <c r="CF95" i="4448"/>
  <c r="CF99" i="4448"/>
  <c r="CF63" i="4448"/>
  <c r="CF73" i="4448"/>
  <c r="CF78" i="4448"/>
  <c r="CF82" i="4448"/>
  <c r="CF86" i="4448"/>
  <c r="CF90" i="4448"/>
  <c r="CF94" i="4448"/>
  <c r="CF98" i="4448"/>
  <c r="CF102" i="4448"/>
  <c r="CF59" i="4448"/>
  <c r="CF77" i="4448"/>
  <c r="CF81" i="4448"/>
  <c r="CF85" i="4448"/>
  <c r="CF89" i="4448"/>
  <c r="CF93" i="4448"/>
  <c r="CF97" i="4448"/>
  <c r="CF101" i="4448"/>
  <c r="CF44" i="4448"/>
  <c r="CF71" i="4448"/>
  <c r="CF84" i="4448"/>
  <c r="CF100" i="4448"/>
  <c r="CF55" i="4448"/>
  <c r="CF80" i="4448"/>
  <c r="CF96" i="4448"/>
  <c r="CF92" i="4448"/>
  <c r="CB5" i="4448"/>
  <c r="CB6" i="4448"/>
  <c r="CB7" i="4448"/>
  <c r="CB8" i="4448"/>
  <c r="CB9" i="4448"/>
  <c r="CB10" i="4448"/>
  <c r="CB11" i="4448"/>
  <c r="CB12" i="4448"/>
  <c r="CB13" i="4448"/>
  <c r="CB14" i="4448"/>
  <c r="CB15" i="4448"/>
  <c r="CB16" i="4448"/>
  <c r="CB17" i="4448"/>
  <c r="CB18" i="4448"/>
  <c r="CB19" i="4448"/>
  <c r="CB20" i="4448"/>
  <c r="CB21" i="4448"/>
  <c r="CB22" i="4448"/>
  <c r="CB23" i="4448"/>
  <c r="CB24" i="4448"/>
  <c r="CB25" i="4448"/>
  <c r="CB26" i="4448"/>
  <c r="CB27" i="4448"/>
  <c r="CB28" i="4448"/>
  <c r="CB29" i="4448"/>
  <c r="CB30" i="4448"/>
  <c r="CB34" i="4448"/>
  <c r="CB38" i="4448"/>
  <c r="CB42" i="4448"/>
  <c r="CB46" i="4448"/>
  <c r="CB50" i="4448"/>
  <c r="CB33" i="4448"/>
  <c r="CB37" i="4448"/>
  <c r="CB41" i="4448"/>
  <c r="CB45" i="4448"/>
  <c r="CB49" i="4448"/>
  <c r="CB32" i="4448"/>
  <c r="CB36" i="4448"/>
  <c r="CB40" i="4448"/>
  <c r="CB44" i="4448"/>
  <c r="CB48" i="4448"/>
  <c r="CB52" i="4448"/>
  <c r="CB35" i="4448"/>
  <c r="CB51" i="4448"/>
  <c r="CB53" i="4448"/>
  <c r="CB57" i="4448"/>
  <c r="CB61" i="4448"/>
  <c r="CB65" i="4448"/>
  <c r="CB69" i="4448"/>
  <c r="CB73" i="4448"/>
  <c r="CB77" i="4448"/>
  <c r="CB31" i="4448"/>
  <c r="CB47" i="4448"/>
  <c r="CB56" i="4448"/>
  <c r="CB60" i="4448"/>
  <c r="CB64" i="4448"/>
  <c r="CB68" i="4448"/>
  <c r="CB72" i="4448"/>
  <c r="CB74" i="4448"/>
  <c r="CB43" i="4448"/>
  <c r="CB55" i="4448"/>
  <c r="CB59" i="4448"/>
  <c r="CB63" i="4448"/>
  <c r="CB67" i="4448"/>
  <c r="CB71" i="4448"/>
  <c r="CB75" i="4448"/>
  <c r="CB62" i="4448"/>
  <c r="CB78" i="4448"/>
  <c r="CB82" i="4448"/>
  <c r="CB86" i="4448"/>
  <c r="CB90" i="4448"/>
  <c r="CB94" i="4448"/>
  <c r="CB98" i="4448"/>
  <c r="CB102" i="4448"/>
  <c r="CB58" i="4448"/>
  <c r="CB81" i="4448"/>
  <c r="CB85" i="4448"/>
  <c r="CB89" i="4448"/>
  <c r="CB93" i="4448"/>
  <c r="CB97" i="4448"/>
  <c r="CB101" i="4448"/>
  <c r="CB39" i="4448"/>
  <c r="CB54" i="4448"/>
  <c r="CB70" i="4448"/>
  <c r="CB80" i="4448"/>
  <c r="CB84" i="4448"/>
  <c r="CB88" i="4448"/>
  <c r="CB92" i="4448"/>
  <c r="CB96" i="4448"/>
  <c r="CB100" i="4448"/>
  <c r="CB79" i="4448"/>
  <c r="CB95" i="4448"/>
  <c r="CB91" i="4448"/>
  <c r="CB76" i="4448"/>
  <c r="CB87" i="4448"/>
  <c r="CB66" i="4448"/>
  <c r="CB99" i="4448"/>
  <c r="CB83" i="4448"/>
  <c r="BX5" i="4448"/>
  <c r="BX7" i="4448"/>
  <c r="BX9" i="4448"/>
  <c r="BX11" i="4448"/>
  <c r="BX13" i="4448"/>
  <c r="BX8" i="4448"/>
  <c r="BX10" i="4448"/>
  <c r="BX14" i="4448"/>
  <c r="BX16" i="4448"/>
  <c r="BX18" i="4448"/>
  <c r="BX20" i="4448"/>
  <c r="BX22" i="4448"/>
  <c r="BX24" i="4448"/>
  <c r="BX26" i="4448"/>
  <c r="BX28" i="4448"/>
  <c r="BX30" i="4448"/>
  <c r="BX32" i="4448"/>
  <c r="BX12" i="4448"/>
  <c r="BX19" i="4448"/>
  <c r="BX27" i="4448"/>
  <c r="BX6" i="4448"/>
  <c r="BX21" i="4448"/>
  <c r="BX29" i="4448"/>
  <c r="BX35" i="4448"/>
  <c r="BX37" i="4448"/>
  <c r="BX39" i="4448"/>
  <c r="BX41" i="4448"/>
  <c r="BX43" i="4448"/>
  <c r="BX45" i="4448"/>
  <c r="BX47" i="4448"/>
  <c r="BX49" i="4448"/>
  <c r="BX51" i="4448"/>
  <c r="BX15" i="4448"/>
  <c r="BX23" i="4448"/>
  <c r="BX31" i="4448"/>
  <c r="BX25" i="4448"/>
  <c r="BX38" i="4448"/>
  <c r="BX46" i="4448"/>
  <c r="BX55" i="4448"/>
  <c r="BX58" i="4448"/>
  <c r="BX60" i="4448"/>
  <c r="BX62" i="4448"/>
  <c r="BX64" i="4448"/>
  <c r="BX66" i="4448"/>
  <c r="BX68" i="4448"/>
  <c r="BX70" i="4448"/>
  <c r="BX72" i="4448"/>
  <c r="BX74" i="4448"/>
  <c r="BX76" i="4448"/>
  <c r="BX78" i="4448"/>
  <c r="BX80" i="4448"/>
  <c r="BX82" i="4448"/>
  <c r="BX84" i="4448"/>
  <c r="BX86" i="4448"/>
  <c r="BX88" i="4448"/>
  <c r="BX90" i="4448"/>
  <c r="BX92" i="4448"/>
  <c r="BX94" i="4448"/>
  <c r="BX96" i="4448"/>
  <c r="BX98" i="4448"/>
  <c r="BX100" i="4448"/>
  <c r="BX33" i="4448"/>
  <c r="BX40" i="4448"/>
  <c r="BX48" i="4448"/>
  <c r="BX56" i="4448"/>
  <c r="BX34" i="4448"/>
  <c r="BX42" i="4448"/>
  <c r="BX50" i="4448"/>
  <c r="BX53" i="4448"/>
  <c r="BX57" i="4448"/>
  <c r="BX59" i="4448"/>
  <c r="BX61" i="4448"/>
  <c r="BX63" i="4448"/>
  <c r="BX65" i="4448"/>
  <c r="BX67" i="4448"/>
  <c r="BX69" i="4448"/>
  <c r="BX71" i="4448"/>
  <c r="BX73" i="4448"/>
  <c r="BX75" i="4448"/>
  <c r="BX77" i="4448"/>
  <c r="BX79" i="4448"/>
  <c r="BX81" i="4448"/>
  <c r="BX83" i="4448"/>
  <c r="BX85" i="4448"/>
  <c r="BX87" i="4448"/>
  <c r="BX89" i="4448"/>
  <c r="BX91" i="4448"/>
  <c r="BX93" i="4448"/>
  <c r="BX95" i="4448"/>
  <c r="BX97" i="4448"/>
  <c r="BX99" i="4448"/>
  <c r="BT5" i="4448"/>
  <c r="BT7" i="4448"/>
  <c r="BT9" i="4448"/>
  <c r="BT11" i="4448"/>
  <c r="BT13" i="4448"/>
  <c r="BT10" i="4448"/>
  <c r="BT12" i="4448"/>
  <c r="BT14" i="4448"/>
  <c r="BT16" i="4448"/>
  <c r="BT18" i="4448"/>
  <c r="BT20" i="4448"/>
  <c r="BT22" i="4448"/>
  <c r="BT24" i="4448"/>
  <c r="BT26" i="4448"/>
  <c r="BT28" i="4448"/>
  <c r="BT30" i="4448"/>
  <c r="BT32" i="4448"/>
  <c r="BT6" i="4448"/>
  <c r="BT8" i="4448"/>
  <c r="BT21" i="4448"/>
  <c r="BT29" i="4448"/>
  <c r="BT15" i="4448"/>
  <c r="BT23" i="4448"/>
  <c r="BT31" i="4448"/>
  <c r="BT35" i="4448"/>
  <c r="BT37" i="4448"/>
  <c r="BT39" i="4448"/>
  <c r="BT41" i="4448"/>
  <c r="BT43" i="4448"/>
  <c r="BT45" i="4448"/>
  <c r="BT47" i="4448"/>
  <c r="BT49" i="4448"/>
  <c r="BT51" i="4448"/>
  <c r="BT53" i="4448"/>
  <c r="BT17" i="4448"/>
  <c r="BT25" i="4448"/>
  <c r="BT33" i="4448"/>
  <c r="BT40" i="4448"/>
  <c r="BT48" i="4448"/>
  <c r="BT58" i="4448"/>
  <c r="BT60" i="4448"/>
  <c r="BT62" i="4448"/>
  <c r="BT64" i="4448"/>
  <c r="BT66" i="4448"/>
  <c r="BT68" i="4448"/>
  <c r="BT70" i="4448"/>
  <c r="BT72" i="4448"/>
  <c r="BT74" i="4448"/>
  <c r="BT76" i="4448"/>
  <c r="BT78" i="4448"/>
  <c r="BT80" i="4448"/>
  <c r="BT82" i="4448"/>
  <c r="BT84" i="4448"/>
  <c r="BT86" i="4448"/>
  <c r="BT88" i="4448"/>
  <c r="BT90" i="4448"/>
  <c r="BT92" i="4448"/>
  <c r="BT94" i="4448"/>
  <c r="BT96" i="4448"/>
  <c r="BT98" i="4448"/>
  <c r="BT100" i="4448"/>
  <c r="BT34" i="4448"/>
  <c r="BT42" i="4448"/>
  <c r="BT50" i="4448"/>
  <c r="BT54" i="4448"/>
  <c r="BT19" i="4448"/>
  <c r="BT36" i="4448"/>
  <c r="BT44" i="4448"/>
  <c r="BT52" i="4448"/>
  <c r="BT55" i="4448"/>
  <c r="BT57" i="4448"/>
  <c r="BT59" i="4448"/>
  <c r="BT61" i="4448"/>
  <c r="BT63" i="4448"/>
  <c r="BT65" i="4448"/>
  <c r="BT67" i="4448"/>
  <c r="BT69" i="4448"/>
  <c r="BT71" i="4448"/>
  <c r="BT73" i="4448"/>
  <c r="BT75" i="4448"/>
  <c r="BT77" i="4448"/>
  <c r="BT79" i="4448"/>
  <c r="BT81" i="4448"/>
  <c r="BT83" i="4448"/>
  <c r="BT85" i="4448"/>
  <c r="BT87" i="4448"/>
  <c r="BT89" i="4448"/>
  <c r="BT91" i="4448"/>
  <c r="BT93" i="4448"/>
  <c r="BT95" i="4448"/>
  <c r="BT97" i="4448"/>
  <c r="BT99" i="4448"/>
  <c r="AZ102" i="4448"/>
  <c r="AZ98" i="4448"/>
  <c r="AZ94" i="4448"/>
  <c r="AZ90" i="4448"/>
  <c r="AZ86" i="4448"/>
  <c r="AZ82" i="4448"/>
  <c r="AZ78" i="4448"/>
  <c r="AZ74" i="4448"/>
  <c r="AZ70" i="4448"/>
  <c r="AZ66" i="4448"/>
  <c r="AZ62" i="4448"/>
  <c r="AZ58" i="4448"/>
  <c r="AZ54" i="4448"/>
  <c r="AZ50" i="4448"/>
  <c r="AZ46" i="4448"/>
  <c r="AZ42" i="4448"/>
  <c r="AZ38" i="4448"/>
  <c r="AZ34" i="4448"/>
  <c r="AZ30" i="4448"/>
  <c r="AZ26" i="4448"/>
  <c r="AZ22" i="4448"/>
  <c r="AZ18" i="4448"/>
  <c r="AZ14" i="4448"/>
  <c r="AZ10" i="4448"/>
  <c r="AZ6" i="4448"/>
  <c r="BY102" i="4448"/>
  <c r="BU102" i="4448"/>
  <c r="BP102" i="4448"/>
  <c r="BL102" i="4448"/>
  <c r="BH102" i="4448"/>
  <c r="BD102" i="4448"/>
  <c r="CA101" i="4448"/>
  <c r="BW101" i="4448"/>
  <c r="BR101" i="4448"/>
  <c r="BL101" i="4448"/>
  <c r="BD101" i="4448"/>
  <c r="BW100" i="4448"/>
  <c r="BN100" i="4448"/>
  <c r="BF100" i="4448"/>
  <c r="BY99" i="4448"/>
  <c r="BP99" i="4448"/>
  <c r="BH99" i="4448"/>
  <c r="CA98" i="4448"/>
  <c r="BR98" i="4448"/>
  <c r="BB98" i="4448"/>
  <c r="BL97" i="4448"/>
  <c r="BW96" i="4448"/>
  <c r="BF96" i="4448"/>
  <c r="BP95" i="4448"/>
  <c r="CA94" i="4448"/>
  <c r="BJ94" i="4448"/>
  <c r="BU93" i="4448"/>
  <c r="BD93" i="4448"/>
  <c r="BN92" i="4448"/>
  <c r="BY91" i="4448"/>
  <c r="BH91" i="4448"/>
  <c r="BR90" i="4448"/>
  <c r="BB90" i="4448"/>
  <c r="BL89" i="4448"/>
  <c r="BW88" i="4448"/>
  <c r="BF88" i="4448"/>
  <c r="BP87" i="4448"/>
  <c r="CA86" i="4448"/>
  <c r="BJ86" i="4448"/>
  <c r="BU85" i="4448"/>
  <c r="BD85" i="4448"/>
  <c r="BN84" i="4448"/>
  <c r="BY83" i="4448"/>
  <c r="BH83" i="4448"/>
  <c r="BR82" i="4448"/>
  <c r="BB82" i="4448"/>
  <c r="BL81" i="4448"/>
  <c r="BW80" i="4448"/>
  <c r="BF80" i="4448"/>
  <c r="BP79" i="4448"/>
  <c r="CA78" i="4448"/>
  <c r="BJ78" i="4448"/>
  <c r="BU77" i="4448"/>
  <c r="BD77" i="4448"/>
  <c r="BN76" i="4448"/>
  <c r="BY75" i="4448"/>
  <c r="BH75" i="4448"/>
  <c r="BR74" i="4448"/>
  <c r="BB74" i="4448"/>
  <c r="BL73" i="4448"/>
  <c r="BW72" i="4448"/>
  <c r="BF72" i="4448"/>
  <c r="BP71" i="4448"/>
  <c r="CA70" i="4448"/>
  <c r="BJ70" i="4448"/>
  <c r="BU69" i="4448"/>
  <c r="BD69" i="4448"/>
  <c r="BN68" i="4448"/>
  <c r="BY67" i="4448"/>
  <c r="BH67" i="4448"/>
  <c r="BR66" i="4448"/>
  <c r="BB66" i="4448"/>
  <c r="BF64" i="4448"/>
  <c r="BJ62" i="4448"/>
  <c r="BU61" i="4448"/>
  <c r="BN60" i="4448"/>
  <c r="BY59" i="4448"/>
  <c r="BB58" i="4448"/>
  <c r="BI57" i="4448"/>
  <c r="BC56" i="4448"/>
  <c r="BX54" i="4448"/>
  <c r="BM53" i="4448"/>
  <c r="BA51" i="4448"/>
  <c r="BO48" i="4448"/>
  <c r="BC46" i="4448"/>
  <c r="BQ43" i="4448"/>
  <c r="BE41" i="4448"/>
  <c r="BT38" i="4448"/>
  <c r="BV22" i="4448"/>
  <c r="BG5" i="4448"/>
  <c r="BG7" i="4448"/>
  <c r="BG9" i="4448"/>
  <c r="BG11" i="4448"/>
  <c r="BG13" i="4448"/>
  <c r="BG8" i="4448"/>
  <c r="BG10" i="4448"/>
  <c r="BG16" i="4448"/>
  <c r="BG18" i="4448"/>
  <c r="BG20" i="4448"/>
  <c r="BG22" i="4448"/>
  <c r="BG24" i="4448"/>
  <c r="BG26" i="4448"/>
  <c r="BG28" i="4448"/>
  <c r="BG30" i="4448"/>
  <c r="BG32" i="4448"/>
  <c r="BG12" i="4448"/>
  <c r="BG6" i="4448"/>
  <c r="BG19" i="4448"/>
  <c r="BG27" i="4448"/>
  <c r="BG14" i="4448"/>
  <c r="BG21" i="4448"/>
  <c r="BG29" i="4448"/>
  <c r="BG35" i="4448"/>
  <c r="BG37" i="4448"/>
  <c r="BG39" i="4448"/>
  <c r="BG41" i="4448"/>
  <c r="BG43" i="4448"/>
  <c r="BG45" i="4448"/>
  <c r="BG47" i="4448"/>
  <c r="BG49" i="4448"/>
  <c r="BG51" i="4448"/>
  <c r="BG53" i="4448"/>
  <c r="BG15" i="4448"/>
  <c r="BG23" i="4448"/>
  <c r="BG31" i="4448"/>
  <c r="BG33" i="4448"/>
  <c r="BG38" i="4448"/>
  <c r="BG46" i="4448"/>
  <c r="BG55" i="4448"/>
  <c r="BG58" i="4448"/>
  <c r="BG60" i="4448"/>
  <c r="BG62" i="4448"/>
  <c r="BG64" i="4448"/>
  <c r="BG66" i="4448"/>
  <c r="BG68" i="4448"/>
  <c r="BG70" i="4448"/>
  <c r="BG72" i="4448"/>
  <c r="BG74" i="4448"/>
  <c r="BG76" i="4448"/>
  <c r="BG78" i="4448"/>
  <c r="BG80" i="4448"/>
  <c r="BG82" i="4448"/>
  <c r="BG84" i="4448"/>
  <c r="BG86" i="4448"/>
  <c r="BG88" i="4448"/>
  <c r="BG90" i="4448"/>
  <c r="BG92" i="4448"/>
  <c r="BG94" i="4448"/>
  <c r="BG96" i="4448"/>
  <c r="BG98" i="4448"/>
  <c r="BG100" i="4448"/>
  <c r="BG40" i="4448"/>
  <c r="BG48" i="4448"/>
  <c r="BG56" i="4448"/>
  <c r="BG17" i="4448"/>
  <c r="BG34" i="4448"/>
  <c r="BG42" i="4448"/>
  <c r="BG50" i="4448"/>
  <c r="BG57" i="4448"/>
  <c r="BG59" i="4448"/>
  <c r="BG61" i="4448"/>
  <c r="BG63" i="4448"/>
  <c r="BG65" i="4448"/>
  <c r="BG67" i="4448"/>
  <c r="BG69" i="4448"/>
  <c r="BG71" i="4448"/>
  <c r="BG73" i="4448"/>
  <c r="BG75" i="4448"/>
  <c r="BG77" i="4448"/>
  <c r="BG79" i="4448"/>
  <c r="BG81" i="4448"/>
  <c r="BG83" i="4448"/>
  <c r="BG85" i="4448"/>
  <c r="BG87" i="4448"/>
  <c r="BG89" i="4448"/>
  <c r="BG91" i="4448"/>
  <c r="BG93" i="4448"/>
  <c r="BG95" i="4448"/>
  <c r="BG97" i="4448"/>
  <c r="BG99" i="4448"/>
  <c r="BG101" i="4448"/>
  <c r="BC5" i="4448"/>
  <c r="BC7" i="4448"/>
  <c r="BC9" i="4448"/>
  <c r="BC11" i="4448"/>
  <c r="BC13" i="4448"/>
  <c r="BC10" i="4448"/>
  <c r="BC12" i="4448"/>
  <c r="BC16" i="4448"/>
  <c r="BC18" i="4448"/>
  <c r="BC20" i="4448"/>
  <c r="BC22" i="4448"/>
  <c r="BC24" i="4448"/>
  <c r="BC26" i="4448"/>
  <c r="BC28" i="4448"/>
  <c r="BC30" i="4448"/>
  <c r="BC32" i="4448"/>
  <c r="BC6" i="4448"/>
  <c r="BC14" i="4448"/>
  <c r="BC21" i="4448"/>
  <c r="BC29" i="4448"/>
  <c r="BC15" i="4448"/>
  <c r="BC23" i="4448"/>
  <c r="BC31" i="4448"/>
  <c r="BC34" i="4448"/>
  <c r="BC35" i="4448"/>
  <c r="BC37" i="4448"/>
  <c r="BC39" i="4448"/>
  <c r="BC41" i="4448"/>
  <c r="BC43" i="4448"/>
  <c r="BC45" i="4448"/>
  <c r="BC47" i="4448"/>
  <c r="BC49" i="4448"/>
  <c r="BC51" i="4448"/>
  <c r="BC53" i="4448"/>
  <c r="BC17" i="4448"/>
  <c r="BC25" i="4448"/>
  <c r="BC33" i="4448"/>
  <c r="BC40" i="4448"/>
  <c r="BC48" i="4448"/>
  <c r="BC57" i="4448"/>
  <c r="BC58" i="4448"/>
  <c r="BC60" i="4448"/>
  <c r="BC62" i="4448"/>
  <c r="BC64" i="4448"/>
  <c r="BC66" i="4448"/>
  <c r="BC68" i="4448"/>
  <c r="BC70" i="4448"/>
  <c r="BC72" i="4448"/>
  <c r="BC74" i="4448"/>
  <c r="BC76" i="4448"/>
  <c r="BC78" i="4448"/>
  <c r="BC80" i="4448"/>
  <c r="BC82" i="4448"/>
  <c r="BC84" i="4448"/>
  <c r="BC86" i="4448"/>
  <c r="BC88" i="4448"/>
  <c r="BC90" i="4448"/>
  <c r="BC92" i="4448"/>
  <c r="BC94" i="4448"/>
  <c r="BC96" i="4448"/>
  <c r="BC98" i="4448"/>
  <c r="BC100" i="4448"/>
  <c r="BC19" i="4448"/>
  <c r="BC42" i="4448"/>
  <c r="BC50" i="4448"/>
  <c r="BC54" i="4448"/>
  <c r="BC27" i="4448"/>
  <c r="BC36" i="4448"/>
  <c r="BC44" i="4448"/>
  <c r="BC52" i="4448"/>
  <c r="BC55" i="4448"/>
  <c r="BC59" i="4448"/>
  <c r="BC61" i="4448"/>
  <c r="BC63" i="4448"/>
  <c r="BC65" i="4448"/>
  <c r="BC67" i="4448"/>
  <c r="BC69" i="4448"/>
  <c r="BC71" i="4448"/>
  <c r="BC73" i="4448"/>
  <c r="BC75" i="4448"/>
  <c r="BC77" i="4448"/>
  <c r="BC79" i="4448"/>
  <c r="BC81" i="4448"/>
  <c r="BC83" i="4448"/>
  <c r="BC85" i="4448"/>
  <c r="BC87" i="4448"/>
  <c r="BC89" i="4448"/>
  <c r="BC91" i="4448"/>
  <c r="BC93" i="4448"/>
  <c r="BC95" i="4448"/>
  <c r="BC97" i="4448"/>
  <c r="BC99" i="4448"/>
  <c r="BC101" i="4448"/>
  <c r="CD5" i="4448"/>
  <c r="CD6" i="4448"/>
  <c r="CD7" i="4448"/>
  <c r="CD8" i="4448"/>
  <c r="CD9" i="4448"/>
  <c r="CD10" i="4448"/>
  <c r="CD11" i="4448"/>
  <c r="CD12" i="4448"/>
  <c r="CD13" i="4448"/>
  <c r="CD14" i="4448"/>
  <c r="CD15" i="4448"/>
  <c r="CD16" i="4448"/>
  <c r="CD17" i="4448"/>
  <c r="CD18" i="4448"/>
  <c r="CD19" i="4448"/>
  <c r="CD20" i="4448"/>
  <c r="CD21" i="4448"/>
  <c r="CD22" i="4448"/>
  <c r="CD23" i="4448"/>
  <c r="CD24" i="4448"/>
  <c r="CD25" i="4448"/>
  <c r="CD26" i="4448"/>
  <c r="CD27" i="4448"/>
  <c r="CD28" i="4448"/>
  <c r="CD29" i="4448"/>
  <c r="CD30" i="4448"/>
  <c r="CD31" i="4448"/>
  <c r="CD32" i="4448"/>
  <c r="CD33" i="4448"/>
  <c r="CD34" i="4448"/>
  <c r="CD35" i="4448"/>
  <c r="CD36" i="4448"/>
  <c r="CD37" i="4448"/>
  <c r="CD38" i="4448"/>
  <c r="CD39" i="4448"/>
  <c r="CD40" i="4448"/>
  <c r="CD41" i="4448"/>
  <c r="CD42" i="4448"/>
  <c r="CD43" i="4448"/>
  <c r="CD44" i="4448"/>
  <c r="CD45" i="4448"/>
  <c r="CD46" i="4448"/>
  <c r="CD47" i="4448"/>
  <c r="CD48" i="4448"/>
  <c r="CD49" i="4448"/>
  <c r="CD50" i="4448"/>
  <c r="CD51" i="4448"/>
  <c r="CD52" i="4448"/>
  <c r="CD53" i="4448"/>
  <c r="CD54" i="4448"/>
  <c r="CD55" i="4448"/>
  <c r="CD56" i="4448"/>
  <c r="CD57" i="4448"/>
  <c r="CD58" i="4448"/>
  <c r="CD59" i="4448"/>
  <c r="CD60" i="4448"/>
  <c r="CD61" i="4448"/>
  <c r="CD62" i="4448"/>
  <c r="CD63" i="4448"/>
  <c r="CD64" i="4448"/>
  <c r="CD65" i="4448"/>
  <c r="CD66" i="4448"/>
  <c r="CD67" i="4448"/>
  <c r="CD68" i="4448"/>
  <c r="CD69" i="4448"/>
  <c r="CD70" i="4448"/>
  <c r="CD71" i="4448"/>
  <c r="CD72" i="4448"/>
  <c r="CD76" i="4448"/>
  <c r="CD73" i="4448"/>
  <c r="CD77" i="4448"/>
  <c r="CD78" i="4448"/>
  <c r="CD79" i="4448"/>
  <c r="CD80" i="4448"/>
  <c r="CD81" i="4448"/>
  <c r="CD82" i="4448"/>
  <c r="CD83" i="4448"/>
  <c r="CD84" i="4448"/>
  <c r="CD85" i="4448"/>
  <c r="CD86" i="4448"/>
  <c r="CD87" i="4448"/>
  <c r="CD88" i="4448"/>
  <c r="CD89" i="4448"/>
  <c r="CD90" i="4448"/>
  <c r="CD91" i="4448"/>
  <c r="CD92" i="4448"/>
  <c r="CD93" i="4448"/>
  <c r="CD94" i="4448"/>
  <c r="CD95" i="4448"/>
  <c r="CD96" i="4448"/>
  <c r="CD97" i="4448"/>
  <c r="CD98" i="4448"/>
  <c r="CD99" i="4448"/>
  <c r="CD100" i="4448"/>
  <c r="CD101" i="4448"/>
  <c r="CD102" i="4448"/>
  <c r="CD74" i="4448"/>
  <c r="CD75" i="4448"/>
  <c r="BG54" i="4448"/>
  <c r="BV49" i="4448"/>
  <c r="BK42" i="4448"/>
  <c r="BQ6" i="4448"/>
  <c r="BQ8" i="4448"/>
  <c r="BQ10" i="4448"/>
  <c r="BQ12" i="4448"/>
  <c r="BQ7" i="4448"/>
  <c r="BQ9" i="4448"/>
  <c r="BQ15" i="4448"/>
  <c r="BQ17" i="4448"/>
  <c r="BQ19" i="4448"/>
  <c r="BQ21" i="4448"/>
  <c r="BQ23" i="4448"/>
  <c r="BQ25" i="4448"/>
  <c r="BQ27" i="4448"/>
  <c r="BQ29" i="4448"/>
  <c r="BQ31" i="4448"/>
  <c r="BQ33" i="4448"/>
  <c r="BQ11" i="4448"/>
  <c r="BQ13" i="4448"/>
  <c r="BQ18" i="4448"/>
  <c r="BQ26" i="4448"/>
  <c r="BQ20" i="4448"/>
  <c r="BQ28" i="4448"/>
  <c r="BQ34" i="4448"/>
  <c r="BQ36" i="4448"/>
  <c r="BQ38" i="4448"/>
  <c r="BQ40" i="4448"/>
  <c r="BQ42" i="4448"/>
  <c r="BQ44" i="4448"/>
  <c r="BQ46" i="4448"/>
  <c r="BQ48" i="4448"/>
  <c r="BQ50" i="4448"/>
  <c r="BQ52" i="4448"/>
  <c r="BQ14" i="4448"/>
  <c r="BQ22" i="4448"/>
  <c r="BQ30" i="4448"/>
  <c r="BQ37" i="4448"/>
  <c r="BQ45" i="4448"/>
  <c r="BQ53" i="4448"/>
  <c r="BQ54" i="4448"/>
  <c r="BQ57" i="4448"/>
  <c r="BQ59" i="4448"/>
  <c r="BQ61" i="4448"/>
  <c r="BQ63" i="4448"/>
  <c r="BQ65" i="4448"/>
  <c r="BQ67" i="4448"/>
  <c r="BQ69" i="4448"/>
  <c r="BQ71" i="4448"/>
  <c r="BQ73" i="4448"/>
  <c r="BQ75" i="4448"/>
  <c r="BQ77" i="4448"/>
  <c r="BQ79" i="4448"/>
  <c r="BQ81" i="4448"/>
  <c r="BQ83" i="4448"/>
  <c r="BQ85" i="4448"/>
  <c r="BQ87" i="4448"/>
  <c r="BQ89" i="4448"/>
  <c r="BQ91" i="4448"/>
  <c r="BQ93" i="4448"/>
  <c r="BQ95" i="4448"/>
  <c r="BQ97" i="4448"/>
  <c r="BQ99" i="4448"/>
  <c r="BQ16" i="4448"/>
  <c r="BQ39" i="4448"/>
  <c r="BQ47" i="4448"/>
  <c r="BQ55" i="4448"/>
  <c r="BQ5" i="4448"/>
  <c r="BQ24" i="4448"/>
  <c r="BQ41" i="4448"/>
  <c r="BQ49" i="4448"/>
  <c r="BQ56" i="4448"/>
  <c r="BQ58" i="4448"/>
  <c r="BQ60" i="4448"/>
  <c r="BQ62" i="4448"/>
  <c r="BQ64" i="4448"/>
  <c r="BQ66" i="4448"/>
  <c r="BQ68" i="4448"/>
  <c r="BQ70" i="4448"/>
  <c r="BQ72" i="4448"/>
  <c r="BQ74" i="4448"/>
  <c r="BQ76" i="4448"/>
  <c r="BQ78" i="4448"/>
  <c r="BQ80" i="4448"/>
  <c r="BQ82" i="4448"/>
  <c r="BQ84" i="4448"/>
  <c r="BQ86" i="4448"/>
  <c r="BQ88" i="4448"/>
  <c r="BQ90" i="4448"/>
  <c r="BQ92" i="4448"/>
  <c r="BQ94" i="4448"/>
  <c r="BQ96" i="4448"/>
  <c r="BQ98" i="4448"/>
  <c r="BQ100" i="4448"/>
  <c r="BP6" i="4448"/>
  <c r="BP8" i="4448"/>
  <c r="BP10" i="4448"/>
  <c r="BP12" i="4448"/>
  <c r="BP5" i="4448"/>
  <c r="BP7" i="4448"/>
  <c r="BP9" i="4448"/>
  <c r="BP11" i="4448"/>
  <c r="BP13" i="4448"/>
  <c r="BP15" i="4448"/>
  <c r="BP17" i="4448"/>
  <c r="BP19" i="4448"/>
  <c r="BP21" i="4448"/>
  <c r="BP23" i="4448"/>
  <c r="BP25" i="4448"/>
  <c r="BP27" i="4448"/>
  <c r="BP29" i="4448"/>
  <c r="BP31" i="4448"/>
  <c r="BP33" i="4448"/>
  <c r="BP14" i="4448"/>
  <c r="BP16" i="4448"/>
  <c r="BP18" i="4448"/>
  <c r="BP20" i="4448"/>
  <c r="BP22" i="4448"/>
  <c r="BP24" i="4448"/>
  <c r="BP26" i="4448"/>
  <c r="BP28" i="4448"/>
  <c r="BP30" i="4448"/>
  <c r="BP32" i="4448"/>
  <c r="BP34" i="4448"/>
  <c r="BP36" i="4448"/>
  <c r="BP38" i="4448"/>
  <c r="BP40" i="4448"/>
  <c r="BP42" i="4448"/>
  <c r="BP44" i="4448"/>
  <c r="BP46" i="4448"/>
  <c r="BP48" i="4448"/>
  <c r="BP50" i="4448"/>
  <c r="BP52" i="4448"/>
  <c r="BP54" i="4448"/>
  <c r="BP56" i="4448"/>
  <c r="BP35" i="4448"/>
  <c r="BP37" i="4448"/>
  <c r="BP39" i="4448"/>
  <c r="BP41" i="4448"/>
  <c r="BP43" i="4448"/>
  <c r="BP45" i="4448"/>
  <c r="BP47" i="4448"/>
  <c r="BP49" i="4448"/>
  <c r="BP51" i="4448"/>
  <c r="BP53" i="4448"/>
  <c r="BP55" i="4448"/>
  <c r="BP58" i="4448"/>
  <c r="BP60" i="4448"/>
  <c r="BP62" i="4448"/>
  <c r="BP64" i="4448"/>
  <c r="BP66" i="4448"/>
  <c r="BP68" i="4448"/>
  <c r="BP70" i="4448"/>
  <c r="BP72" i="4448"/>
  <c r="BP74" i="4448"/>
  <c r="BP76" i="4448"/>
  <c r="BP78" i="4448"/>
  <c r="BP80" i="4448"/>
  <c r="BP82" i="4448"/>
  <c r="BP84" i="4448"/>
  <c r="BP86" i="4448"/>
  <c r="BP88" i="4448"/>
  <c r="BP90" i="4448"/>
  <c r="BP92" i="4448"/>
  <c r="BP94" i="4448"/>
  <c r="BP96" i="4448"/>
  <c r="BP98" i="4448"/>
  <c r="BL6" i="4448"/>
  <c r="BL8" i="4448"/>
  <c r="BL10" i="4448"/>
  <c r="BL12" i="4448"/>
  <c r="BL14" i="4448"/>
  <c r="BL5" i="4448"/>
  <c r="BL7" i="4448"/>
  <c r="BL9" i="4448"/>
  <c r="BL11" i="4448"/>
  <c r="BL13" i="4448"/>
  <c r="BL15" i="4448"/>
  <c r="BL17" i="4448"/>
  <c r="BL19" i="4448"/>
  <c r="BL21" i="4448"/>
  <c r="BL23" i="4448"/>
  <c r="BL25" i="4448"/>
  <c r="BL27" i="4448"/>
  <c r="BL29" i="4448"/>
  <c r="BL31" i="4448"/>
  <c r="BL33" i="4448"/>
  <c r="BL16" i="4448"/>
  <c r="BL18" i="4448"/>
  <c r="BL20" i="4448"/>
  <c r="BL22" i="4448"/>
  <c r="BL24" i="4448"/>
  <c r="BL26" i="4448"/>
  <c r="BL28" i="4448"/>
  <c r="BL30" i="4448"/>
  <c r="BL32" i="4448"/>
  <c r="BL34" i="4448"/>
  <c r="BL36" i="4448"/>
  <c r="BL38" i="4448"/>
  <c r="BL40" i="4448"/>
  <c r="BL42" i="4448"/>
  <c r="BL44" i="4448"/>
  <c r="BL46" i="4448"/>
  <c r="BL48" i="4448"/>
  <c r="BL50" i="4448"/>
  <c r="BL52" i="4448"/>
  <c r="BL54" i="4448"/>
  <c r="BL56" i="4448"/>
  <c r="BL35" i="4448"/>
  <c r="BL37" i="4448"/>
  <c r="BL39" i="4448"/>
  <c r="BL41" i="4448"/>
  <c r="BL43" i="4448"/>
  <c r="BL45" i="4448"/>
  <c r="BL47" i="4448"/>
  <c r="BL49" i="4448"/>
  <c r="BL51" i="4448"/>
  <c r="BL53" i="4448"/>
  <c r="BL55" i="4448"/>
  <c r="BL57" i="4448"/>
  <c r="BL58" i="4448"/>
  <c r="BL60" i="4448"/>
  <c r="BL62" i="4448"/>
  <c r="BL64" i="4448"/>
  <c r="BL66" i="4448"/>
  <c r="BL68" i="4448"/>
  <c r="BL70" i="4448"/>
  <c r="BL72" i="4448"/>
  <c r="BL74" i="4448"/>
  <c r="BL76" i="4448"/>
  <c r="BL78" i="4448"/>
  <c r="BL80" i="4448"/>
  <c r="BL82" i="4448"/>
  <c r="BL84" i="4448"/>
  <c r="BL86" i="4448"/>
  <c r="BL88" i="4448"/>
  <c r="BL90" i="4448"/>
  <c r="BL92" i="4448"/>
  <c r="BL94" i="4448"/>
  <c r="BL96" i="4448"/>
  <c r="BL98" i="4448"/>
  <c r="BH6" i="4448"/>
  <c r="BH8" i="4448"/>
  <c r="BH10" i="4448"/>
  <c r="BH12" i="4448"/>
  <c r="BH14" i="4448"/>
  <c r="BH5" i="4448"/>
  <c r="BH7" i="4448"/>
  <c r="BH9" i="4448"/>
  <c r="BH11" i="4448"/>
  <c r="BH13" i="4448"/>
  <c r="BH15" i="4448"/>
  <c r="BH17" i="4448"/>
  <c r="BH19" i="4448"/>
  <c r="BH21" i="4448"/>
  <c r="BH23" i="4448"/>
  <c r="BH25" i="4448"/>
  <c r="BH27" i="4448"/>
  <c r="BH29" i="4448"/>
  <c r="BH31" i="4448"/>
  <c r="BH33" i="4448"/>
  <c r="BH16" i="4448"/>
  <c r="BH18" i="4448"/>
  <c r="BH20" i="4448"/>
  <c r="BH22" i="4448"/>
  <c r="BH24" i="4448"/>
  <c r="BH26" i="4448"/>
  <c r="BH28" i="4448"/>
  <c r="BH30" i="4448"/>
  <c r="BH32" i="4448"/>
  <c r="BH34" i="4448"/>
  <c r="BH36" i="4448"/>
  <c r="BH38" i="4448"/>
  <c r="BH40" i="4448"/>
  <c r="BH42" i="4448"/>
  <c r="BH44" i="4448"/>
  <c r="BH46" i="4448"/>
  <c r="BH48" i="4448"/>
  <c r="BH50" i="4448"/>
  <c r="BH52" i="4448"/>
  <c r="BH54" i="4448"/>
  <c r="BH56" i="4448"/>
  <c r="BH35" i="4448"/>
  <c r="BH37" i="4448"/>
  <c r="BH39" i="4448"/>
  <c r="BH41" i="4448"/>
  <c r="BH43" i="4448"/>
  <c r="BH45" i="4448"/>
  <c r="BH47" i="4448"/>
  <c r="BH49" i="4448"/>
  <c r="BH51" i="4448"/>
  <c r="BH53" i="4448"/>
  <c r="BH55" i="4448"/>
  <c r="BH57" i="4448"/>
  <c r="BH58" i="4448"/>
  <c r="BH60" i="4448"/>
  <c r="BH62" i="4448"/>
  <c r="BH64" i="4448"/>
  <c r="BH66" i="4448"/>
  <c r="BH68" i="4448"/>
  <c r="BH70" i="4448"/>
  <c r="BH72" i="4448"/>
  <c r="BH74" i="4448"/>
  <c r="BH76" i="4448"/>
  <c r="BH78" i="4448"/>
  <c r="BH80" i="4448"/>
  <c r="BH82" i="4448"/>
  <c r="BH84" i="4448"/>
  <c r="BH86" i="4448"/>
  <c r="BH88" i="4448"/>
  <c r="BH90" i="4448"/>
  <c r="BH92" i="4448"/>
  <c r="BH94" i="4448"/>
  <c r="BH96" i="4448"/>
  <c r="BH98" i="4448"/>
  <c r="BD6" i="4448"/>
  <c r="BD8" i="4448"/>
  <c r="BD10" i="4448"/>
  <c r="BD12" i="4448"/>
  <c r="BD14" i="4448"/>
  <c r="BD5" i="4448"/>
  <c r="BD7" i="4448"/>
  <c r="BD9" i="4448"/>
  <c r="BD11" i="4448"/>
  <c r="BD13" i="4448"/>
  <c r="BD15" i="4448"/>
  <c r="BD17" i="4448"/>
  <c r="BD19" i="4448"/>
  <c r="BD21" i="4448"/>
  <c r="BD23" i="4448"/>
  <c r="BD25" i="4448"/>
  <c r="BD27" i="4448"/>
  <c r="BD29" i="4448"/>
  <c r="BD31" i="4448"/>
  <c r="BD33" i="4448"/>
  <c r="BD16" i="4448"/>
  <c r="BD18" i="4448"/>
  <c r="BD20" i="4448"/>
  <c r="BD22" i="4448"/>
  <c r="BD24" i="4448"/>
  <c r="BD26" i="4448"/>
  <c r="BD28" i="4448"/>
  <c r="BD30" i="4448"/>
  <c r="BD32" i="4448"/>
  <c r="BD34" i="4448"/>
  <c r="BD36" i="4448"/>
  <c r="BD38" i="4448"/>
  <c r="BD40" i="4448"/>
  <c r="BD42" i="4448"/>
  <c r="BD44" i="4448"/>
  <c r="BD46" i="4448"/>
  <c r="BD48" i="4448"/>
  <c r="BD50" i="4448"/>
  <c r="BD52" i="4448"/>
  <c r="BD54" i="4448"/>
  <c r="BD56" i="4448"/>
  <c r="BD35" i="4448"/>
  <c r="BD37" i="4448"/>
  <c r="BD39" i="4448"/>
  <c r="BD41" i="4448"/>
  <c r="BD43" i="4448"/>
  <c r="BD45" i="4448"/>
  <c r="BD47" i="4448"/>
  <c r="BD49" i="4448"/>
  <c r="BD51" i="4448"/>
  <c r="BD53" i="4448"/>
  <c r="BD55" i="4448"/>
  <c r="BD57" i="4448"/>
  <c r="BD58" i="4448"/>
  <c r="BD60" i="4448"/>
  <c r="BD62" i="4448"/>
  <c r="BD64" i="4448"/>
  <c r="BD66" i="4448"/>
  <c r="BD68" i="4448"/>
  <c r="BD70" i="4448"/>
  <c r="BD72" i="4448"/>
  <c r="BD74" i="4448"/>
  <c r="BD76" i="4448"/>
  <c r="BD78" i="4448"/>
  <c r="BD80" i="4448"/>
  <c r="BD82" i="4448"/>
  <c r="BD84" i="4448"/>
  <c r="BD86" i="4448"/>
  <c r="BD88" i="4448"/>
  <c r="BD90" i="4448"/>
  <c r="BD92" i="4448"/>
  <c r="BD94" i="4448"/>
  <c r="BD96" i="4448"/>
  <c r="BD98" i="4448"/>
  <c r="CM6" i="4448"/>
  <c r="CM7" i="4448"/>
  <c r="CM8" i="4448"/>
  <c r="CM9" i="4448"/>
  <c r="CM10" i="4448"/>
  <c r="CM11" i="4448"/>
  <c r="CM12" i="4448"/>
  <c r="CM13" i="4448"/>
  <c r="CM14" i="4448"/>
  <c r="CM15" i="4448"/>
  <c r="CM16" i="4448"/>
  <c r="CM17" i="4448"/>
  <c r="CM18" i="4448"/>
  <c r="CM19" i="4448"/>
  <c r="CM20" i="4448"/>
  <c r="CM21" i="4448"/>
  <c r="CM22" i="4448"/>
  <c r="CM23" i="4448"/>
  <c r="CM24" i="4448"/>
  <c r="CM25" i="4448"/>
  <c r="CM26" i="4448"/>
  <c r="CM27" i="4448"/>
  <c r="CM28" i="4448"/>
  <c r="CM29" i="4448"/>
  <c r="CM30" i="4448"/>
  <c r="CM31" i="4448"/>
  <c r="CM32" i="4448"/>
  <c r="CM33" i="4448"/>
  <c r="CM34" i="4448"/>
  <c r="CM35" i="4448"/>
  <c r="CM36" i="4448"/>
  <c r="CM37" i="4448"/>
  <c r="CM38" i="4448"/>
  <c r="CM39" i="4448"/>
  <c r="CM40" i="4448"/>
  <c r="CM41" i="4448"/>
  <c r="CM42" i="4448"/>
  <c r="CM43" i="4448"/>
  <c r="CM44" i="4448"/>
  <c r="CM45" i="4448"/>
  <c r="CM46" i="4448"/>
  <c r="CM47" i="4448"/>
  <c r="CM48" i="4448"/>
  <c r="CM49" i="4448"/>
  <c r="CM50" i="4448"/>
  <c r="CM51" i="4448"/>
  <c r="CM52" i="4448"/>
  <c r="CM53" i="4448"/>
  <c r="CM54" i="4448"/>
  <c r="CM55" i="4448"/>
  <c r="CM56" i="4448"/>
  <c r="CM57" i="4448"/>
  <c r="CM58" i="4448"/>
  <c r="CM59" i="4448"/>
  <c r="CM60" i="4448"/>
  <c r="CM61" i="4448"/>
  <c r="CM62" i="4448"/>
  <c r="CM63" i="4448"/>
  <c r="CM64" i="4448"/>
  <c r="CM65" i="4448"/>
  <c r="CM66" i="4448"/>
  <c r="CM67" i="4448"/>
  <c r="CM68" i="4448"/>
  <c r="CM69" i="4448"/>
  <c r="CM70" i="4448"/>
  <c r="CM71" i="4448"/>
  <c r="CM72" i="4448"/>
  <c r="CM73" i="4448"/>
  <c r="CM74" i="4448"/>
  <c r="CM75" i="4448"/>
  <c r="CM77" i="4448"/>
  <c r="CM78" i="4448"/>
  <c r="CM79" i="4448"/>
  <c r="CM80" i="4448"/>
  <c r="CM81" i="4448"/>
  <c r="CM82" i="4448"/>
  <c r="CM83" i="4448"/>
  <c r="CM84" i="4448"/>
  <c r="CM85" i="4448"/>
  <c r="CM86" i="4448"/>
  <c r="CM87" i="4448"/>
  <c r="CM88" i="4448"/>
  <c r="CM89" i="4448"/>
  <c r="CM90" i="4448"/>
  <c r="CM91" i="4448"/>
  <c r="CM92" i="4448"/>
  <c r="CM93" i="4448"/>
  <c r="CM94" i="4448"/>
  <c r="CM95" i="4448"/>
  <c r="CM96" i="4448"/>
  <c r="CM97" i="4448"/>
  <c r="CM98" i="4448"/>
  <c r="CM99" i="4448"/>
  <c r="CM100" i="4448"/>
  <c r="CM101" i="4448"/>
  <c r="CM102" i="4448"/>
  <c r="CM76" i="4448"/>
  <c r="CI5" i="4448"/>
  <c r="CI6" i="4448"/>
  <c r="CI7" i="4448"/>
  <c r="CI8" i="4448"/>
  <c r="CI9" i="4448"/>
  <c r="CI10" i="4448"/>
  <c r="CI11" i="4448"/>
  <c r="CI12" i="4448"/>
  <c r="CI13" i="4448"/>
  <c r="CI14" i="4448"/>
  <c r="CI15" i="4448"/>
  <c r="CI16" i="4448"/>
  <c r="CI17" i="4448"/>
  <c r="CI18" i="4448"/>
  <c r="CI19" i="4448"/>
  <c r="CI20" i="4448"/>
  <c r="CI21" i="4448"/>
  <c r="CI22" i="4448"/>
  <c r="CI23" i="4448"/>
  <c r="CI24" i="4448"/>
  <c r="CI25" i="4448"/>
  <c r="CI26" i="4448"/>
  <c r="CI27" i="4448"/>
  <c r="CI28" i="4448"/>
  <c r="CI29" i="4448"/>
  <c r="CI30" i="4448"/>
  <c r="CI31" i="4448"/>
  <c r="CI32" i="4448"/>
  <c r="CI33" i="4448"/>
  <c r="CI34" i="4448"/>
  <c r="CI35" i="4448"/>
  <c r="CI36" i="4448"/>
  <c r="CI37" i="4448"/>
  <c r="CI38" i="4448"/>
  <c r="CI39" i="4448"/>
  <c r="CI40" i="4448"/>
  <c r="CI41" i="4448"/>
  <c r="CI42" i="4448"/>
  <c r="CI43" i="4448"/>
  <c r="CI44" i="4448"/>
  <c r="CI45" i="4448"/>
  <c r="CI46" i="4448"/>
  <c r="CI47" i="4448"/>
  <c r="CI48" i="4448"/>
  <c r="CI49" i="4448"/>
  <c r="CI50" i="4448"/>
  <c r="CI51" i="4448"/>
  <c r="CI53" i="4448"/>
  <c r="CI54" i="4448"/>
  <c r="CI55" i="4448"/>
  <c r="CI56" i="4448"/>
  <c r="CI57" i="4448"/>
  <c r="CI58" i="4448"/>
  <c r="CI59" i="4448"/>
  <c r="CI60" i="4448"/>
  <c r="CI61" i="4448"/>
  <c r="CI62" i="4448"/>
  <c r="CI63" i="4448"/>
  <c r="CI64" i="4448"/>
  <c r="CI65" i="4448"/>
  <c r="CI66" i="4448"/>
  <c r="CI67" i="4448"/>
  <c r="CI68" i="4448"/>
  <c r="CI69" i="4448"/>
  <c r="CI70" i="4448"/>
  <c r="CI71" i="4448"/>
  <c r="CI72" i="4448"/>
  <c r="CI76" i="4448"/>
  <c r="CI73" i="4448"/>
  <c r="CI74" i="4448"/>
  <c r="CI77" i="4448"/>
  <c r="CI78" i="4448"/>
  <c r="CI79" i="4448"/>
  <c r="CI80" i="4448"/>
  <c r="CI81" i="4448"/>
  <c r="CI82" i="4448"/>
  <c r="CI83" i="4448"/>
  <c r="CI84" i="4448"/>
  <c r="CI85" i="4448"/>
  <c r="CI86" i="4448"/>
  <c r="CI87" i="4448"/>
  <c r="CI88" i="4448"/>
  <c r="CI89" i="4448"/>
  <c r="CI90" i="4448"/>
  <c r="CI91" i="4448"/>
  <c r="CI92" i="4448"/>
  <c r="CI93" i="4448"/>
  <c r="CI94" i="4448"/>
  <c r="CI95" i="4448"/>
  <c r="CI96" i="4448"/>
  <c r="CI97" i="4448"/>
  <c r="CI98" i="4448"/>
  <c r="CI99" i="4448"/>
  <c r="CI100" i="4448"/>
  <c r="CI101" i="4448"/>
  <c r="CI102" i="4448"/>
  <c r="CI52" i="4448"/>
  <c r="CI75" i="4448"/>
  <c r="CE5" i="4448"/>
  <c r="CE6" i="4448"/>
  <c r="CE7" i="4448"/>
  <c r="CE8" i="4448"/>
  <c r="CE9" i="4448"/>
  <c r="CE10" i="4448"/>
  <c r="CE11" i="4448"/>
  <c r="CE12" i="4448"/>
  <c r="CE13" i="4448"/>
  <c r="CE14" i="4448"/>
  <c r="CE15" i="4448"/>
  <c r="CE16" i="4448"/>
  <c r="CE17" i="4448"/>
  <c r="CE18" i="4448"/>
  <c r="CE19" i="4448"/>
  <c r="CE20" i="4448"/>
  <c r="CE21" i="4448"/>
  <c r="CE22" i="4448"/>
  <c r="CE23" i="4448"/>
  <c r="CE24" i="4448"/>
  <c r="CE25" i="4448"/>
  <c r="CE26" i="4448"/>
  <c r="CE27" i="4448"/>
  <c r="CE28" i="4448"/>
  <c r="CE29" i="4448"/>
  <c r="CE30" i="4448"/>
  <c r="CE31" i="4448"/>
  <c r="CE32" i="4448"/>
  <c r="CE33" i="4448"/>
  <c r="CE34" i="4448"/>
  <c r="CE35" i="4448"/>
  <c r="CE36" i="4448"/>
  <c r="CE37" i="4448"/>
  <c r="CE38" i="4448"/>
  <c r="CE39" i="4448"/>
  <c r="CE40" i="4448"/>
  <c r="CE41" i="4448"/>
  <c r="CE42" i="4448"/>
  <c r="CE43" i="4448"/>
  <c r="CE44" i="4448"/>
  <c r="CE45" i="4448"/>
  <c r="CE46" i="4448"/>
  <c r="CE47" i="4448"/>
  <c r="CE48" i="4448"/>
  <c r="CE49" i="4448"/>
  <c r="CE50" i="4448"/>
  <c r="CE51" i="4448"/>
  <c r="CE52" i="4448"/>
  <c r="CE53" i="4448"/>
  <c r="CE54" i="4448"/>
  <c r="CE55" i="4448"/>
  <c r="CE56" i="4448"/>
  <c r="CE57" i="4448"/>
  <c r="CE58" i="4448"/>
  <c r="CE59" i="4448"/>
  <c r="CE60" i="4448"/>
  <c r="CE61" i="4448"/>
  <c r="CE62" i="4448"/>
  <c r="CE63" i="4448"/>
  <c r="CE64" i="4448"/>
  <c r="CE65" i="4448"/>
  <c r="CE66" i="4448"/>
  <c r="CE67" i="4448"/>
  <c r="CE68" i="4448"/>
  <c r="CE69" i="4448"/>
  <c r="CE70" i="4448"/>
  <c r="CE71" i="4448"/>
  <c r="CE72" i="4448"/>
  <c r="CE75" i="4448"/>
  <c r="CE76" i="4448"/>
  <c r="CE73" i="4448"/>
  <c r="CE77" i="4448"/>
  <c r="CE78" i="4448"/>
  <c r="CE79" i="4448"/>
  <c r="CE80" i="4448"/>
  <c r="CE81" i="4448"/>
  <c r="CE82" i="4448"/>
  <c r="CE83" i="4448"/>
  <c r="CE84" i="4448"/>
  <c r="CE85" i="4448"/>
  <c r="CE86" i="4448"/>
  <c r="CE87" i="4448"/>
  <c r="CE88" i="4448"/>
  <c r="CE89" i="4448"/>
  <c r="CE90" i="4448"/>
  <c r="CE91" i="4448"/>
  <c r="CE92" i="4448"/>
  <c r="CE93" i="4448"/>
  <c r="CE94" i="4448"/>
  <c r="CE95" i="4448"/>
  <c r="CE96" i="4448"/>
  <c r="CE97" i="4448"/>
  <c r="CE98" i="4448"/>
  <c r="CE99" i="4448"/>
  <c r="CE100" i="4448"/>
  <c r="CE101" i="4448"/>
  <c r="CE102" i="4448"/>
  <c r="CE74" i="4448"/>
  <c r="CA5" i="4448"/>
  <c r="CA7" i="4448"/>
  <c r="CA9" i="4448"/>
  <c r="CA11" i="4448"/>
  <c r="CA13" i="4448"/>
  <c r="CA6" i="4448"/>
  <c r="CA8" i="4448"/>
  <c r="CA10" i="4448"/>
  <c r="CA12" i="4448"/>
  <c r="CA14" i="4448"/>
  <c r="CA16" i="4448"/>
  <c r="CA18" i="4448"/>
  <c r="CA20" i="4448"/>
  <c r="CA22" i="4448"/>
  <c r="CA24" i="4448"/>
  <c r="CA26" i="4448"/>
  <c r="CA28" i="4448"/>
  <c r="CA30" i="4448"/>
  <c r="CA32" i="4448"/>
  <c r="CA15" i="4448"/>
  <c r="CA17" i="4448"/>
  <c r="CA19" i="4448"/>
  <c r="CA21" i="4448"/>
  <c r="CA23" i="4448"/>
  <c r="CA25" i="4448"/>
  <c r="CA27" i="4448"/>
  <c r="CA29" i="4448"/>
  <c r="CA31" i="4448"/>
  <c r="CA33" i="4448"/>
  <c r="CA35" i="4448"/>
  <c r="CA37" i="4448"/>
  <c r="CA39" i="4448"/>
  <c r="CA41" i="4448"/>
  <c r="CA43" i="4448"/>
  <c r="CA45" i="4448"/>
  <c r="CA47" i="4448"/>
  <c r="CA49" i="4448"/>
  <c r="CA51" i="4448"/>
  <c r="CA53" i="4448"/>
  <c r="CA55" i="4448"/>
  <c r="CA34" i="4448"/>
  <c r="CA36" i="4448"/>
  <c r="CA38" i="4448"/>
  <c r="CA40" i="4448"/>
  <c r="CA42" i="4448"/>
  <c r="CA44" i="4448"/>
  <c r="CA46" i="4448"/>
  <c r="CA48" i="4448"/>
  <c r="CA50" i="4448"/>
  <c r="CA52" i="4448"/>
  <c r="CA54" i="4448"/>
  <c r="CA56" i="4448"/>
  <c r="CA57" i="4448"/>
  <c r="CA59" i="4448"/>
  <c r="CA61" i="4448"/>
  <c r="CA63" i="4448"/>
  <c r="CA65" i="4448"/>
  <c r="CA67" i="4448"/>
  <c r="CA69" i="4448"/>
  <c r="CA71" i="4448"/>
  <c r="CA73" i="4448"/>
  <c r="CA75" i="4448"/>
  <c r="CA77" i="4448"/>
  <c r="CA79" i="4448"/>
  <c r="CA81" i="4448"/>
  <c r="CA83" i="4448"/>
  <c r="CA85" i="4448"/>
  <c r="CA87" i="4448"/>
  <c r="CA89" i="4448"/>
  <c r="CA91" i="4448"/>
  <c r="CA93" i="4448"/>
  <c r="CA95" i="4448"/>
  <c r="CA97" i="4448"/>
  <c r="BW5" i="4448"/>
  <c r="BW7" i="4448"/>
  <c r="BW9" i="4448"/>
  <c r="BW11" i="4448"/>
  <c r="BW13" i="4448"/>
  <c r="BW6" i="4448"/>
  <c r="BW8" i="4448"/>
  <c r="BW10" i="4448"/>
  <c r="BW12" i="4448"/>
  <c r="BW14" i="4448"/>
  <c r="BW16" i="4448"/>
  <c r="BW18" i="4448"/>
  <c r="BW20" i="4448"/>
  <c r="BW22" i="4448"/>
  <c r="BW24" i="4448"/>
  <c r="BW26" i="4448"/>
  <c r="BW28" i="4448"/>
  <c r="BW30" i="4448"/>
  <c r="BW32" i="4448"/>
  <c r="BW15" i="4448"/>
  <c r="BW17" i="4448"/>
  <c r="BW19" i="4448"/>
  <c r="BW21" i="4448"/>
  <c r="BW23" i="4448"/>
  <c r="BW25" i="4448"/>
  <c r="BW27" i="4448"/>
  <c r="BW29" i="4448"/>
  <c r="BW31" i="4448"/>
  <c r="BW33" i="4448"/>
  <c r="BW35" i="4448"/>
  <c r="BW37" i="4448"/>
  <c r="BW39" i="4448"/>
  <c r="BW41" i="4448"/>
  <c r="BW43" i="4448"/>
  <c r="BW45" i="4448"/>
  <c r="BW47" i="4448"/>
  <c r="BW49" i="4448"/>
  <c r="BW51" i="4448"/>
  <c r="BW53" i="4448"/>
  <c r="BW55" i="4448"/>
  <c r="BW34" i="4448"/>
  <c r="BW36" i="4448"/>
  <c r="BW38" i="4448"/>
  <c r="BW40" i="4448"/>
  <c r="BW42" i="4448"/>
  <c r="BW44" i="4448"/>
  <c r="BW46" i="4448"/>
  <c r="BW48" i="4448"/>
  <c r="BW50" i="4448"/>
  <c r="BW52" i="4448"/>
  <c r="BW54" i="4448"/>
  <c r="BW56" i="4448"/>
  <c r="BW57" i="4448"/>
  <c r="BW59" i="4448"/>
  <c r="BW61" i="4448"/>
  <c r="BW63" i="4448"/>
  <c r="BW65" i="4448"/>
  <c r="BW67" i="4448"/>
  <c r="BW69" i="4448"/>
  <c r="BW71" i="4448"/>
  <c r="BW73" i="4448"/>
  <c r="BW75" i="4448"/>
  <c r="BW77" i="4448"/>
  <c r="BW79" i="4448"/>
  <c r="BW81" i="4448"/>
  <c r="BW83" i="4448"/>
  <c r="BW85" i="4448"/>
  <c r="BW87" i="4448"/>
  <c r="BW89" i="4448"/>
  <c r="BW91" i="4448"/>
  <c r="BW93" i="4448"/>
  <c r="BW95" i="4448"/>
  <c r="BW97" i="4448"/>
  <c r="BR5" i="4448"/>
  <c r="BR7" i="4448"/>
  <c r="BR9" i="4448"/>
  <c r="BR11" i="4448"/>
  <c r="BR13" i="4448"/>
  <c r="BR6" i="4448"/>
  <c r="BR8" i="4448"/>
  <c r="BR10" i="4448"/>
  <c r="BR12" i="4448"/>
  <c r="BR14" i="4448"/>
  <c r="BR16" i="4448"/>
  <c r="BR18" i="4448"/>
  <c r="BR20" i="4448"/>
  <c r="BR22" i="4448"/>
  <c r="BR24" i="4448"/>
  <c r="BR26" i="4448"/>
  <c r="BR28" i="4448"/>
  <c r="BR30" i="4448"/>
  <c r="BR32" i="4448"/>
  <c r="BR15" i="4448"/>
  <c r="BR17" i="4448"/>
  <c r="BR19" i="4448"/>
  <c r="BR21" i="4448"/>
  <c r="BR23" i="4448"/>
  <c r="BR25" i="4448"/>
  <c r="BR27" i="4448"/>
  <c r="BR29" i="4448"/>
  <c r="BR31" i="4448"/>
  <c r="BR33" i="4448"/>
  <c r="BR35" i="4448"/>
  <c r="BR37" i="4448"/>
  <c r="BR39" i="4448"/>
  <c r="BR41" i="4448"/>
  <c r="BR43" i="4448"/>
  <c r="BR45" i="4448"/>
  <c r="BR47" i="4448"/>
  <c r="BR49" i="4448"/>
  <c r="BR51" i="4448"/>
  <c r="BR53" i="4448"/>
  <c r="BR55" i="4448"/>
  <c r="BR34" i="4448"/>
  <c r="BR36" i="4448"/>
  <c r="BR38" i="4448"/>
  <c r="BR40" i="4448"/>
  <c r="BR42" i="4448"/>
  <c r="BR44" i="4448"/>
  <c r="BR46" i="4448"/>
  <c r="BR48" i="4448"/>
  <c r="BR50" i="4448"/>
  <c r="BR52" i="4448"/>
  <c r="BR54" i="4448"/>
  <c r="BR56" i="4448"/>
  <c r="BR57" i="4448"/>
  <c r="BR59" i="4448"/>
  <c r="BR61" i="4448"/>
  <c r="BR63" i="4448"/>
  <c r="BR65" i="4448"/>
  <c r="BR67" i="4448"/>
  <c r="BR69" i="4448"/>
  <c r="BR71" i="4448"/>
  <c r="BR73" i="4448"/>
  <c r="BR75" i="4448"/>
  <c r="BR77" i="4448"/>
  <c r="BR79" i="4448"/>
  <c r="BR81" i="4448"/>
  <c r="BR83" i="4448"/>
  <c r="BR85" i="4448"/>
  <c r="BR87" i="4448"/>
  <c r="BR89" i="4448"/>
  <c r="BR91" i="4448"/>
  <c r="BR93" i="4448"/>
  <c r="BR95" i="4448"/>
  <c r="BR97" i="4448"/>
  <c r="AZ101" i="4448"/>
  <c r="AZ97" i="4448"/>
  <c r="AZ93" i="4448"/>
  <c r="AZ89" i="4448"/>
  <c r="AZ85" i="4448"/>
  <c r="AZ81" i="4448"/>
  <c r="AZ77" i="4448"/>
  <c r="AZ73" i="4448"/>
  <c r="AZ69" i="4448"/>
  <c r="AZ65" i="4448"/>
  <c r="AZ61" i="4448"/>
  <c r="AZ57" i="4448"/>
  <c r="AZ53" i="4448"/>
  <c r="AZ49" i="4448"/>
  <c r="AZ45" i="4448"/>
  <c r="AZ41" i="4448"/>
  <c r="AZ37" i="4448"/>
  <c r="AZ33" i="4448"/>
  <c r="AZ29" i="4448"/>
  <c r="AZ25" i="4448"/>
  <c r="AZ21" i="4448"/>
  <c r="AZ17" i="4448"/>
  <c r="AZ13" i="4448"/>
  <c r="BX102" i="4448"/>
  <c r="BT102" i="4448"/>
  <c r="BO102" i="4448"/>
  <c r="BK102" i="4448"/>
  <c r="BG102" i="4448"/>
  <c r="BC102" i="4448"/>
  <c r="BZ101" i="4448"/>
  <c r="BV101" i="4448"/>
  <c r="BQ101" i="4448"/>
  <c r="BJ101" i="4448"/>
  <c r="BB101" i="4448"/>
  <c r="BU100" i="4448"/>
  <c r="BL100" i="4448"/>
  <c r="BD100" i="4448"/>
  <c r="BW99" i="4448"/>
  <c r="BN99" i="4448"/>
  <c r="BF99" i="4448"/>
  <c r="BY98" i="4448"/>
  <c r="BN98" i="4448"/>
  <c r="BY97" i="4448"/>
  <c r="BH97" i="4448"/>
  <c r="BR96" i="4448"/>
  <c r="BB96" i="4448"/>
  <c r="BL95" i="4448"/>
  <c r="BW94" i="4448"/>
  <c r="BF94" i="4448"/>
  <c r="BP93" i="4448"/>
  <c r="CA92" i="4448"/>
  <c r="BJ92" i="4448"/>
  <c r="BU91" i="4448"/>
  <c r="BD91" i="4448"/>
  <c r="BN90" i="4448"/>
  <c r="BY89" i="4448"/>
  <c r="BH89" i="4448"/>
  <c r="BR88" i="4448"/>
  <c r="BB88" i="4448"/>
  <c r="BL87" i="4448"/>
  <c r="BW86" i="4448"/>
  <c r="BF86" i="4448"/>
  <c r="BP85" i="4448"/>
  <c r="CA84" i="4448"/>
  <c r="BJ84" i="4448"/>
  <c r="BU83" i="4448"/>
  <c r="BD83" i="4448"/>
  <c r="BN82" i="4448"/>
  <c r="BY81" i="4448"/>
  <c r="BH81" i="4448"/>
  <c r="BR80" i="4448"/>
  <c r="BB80" i="4448"/>
  <c r="BL79" i="4448"/>
  <c r="BW78" i="4448"/>
  <c r="BF78" i="4448"/>
  <c r="BP77" i="4448"/>
  <c r="CA76" i="4448"/>
  <c r="BJ76" i="4448"/>
  <c r="BU75" i="4448"/>
  <c r="BD75" i="4448"/>
  <c r="BN74" i="4448"/>
  <c r="BY73" i="4448"/>
  <c r="BH73" i="4448"/>
  <c r="BR72" i="4448"/>
  <c r="BB72" i="4448"/>
  <c r="BL71" i="4448"/>
  <c r="BW70" i="4448"/>
  <c r="BF70" i="4448"/>
  <c r="BP69" i="4448"/>
  <c r="CA68" i="4448"/>
  <c r="BJ68" i="4448"/>
  <c r="BU67" i="4448"/>
  <c r="BD67" i="4448"/>
  <c r="BN66" i="4448"/>
  <c r="BY65" i="4448"/>
  <c r="BH65" i="4448"/>
  <c r="BR64" i="4448"/>
  <c r="BB64" i="4448"/>
  <c r="BL63" i="4448"/>
  <c r="BW62" i="4448"/>
  <c r="BF62" i="4448"/>
  <c r="BP61" i="4448"/>
  <c r="CA60" i="4448"/>
  <c r="BJ60" i="4448"/>
  <c r="BU59" i="4448"/>
  <c r="BD59" i="4448"/>
  <c r="BN58" i="4448"/>
  <c r="BY57" i="4448"/>
  <c r="BA57" i="4448"/>
  <c r="BV55" i="4448"/>
  <c r="BO54" i="4448"/>
  <c r="BX52" i="4448"/>
  <c r="BK50" i="4448"/>
  <c r="BZ47" i="4448"/>
  <c r="BM45" i="4448"/>
  <c r="BA43" i="4448"/>
  <c r="BO40" i="4448"/>
  <c r="BC38" i="4448"/>
  <c r="BQ35" i="4448"/>
  <c r="BE30" i="4448"/>
  <c r="BI20" i="4448"/>
  <c r="CF88" i="4448"/>
  <c r="EP16" i="4448" l="1"/>
  <c r="EO15" i="4448"/>
  <c r="EN14" i="4448"/>
  <c r="C18" i="4452"/>
  <c r="CZ8" i="4448"/>
  <c r="DP7" i="4448"/>
  <c r="CX9" i="4448"/>
  <c r="CY8" i="4448"/>
  <c r="DC7" i="4448"/>
  <c r="EL11" i="4448"/>
  <c r="DL9" i="4448"/>
  <c r="EK8" i="4448"/>
  <c r="DW8" i="4448"/>
  <c r="EC7" i="4448"/>
  <c r="DV8" i="4448"/>
  <c r="EE8" i="4448"/>
  <c r="DY7" i="4448"/>
  <c r="DU7" i="4448"/>
  <c r="DI7" i="4448"/>
  <c r="EA8" i="4448"/>
  <c r="DH8" i="4448"/>
  <c r="EI7" i="4448"/>
  <c r="DA7" i="4448"/>
  <c r="DG8" i="4448"/>
  <c r="DM7" i="4448"/>
  <c r="EG7" i="4448"/>
  <c r="DT7" i="4448"/>
  <c r="DZ7" i="4448"/>
  <c r="DR7" i="4448"/>
  <c r="EF8" i="4448"/>
  <c r="DN7" i="4448"/>
  <c r="EH7" i="4448"/>
  <c r="DK8" i="4448"/>
  <c r="DJ8" i="4448"/>
  <c r="DE7" i="4448"/>
  <c r="DO7" i="4448"/>
  <c r="DF8" i="4448"/>
  <c r="EJ7" i="4448"/>
  <c r="DX8" i="4448"/>
  <c r="DS7" i="4448"/>
  <c r="DD7" i="4448"/>
  <c r="ED7" i="4448"/>
  <c r="G12" i="4452"/>
  <c r="AW8" i="4448"/>
  <c r="DB7" i="4448"/>
  <c r="EB8" i="4448"/>
  <c r="BH104" i="4448"/>
  <c r="BP104" i="4448"/>
  <c r="BT104" i="4448"/>
  <c r="CJ104" i="4448"/>
  <c r="CK104" i="4448"/>
  <c r="BJ104" i="4448"/>
  <c r="BR104" i="4448"/>
  <c r="CE104" i="4448"/>
  <c r="CM104" i="4448"/>
  <c r="CD104" i="4448"/>
  <c r="CB104" i="4448"/>
  <c r="BA104" i="4448"/>
  <c r="BE104" i="4448"/>
  <c r="BI104" i="4448"/>
  <c r="BV104" i="4448"/>
  <c r="CC104" i="4448"/>
  <c r="BN104" i="4448"/>
  <c r="CL104" i="4448"/>
  <c r="BD104" i="4448"/>
  <c r="BL104" i="4448"/>
  <c r="BC104" i="4448"/>
  <c r="BG104" i="4448"/>
  <c r="CF104" i="4448"/>
  <c r="CG104" i="4448"/>
  <c r="BB104" i="4448"/>
  <c r="BZ104" i="4448"/>
  <c r="BW104" i="4448"/>
  <c r="CA104" i="4448"/>
  <c r="CI104" i="4448"/>
  <c r="BQ104" i="4448"/>
  <c r="BX104" i="4448"/>
  <c r="BM104" i="4448"/>
  <c r="CH104" i="4448"/>
  <c r="BK104" i="4448"/>
  <c r="AZ104" i="4448"/>
  <c r="BU104" i="4448"/>
  <c r="BY104" i="4448"/>
  <c r="BF104" i="4448"/>
  <c r="BO104" i="4448"/>
  <c r="EP17" i="4448" l="1"/>
  <c r="EO16" i="4448"/>
  <c r="AW9" i="4448"/>
  <c r="AW10" i="4448" s="1"/>
  <c r="AW11" i="4448" s="1"/>
  <c r="AW12" i="4448" s="1"/>
  <c r="AW13" i="4448" s="1"/>
  <c r="EN15" i="4448"/>
  <c r="G13" i="4452"/>
  <c r="EM15" i="4448"/>
  <c r="EM16" i="4448" s="1"/>
  <c r="C19" i="4452"/>
  <c r="DF9" i="4448"/>
  <c r="DN8" i="4448"/>
  <c r="DC8" i="4448"/>
  <c r="ED8" i="4448"/>
  <c r="DO8" i="4448"/>
  <c r="DG9" i="4448"/>
  <c r="EC8" i="4448"/>
  <c r="CY9" i="4448"/>
  <c r="DM8" i="4448"/>
  <c r="EF9" i="4448"/>
  <c r="DU8" i="4448"/>
  <c r="DW9" i="4448"/>
  <c r="DD8" i="4448"/>
  <c r="CX10" i="4448"/>
  <c r="DE8" i="4448"/>
  <c r="DR8" i="4448"/>
  <c r="DA8" i="4448"/>
  <c r="DI8" i="4448"/>
  <c r="DS8" i="4448"/>
  <c r="DY8" i="4448"/>
  <c r="EK9" i="4448"/>
  <c r="DP8" i="4448"/>
  <c r="DJ9" i="4448"/>
  <c r="DZ8" i="4448"/>
  <c r="EI8" i="4448"/>
  <c r="DX9" i="4448"/>
  <c r="EE9" i="4448"/>
  <c r="DL10" i="4448"/>
  <c r="CZ9" i="4448"/>
  <c r="EJ8" i="4448"/>
  <c r="DK9" i="4448"/>
  <c r="DT8" i="4448"/>
  <c r="DH9" i="4448"/>
  <c r="EL12" i="4448"/>
  <c r="EH8" i="4448"/>
  <c r="EG8" i="4448"/>
  <c r="EA9" i="4448"/>
  <c r="DV9" i="4448"/>
  <c r="EB9" i="4448"/>
  <c r="DB8" i="4448"/>
  <c r="E145" i="4452"/>
  <c r="H10" i="4452"/>
  <c r="F136" i="4452"/>
  <c r="F137" i="4452"/>
  <c r="F145" i="4452"/>
  <c r="F139" i="4452"/>
  <c r="E139" i="4452"/>
  <c r="E143" i="4452" s="1"/>
  <c r="E140" i="4452"/>
  <c r="F146" i="4452"/>
  <c r="E146" i="4452"/>
  <c r="E122" i="4452"/>
  <c r="E123" i="4452"/>
  <c r="E124" i="4452"/>
  <c r="E125" i="4452"/>
  <c r="E126" i="4452"/>
  <c r="E127" i="4452"/>
  <c r="E128" i="4452"/>
  <c r="E129" i="4452"/>
  <c r="E130" i="4452"/>
  <c r="E131" i="4452"/>
  <c r="E132" i="4452"/>
  <c r="E133" i="4452"/>
  <c r="E134" i="4452"/>
  <c r="E135" i="4452"/>
  <c r="G10" i="4452"/>
  <c r="EP18" i="4448" l="1"/>
  <c r="EO17" i="4448"/>
  <c r="G14" i="4452"/>
  <c r="EN16" i="4448"/>
  <c r="C20" i="4452"/>
  <c r="DH10" i="4448"/>
  <c r="DL11" i="4448"/>
  <c r="DG10" i="4448"/>
  <c r="DP9" i="4448"/>
  <c r="DR9" i="4448"/>
  <c r="EF10" i="4448"/>
  <c r="DU9" i="4448"/>
  <c r="DV10" i="4448"/>
  <c r="DT9" i="4448"/>
  <c r="EE10" i="4448"/>
  <c r="DO9" i="4448"/>
  <c r="DA9" i="4448"/>
  <c r="DK10" i="4448"/>
  <c r="DX10" i="4448"/>
  <c r="ED9" i="4448"/>
  <c r="EI9" i="4448"/>
  <c r="DY9" i="4448"/>
  <c r="CX11" i="4448"/>
  <c r="DM9" i="4448"/>
  <c r="EK10" i="4448"/>
  <c r="EG9" i="4448"/>
  <c r="EJ9" i="4448"/>
  <c r="DS9" i="4448"/>
  <c r="DC9" i="4448"/>
  <c r="EA10" i="4448"/>
  <c r="DD9" i="4448"/>
  <c r="CY10" i="4448"/>
  <c r="EH9" i="4448"/>
  <c r="DZ9" i="4448"/>
  <c r="DN9" i="4448"/>
  <c r="DE9" i="4448"/>
  <c r="DI9" i="4448"/>
  <c r="DW10" i="4448"/>
  <c r="EL13" i="4448"/>
  <c r="CZ10" i="4448"/>
  <c r="DJ10" i="4448"/>
  <c r="EC9" i="4448"/>
  <c r="DF10" i="4448"/>
  <c r="G15" i="4452"/>
  <c r="DB9" i="4448"/>
  <c r="EB10" i="4448"/>
  <c r="F147" i="4452"/>
  <c r="F143" i="4452"/>
  <c r="F149" i="4452" s="1"/>
  <c r="E147" i="4452"/>
  <c r="E149" i="4452"/>
  <c r="E136" i="4452"/>
  <c r="EP19" i="4448" l="1"/>
  <c r="EO18" i="4448"/>
  <c r="EN17" i="4448"/>
  <c r="EM17" i="4448"/>
  <c r="C21" i="4452"/>
  <c r="CX12" i="4448"/>
  <c r="DA10" i="4448"/>
  <c r="EF11" i="4448"/>
  <c r="EL14" i="4448"/>
  <c r="DY10" i="4448"/>
  <c r="DO10" i="4448"/>
  <c r="DR10" i="4448"/>
  <c r="EJ10" i="4448"/>
  <c r="DP10" i="4448"/>
  <c r="DW11" i="4448"/>
  <c r="DF11" i="4448"/>
  <c r="DI10" i="4448"/>
  <c r="ED10" i="4448"/>
  <c r="DT10" i="4448"/>
  <c r="DG11" i="4448"/>
  <c r="CY11" i="4448"/>
  <c r="DD10" i="4448"/>
  <c r="EK11" i="4448"/>
  <c r="DX11" i="4448"/>
  <c r="DV11" i="4448"/>
  <c r="DL12" i="4448"/>
  <c r="DZ10" i="4448"/>
  <c r="EI10" i="4448"/>
  <c r="EC10" i="4448"/>
  <c r="DC10" i="4448"/>
  <c r="DS10" i="4448"/>
  <c r="EE11" i="4448"/>
  <c r="EG10" i="4448"/>
  <c r="DJ11" i="4448"/>
  <c r="EA11" i="4448"/>
  <c r="DM10" i="4448"/>
  <c r="DK11" i="4448"/>
  <c r="DU10" i="4448"/>
  <c r="DH11" i="4448"/>
  <c r="EH10" i="4448"/>
  <c r="DE10" i="4448"/>
  <c r="CZ11" i="4448"/>
  <c r="DN10" i="4448"/>
  <c r="EB11" i="4448"/>
  <c r="G16" i="4452"/>
  <c r="DB10" i="4448"/>
  <c r="EP20" i="4448" l="1"/>
  <c r="EO19" i="4448"/>
  <c r="EN18" i="4448"/>
  <c r="EM18" i="4448"/>
  <c r="C22" i="4452"/>
  <c r="EK12" i="4448"/>
  <c r="EI11" i="4448"/>
  <c r="DY11" i="4448"/>
  <c r="DI11" i="4448"/>
  <c r="EG11" i="4448"/>
  <c r="CY12" i="4448"/>
  <c r="DW12" i="4448"/>
  <c r="EL15" i="4448"/>
  <c r="CZ12" i="4448"/>
  <c r="DJ12" i="4448"/>
  <c r="DK12" i="4448"/>
  <c r="DG12" i="4448"/>
  <c r="DP11" i="4448"/>
  <c r="EF12" i="4448"/>
  <c r="EC11" i="4448"/>
  <c r="DF12" i="4448"/>
  <c r="EE12" i="4448"/>
  <c r="DE11" i="4448"/>
  <c r="EH11" i="4448"/>
  <c r="DN11" i="4448"/>
  <c r="DU11" i="4448"/>
  <c r="DS11" i="4448"/>
  <c r="DM11" i="4448"/>
  <c r="DC11" i="4448"/>
  <c r="DT11" i="4448"/>
  <c r="EJ11" i="4448"/>
  <c r="DA11" i="4448"/>
  <c r="DO11" i="4448"/>
  <c r="DD11" i="4448"/>
  <c r="DZ11" i="4448"/>
  <c r="DV12" i="4448"/>
  <c r="DH12" i="4448"/>
  <c r="DL13" i="4448"/>
  <c r="EA12" i="4448"/>
  <c r="DX12" i="4448"/>
  <c r="ED11" i="4448"/>
  <c r="DR11" i="4448"/>
  <c r="CX13" i="4448"/>
  <c r="G17" i="4452"/>
  <c r="DB11" i="4448"/>
  <c r="EB12" i="4448"/>
  <c r="EP21" i="4448" l="1"/>
  <c r="EO20" i="4448"/>
  <c r="EN19" i="4448"/>
  <c r="EM19" i="4448"/>
  <c r="C23" i="4452"/>
  <c r="DG13" i="4448"/>
  <c r="CY13" i="4448"/>
  <c r="EG12" i="4448"/>
  <c r="DM12" i="4448"/>
  <c r="EA13" i="4448"/>
  <c r="DF13" i="4448"/>
  <c r="DL14" i="4448"/>
  <c r="DJ13" i="4448"/>
  <c r="DI12" i="4448"/>
  <c r="DK13" i="4448"/>
  <c r="DU12" i="4448"/>
  <c r="EJ12" i="4448"/>
  <c r="CZ13" i="4448"/>
  <c r="DY12" i="4448"/>
  <c r="EE13" i="4448"/>
  <c r="EF13" i="4448"/>
  <c r="DD12" i="4448"/>
  <c r="CX14" i="4448"/>
  <c r="EC12" i="4448"/>
  <c r="DT12" i="4448"/>
  <c r="EL16" i="4448"/>
  <c r="EI12" i="4448"/>
  <c r="DO12" i="4448"/>
  <c r="DH13" i="4448"/>
  <c r="DN12" i="4448"/>
  <c r="ED12" i="4448"/>
  <c r="DV13" i="4448"/>
  <c r="DP12" i="4448"/>
  <c r="DS12" i="4448"/>
  <c r="DA12" i="4448"/>
  <c r="DR12" i="4448"/>
  <c r="EH12" i="4448"/>
  <c r="DX13" i="4448"/>
  <c r="DZ12" i="4448"/>
  <c r="DC12" i="4448"/>
  <c r="DE12" i="4448"/>
  <c r="DW13" i="4448"/>
  <c r="EK13" i="4448"/>
  <c r="DB12" i="4448"/>
  <c r="EB13" i="4448"/>
  <c r="AW14" i="4448"/>
  <c r="G18" i="4452"/>
  <c r="EP22" i="4448" l="1"/>
  <c r="EO21" i="4448"/>
  <c r="EN20" i="4448"/>
  <c r="EM20" i="4448"/>
  <c r="C24" i="4452"/>
  <c r="DZ13" i="4448"/>
  <c r="DU13" i="4448"/>
  <c r="EA14" i="4448"/>
  <c r="DO13" i="4448"/>
  <c r="EF14" i="4448"/>
  <c r="DK14" i="4448"/>
  <c r="DM13" i="4448"/>
  <c r="DX14" i="4448"/>
  <c r="DR13" i="4448"/>
  <c r="DI13" i="4448"/>
  <c r="EG13" i="4448"/>
  <c r="CX15" i="4448"/>
  <c r="DD13" i="4448"/>
  <c r="EH13" i="4448"/>
  <c r="EJ13" i="4448"/>
  <c r="EI13" i="4448"/>
  <c r="EL17" i="4448"/>
  <c r="DT13" i="4448"/>
  <c r="DY13" i="4448"/>
  <c r="DJ14" i="4448"/>
  <c r="CY14" i="4448"/>
  <c r="DP13" i="4448"/>
  <c r="EK14" i="4448"/>
  <c r="DW14" i="4448"/>
  <c r="EE14" i="4448"/>
  <c r="DE13" i="4448"/>
  <c r="DA13" i="4448"/>
  <c r="DF14" i="4448"/>
  <c r="DV14" i="4448"/>
  <c r="ED13" i="4448"/>
  <c r="DN13" i="4448"/>
  <c r="DC13" i="4448"/>
  <c r="DS13" i="4448"/>
  <c r="DH14" i="4448"/>
  <c r="EC13" i="4448"/>
  <c r="CZ14" i="4448"/>
  <c r="DL15" i="4448"/>
  <c r="DG14" i="4448"/>
  <c r="DB13" i="4448"/>
  <c r="AW15" i="4448"/>
  <c r="G19" i="4452"/>
  <c r="EB14" i="4448"/>
  <c r="EP23" i="4448" l="1"/>
  <c r="EO22" i="4448"/>
  <c r="EN21" i="4448"/>
  <c r="EM21" i="4448"/>
  <c r="C25" i="4452"/>
  <c r="ED14" i="4448"/>
  <c r="DH15" i="4448"/>
  <c r="DW15" i="4448"/>
  <c r="EL18" i="4448"/>
  <c r="EF15" i="4448"/>
  <c r="CX16" i="4448"/>
  <c r="DT14" i="4448"/>
  <c r="EG14" i="4448"/>
  <c r="DP14" i="4448"/>
  <c r="DI14" i="4448"/>
  <c r="DO14" i="4448"/>
  <c r="EC14" i="4448"/>
  <c r="DV15" i="4448"/>
  <c r="DG15" i="4448"/>
  <c r="DA14" i="4448"/>
  <c r="DR14" i="4448"/>
  <c r="EA15" i="4448"/>
  <c r="DL16" i="4448"/>
  <c r="EJ14" i="4448"/>
  <c r="CZ15" i="4448"/>
  <c r="DJ15" i="4448"/>
  <c r="EH14" i="4448"/>
  <c r="DX15" i="4448"/>
  <c r="DU14" i="4448"/>
  <c r="DK15" i="4448"/>
  <c r="DF15" i="4448"/>
  <c r="DC14" i="4448"/>
  <c r="DE14" i="4448"/>
  <c r="EK15" i="4448"/>
  <c r="DS14" i="4448"/>
  <c r="EI14" i="4448"/>
  <c r="CY15" i="4448"/>
  <c r="DN14" i="4448"/>
  <c r="EE15" i="4448"/>
  <c r="DY14" i="4448"/>
  <c r="DD14" i="4448"/>
  <c r="DM14" i="4448"/>
  <c r="DZ14" i="4448"/>
  <c r="EB15" i="4448"/>
  <c r="DB14" i="4448"/>
  <c r="AW16" i="4448"/>
  <c r="G20" i="4452"/>
  <c r="EP24" i="4448" l="1"/>
  <c r="EO23" i="4448"/>
  <c r="EN22" i="4448"/>
  <c r="EM22" i="4448"/>
  <c r="C26" i="4452"/>
  <c r="EE16" i="4448"/>
  <c r="CX17" i="4448"/>
  <c r="EF16" i="4448"/>
  <c r="EC15" i="4448"/>
  <c r="DI15" i="4448"/>
  <c r="EL19" i="4448"/>
  <c r="EH15" i="4448"/>
  <c r="DJ16" i="4448"/>
  <c r="CY16" i="4448"/>
  <c r="DF16" i="4448"/>
  <c r="CZ16" i="4448"/>
  <c r="DA15" i="4448"/>
  <c r="EK16" i="4448"/>
  <c r="DM15" i="4448"/>
  <c r="DP15" i="4448"/>
  <c r="DW16" i="4448"/>
  <c r="DE15" i="4448"/>
  <c r="DR15" i="4448"/>
  <c r="EJ15" i="4448"/>
  <c r="DG16" i="4448"/>
  <c r="DO15" i="4448"/>
  <c r="EI15" i="4448"/>
  <c r="EG15" i="4448"/>
  <c r="DH16" i="4448"/>
  <c r="DX16" i="4448"/>
  <c r="EA16" i="4448"/>
  <c r="DC15" i="4448"/>
  <c r="DZ15" i="4448"/>
  <c r="DK16" i="4448"/>
  <c r="DD15" i="4448"/>
  <c r="DS15" i="4448"/>
  <c r="DU15" i="4448"/>
  <c r="DL17" i="4448"/>
  <c r="DV16" i="4448"/>
  <c r="DN15" i="4448"/>
  <c r="DY15" i="4448"/>
  <c r="DT15" i="4448"/>
  <c r="ED15" i="4448"/>
  <c r="EB16" i="4448"/>
  <c r="AW17" i="4448"/>
  <c r="G21" i="4452"/>
  <c r="DB15" i="4448"/>
  <c r="EP25" i="4448" l="1"/>
  <c r="EO24" i="4448"/>
  <c r="EN23" i="4448"/>
  <c r="EM23" i="4448"/>
  <c r="C27" i="4452"/>
  <c r="DD16" i="4448"/>
  <c r="DA16" i="4448"/>
  <c r="EL20" i="4448"/>
  <c r="DI16" i="4448"/>
  <c r="DN16" i="4448"/>
  <c r="DV17" i="4448"/>
  <c r="DK17" i="4448"/>
  <c r="EC16" i="4448"/>
  <c r="DW17" i="4448"/>
  <c r="ED16" i="4448"/>
  <c r="DC16" i="4448"/>
  <c r="DP16" i="4448"/>
  <c r="CY17" i="4448"/>
  <c r="DR16" i="4448"/>
  <c r="DE16" i="4448"/>
  <c r="DZ16" i="4448"/>
  <c r="EF17" i="4448"/>
  <c r="EG16" i="4448"/>
  <c r="DL18" i="4448"/>
  <c r="DT16" i="4448"/>
  <c r="DS16" i="4448"/>
  <c r="DG17" i="4448"/>
  <c r="DM16" i="4448"/>
  <c r="DJ17" i="4448"/>
  <c r="CZ17" i="4448"/>
  <c r="EI16" i="4448"/>
  <c r="DU16" i="4448"/>
  <c r="CX18" i="4448"/>
  <c r="DO16" i="4448"/>
  <c r="EA17" i="4448"/>
  <c r="DY16" i="4448"/>
  <c r="EJ16" i="4448"/>
  <c r="EK17" i="4448"/>
  <c r="EH16" i="4448"/>
  <c r="DH17" i="4448"/>
  <c r="DF17" i="4448"/>
  <c r="DX17" i="4448"/>
  <c r="EE17" i="4448"/>
  <c r="EB17" i="4448"/>
  <c r="AW18" i="4448"/>
  <c r="G22" i="4452"/>
  <c r="DB16" i="4448"/>
  <c r="EP26" i="4448" l="1"/>
  <c r="EO25" i="4448"/>
  <c r="EN24" i="4448"/>
  <c r="EM24" i="4448"/>
  <c r="C28" i="4452"/>
  <c r="DV18" i="4448"/>
  <c r="DN17" i="4448"/>
  <c r="EF18" i="4448"/>
  <c r="CX19" i="4448"/>
  <c r="ED17" i="4448"/>
  <c r="DC17" i="4448"/>
  <c r="DI17" i="4448"/>
  <c r="DM17" i="4448"/>
  <c r="EH17" i="4448"/>
  <c r="DU17" i="4448"/>
  <c r="DE17" i="4448"/>
  <c r="DW18" i="4448"/>
  <c r="DH18" i="4448"/>
  <c r="DZ17" i="4448"/>
  <c r="DS17" i="4448"/>
  <c r="EJ17" i="4448"/>
  <c r="DR17" i="4448"/>
  <c r="EL21" i="4448"/>
  <c r="DO17" i="4448"/>
  <c r="EC17" i="4448"/>
  <c r="DG18" i="4448"/>
  <c r="EE18" i="4448"/>
  <c r="EI17" i="4448"/>
  <c r="DY17" i="4448"/>
  <c r="DL19" i="4448"/>
  <c r="DA17" i="4448"/>
  <c r="DX18" i="4448"/>
  <c r="CY18" i="4448"/>
  <c r="DK18" i="4448"/>
  <c r="EK18" i="4448"/>
  <c r="DT17" i="4448"/>
  <c r="CZ18" i="4448"/>
  <c r="DF18" i="4448"/>
  <c r="EA18" i="4448"/>
  <c r="DJ18" i="4448"/>
  <c r="EG17" i="4448"/>
  <c r="DP17" i="4448"/>
  <c r="DD17" i="4448"/>
  <c r="EB18" i="4448"/>
  <c r="AW19" i="4448"/>
  <c r="G23" i="4452"/>
  <c r="DB17" i="4448"/>
  <c r="EP27" i="4448" l="1"/>
  <c r="EO26" i="4448"/>
  <c r="EN25" i="4448"/>
  <c r="EM25" i="4448"/>
  <c r="C29" i="4452"/>
  <c r="J29" i="4452" s="1"/>
  <c r="EI18" i="4448"/>
  <c r="EA19" i="4448"/>
  <c r="ED18" i="4448"/>
  <c r="DW19" i="4448"/>
  <c r="DK19" i="4448"/>
  <c r="CZ19" i="4448"/>
  <c r="EJ18" i="4448"/>
  <c r="DU18" i="4448"/>
  <c r="CX20" i="4448"/>
  <c r="DC18" i="4448"/>
  <c r="DR18" i="4448"/>
  <c r="DG19" i="4448"/>
  <c r="DE18" i="4448"/>
  <c r="EH18" i="4448"/>
  <c r="EF19" i="4448"/>
  <c r="EL22" i="4448"/>
  <c r="DA18" i="4448"/>
  <c r="CY19" i="4448"/>
  <c r="DD18" i="4448"/>
  <c r="DP18" i="4448"/>
  <c r="DS18" i="4448"/>
  <c r="DT18" i="4448"/>
  <c r="DZ18" i="4448"/>
  <c r="DM18" i="4448"/>
  <c r="DN18" i="4448"/>
  <c r="DY18" i="4448"/>
  <c r="DX19" i="4448"/>
  <c r="EG18" i="4448"/>
  <c r="EC18" i="4448"/>
  <c r="DL20" i="4448"/>
  <c r="DF19" i="4448"/>
  <c r="EE19" i="4448"/>
  <c r="DJ19" i="4448"/>
  <c r="EK19" i="4448"/>
  <c r="DO18" i="4448"/>
  <c r="DH19" i="4448"/>
  <c r="DI18" i="4448"/>
  <c r="DV19" i="4448"/>
  <c r="AW20" i="4448"/>
  <c r="G24" i="4452"/>
  <c r="EB19" i="4448"/>
  <c r="DB18" i="4448"/>
  <c r="EP28" i="4448" l="1"/>
  <c r="EO27" i="4448"/>
  <c r="EN26" i="4448"/>
  <c r="EM26" i="4448"/>
  <c r="C30" i="4452"/>
  <c r="DM19" i="4448"/>
  <c r="DG20" i="4448"/>
  <c r="CZ20" i="4448"/>
  <c r="CY20" i="4448"/>
  <c r="EK20" i="4448"/>
  <c r="DV20" i="4448"/>
  <c r="DW20" i="4448"/>
  <c r="DA19" i="4448"/>
  <c r="EL23" i="4448"/>
  <c r="DS19" i="4448"/>
  <c r="EF20" i="4448"/>
  <c r="CX21" i="4448"/>
  <c r="DI19" i="4448"/>
  <c r="ED19" i="4448"/>
  <c r="DR19" i="4448"/>
  <c r="DT19" i="4448"/>
  <c r="EE20" i="4448"/>
  <c r="DY19" i="4448"/>
  <c r="DP19" i="4448"/>
  <c r="EH19" i="4448"/>
  <c r="DU19" i="4448"/>
  <c r="DZ19" i="4448"/>
  <c r="DC19" i="4448"/>
  <c r="DX20" i="4448"/>
  <c r="DL21" i="4448"/>
  <c r="EA20" i="4448"/>
  <c r="EG19" i="4448"/>
  <c r="DF20" i="4448"/>
  <c r="DN19" i="4448"/>
  <c r="DE19" i="4448"/>
  <c r="EJ19" i="4448"/>
  <c r="EC19" i="4448"/>
  <c r="DK20" i="4448"/>
  <c r="DJ20" i="4448"/>
  <c r="DH20" i="4448"/>
  <c r="DD19" i="4448"/>
  <c r="DO19" i="4448"/>
  <c r="EI19" i="4448"/>
  <c r="EB20" i="4448"/>
  <c r="DB19" i="4448"/>
  <c r="AW21" i="4448"/>
  <c r="G25" i="4452"/>
  <c r="EP29" i="4448" l="1"/>
  <c r="EO28" i="4448"/>
  <c r="EN27" i="4448"/>
  <c r="EM27" i="4448"/>
  <c r="C31" i="4452"/>
  <c r="N30" i="4452"/>
  <c r="DV21" i="4448"/>
  <c r="EK21" i="4448"/>
  <c r="CX22" i="4448"/>
  <c r="EF21" i="4448"/>
  <c r="DS20" i="4448"/>
  <c r="CY21" i="4448"/>
  <c r="EE21" i="4448"/>
  <c r="EG20" i="4448"/>
  <c r="EI20" i="4448"/>
  <c r="DU20" i="4448"/>
  <c r="DR20" i="4448"/>
  <c r="DO20" i="4448"/>
  <c r="EL24" i="4448"/>
  <c r="CZ21" i="4448"/>
  <c r="DN20" i="4448"/>
  <c r="DF21" i="4448"/>
  <c r="EJ20" i="4448"/>
  <c r="DL22" i="4448"/>
  <c r="EH20" i="4448"/>
  <c r="DJ21" i="4448"/>
  <c r="DC20" i="4448"/>
  <c r="DK21" i="4448"/>
  <c r="DT20" i="4448"/>
  <c r="EC20" i="4448"/>
  <c r="DD20" i="4448"/>
  <c r="DA20" i="4448"/>
  <c r="DG21" i="4448"/>
  <c r="DY20" i="4448"/>
  <c r="DZ20" i="4448"/>
  <c r="DE20" i="4448"/>
  <c r="DP20" i="4448"/>
  <c r="DX21" i="4448"/>
  <c r="EA21" i="4448"/>
  <c r="ED20" i="4448"/>
  <c r="DH21" i="4448"/>
  <c r="DI20" i="4448"/>
  <c r="DW21" i="4448"/>
  <c r="DM20" i="4448"/>
  <c r="EB21" i="4448"/>
  <c r="AW22" i="4448"/>
  <c r="G26" i="4452"/>
  <c r="DB20" i="4448"/>
  <c r="EP30" i="4448" l="1"/>
  <c r="EO29" i="4448"/>
  <c r="EN28" i="4448"/>
  <c r="EM28" i="4448"/>
  <c r="C32" i="4452"/>
  <c r="N31" i="4452"/>
  <c r="DZ21" i="4448"/>
  <c r="DL23" i="4448"/>
  <c r="DT21" i="4448"/>
  <c r="DS21" i="4448"/>
  <c r="CY22" i="4448"/>
  <c r="DR21" i="4448"/>
  <c r="DM21" i="4448"/>
  <c r="DU21" i="4448"/>
  <c r="EF22" i="4448"/>
  <c r="DO21" i="4448"/>
  <c r="EJ21" i="4448"/>
  <c r="DF22" i="4448"/>
  <c r="DW22" i="4448"/>
  <c r="DN21" i="4448"/>
  <c r="EI21" i="4448"/>
  <c r="CX23" i="4448"/>
  <c r="EA22" i="4448"/>
  <c r="DK22" i="4448"/>
  <c r="DP21" i="4448"/>
  <c r="DA21" i="4448"/>
  <c r="EC21" i="4448"/>
  <c r="CZ22" i="4448"/>
  <c r="EG21" i="4448"/>
  <c r="EK22" i="4448"/>
  <c r="DG22" i="4448"/>
  <c r="DI21" i="4448"/>
  <c r="DJ22" i="4448"/>
  <c r="DE21" i="4448"/>
  <c r="DD21" i="4448"/>
  <c r="ED21" i="4448"/>
  <c r="DY21" i="4448"/>
  <c r="DX22" i="4448"/>
  <c r="DC21" i="4448"/>
  <c r="DH22" i="4448"/>
  <c r="EH21" i="4448"/>
  <c r="EL25" i="4448"/>
  <c r="EE22" i="4448"/>
  <c r="DV22" i="4448"/>
  <c r="DB21" i="4448"/>
  <c r="AW23" i="4448"/>
  <c r="G27" i="4452"/>
  <c r="EB22" i="4448"/>
  <c r="EP31" i="4448" l="1"/>
  <c r="EO30" i="4448"/>
  <c r="EN29" i="4448"/>
  <c r="EM29" i="4448"/>
  <c r="C33" i="4452"/>
  <c r="N32" i="4452"/>
  <c r="DF23" i="4448"/>
  <c r="DK23" i="4448"/>
  <c r="CY23" i="4448"/>
  <c r="DR22" i="4448"/>
  <c r="DO22" i="4448"/>
  <c r="DS22" i="4448"/>
  <c r="DC22" i="4448"/>
  <c r="EC22" i="4448"/>
  <c r="EI22" i="4448"/>
  <c r="DE22" i="4448"/>
  <c r="DJ23" i="4448"/>
  <c r="DX23" i="4448"/>
  <c r="DY22" i="4448"/>
  <c r="EF23" i="4448"/>
  <c r="DT22" i="4448"/>
  <c r="EG22" i="4448"/>
  <c r="EA23" i="4448"/>
  <c r="CX24" i="4448"/>
  <c r="DG23" i="4448"/>
  <c r="DA22" i="4448"/>
  <c r="DN22" i="4448"/>
  <c r="DH23" i="4448"/>
  <c r="EJ22" i="4448"/>
  <c r="DI22" i="4448"/>
  <c r="DU22" i="4448"/>
  <c r="DL24" i="4448"/>
  <c r="DV23" i="4448"/>
  <c r="EE23" i="4448"/>
  <c r="ED22" i="4448"/>
  <c r="EH22" i="4448"/>
  <c r="EK23" i="4448"/>
  <c r="DW23" i="4448"/>
  <c r="CZ23" i="4448"/>
  <c r="EL26" i="4448"/>
  <c r="DD22" i="4448"/>
  <c r="DP22" i="4448"/>
  <c r="DM22" i="4448"/>
  <c r="DZ22" i="4448"/>
  <c r="EB23" i="4448"/>
  <c r="DB22" i="4448"/>
  <c r="AW24" i="4448"/>
  <c r="G28" i="4452"/>
  <c r="EP32" i="4448" l="1"/>
  <c r="EO31" i="4448"/>
  <c r="EN30" i="4448"/>
  <c r="EM30" i="4448"/>
  <c r="C34" i="4452"/>
  <c r="N33" i="4452"/>
  <c r="CX25" i="4448"/>
  <c r="DX24" i="4448"/>
  <c r="EH23" i="4448"/>
  <c r="EA24" i="4448"/>
  <c r="DS23" i="4448"/>
  <c r="DO23" i="4448"/>
  <c r="DD23" i="4448"/>
  <c r="DR23" i="4448"/>
  <c r="DJ24" i="4448"/>
  <c r="DE23" i="4448"/>
  <c r="DV24" i="4448"/>
  <c r="DN23" i="4448"/>
  <c r="DT23" i="4448"/>
  <c r="EI23" i="4448"/>
  <c r="DM23" i="4448"/>
  <c r="CY24" i="4448"/>
  <c r="DL25" i="4448"/>
  <c r="DA23" i="4448"/>
  <c r="EF24" i="4448"/>
  <c r="EJ23" i="4448"/>
  <c r="DH24" i="4448"/>
  <c r="CZ24" i="4448"/>
  <c r="EC23" i="4448"/>
  <c r="DK24" i="4448"/>
  <c r="EG23" i="4448"/>
  <c r="DW24" i="4448"/>
  <c r="EK24" i="4448"/>
  <c r="DG24" i="4448"/>
  <c r="DY23" i="4448"/>
  <c r="DI23" i="4448"/>
  <c r="ED23" i="4448"/>
  <c r="EL27" i="4448"/>
  <c r="EE24" i="4448"/>
  <c r="DZ23" i="4448"/>
  <c r="DU23" i="4448"/>
  <c r="DP23" i="4448"/>
  <c r="DC23" i="4448"/>
  <c r="DF24" i="4448"/>
  <c r="DB23" i="4448"/>
  <c r="AW25" i="4448"/>
  <c r="G29" i="4452"/>
  <c r="EB24" i="4448"/>
  <c r="EP33" i="4448" l="1"/>
  <c r="EO32" i="4448"/>
  <c r="EN31" i="4448"/>
  <c r="EM31" i="4448"/>
  <c r="C35" i="4452"/>
  <c r="N34" i="4452"/>
  <c r="DN24" i="4448"/>
  <c r="DV25" i="4448"/>
  <c r="DS24" i="4448"/>
  <c r="DY24" i="4448"/>
  <c r="EE25" i="4448"/>
  <c r="DE24" i="4448"/>
  <c r="EA25" i="4448"/>
  <c r="DO24" i="4448"/>
  <c r="DG25" i="4448"/>
  <c r="CY25" i="4448"/>
  <c r="DM24" i="4448"/>
  <c r="DF25" i="4448"/>
  <c r="DC24" i="4448"/>
  <c r="DJ25" i="4448"/>
  <c r="EH24" i="4448"/>
  <c r="DU24" i="4448"/>
  <c r="EL28" i="4448"/>
  <c r="EJ24" i="4448"/>
  <c r="ED24" i="4448"/>
  <c r="EI24" i="4448"/>
  <c r="DR24" i="4448"/>
  <c r="DX25" i="4448"/>
  <c r="DA24" i="4448"/>
  <c r="EC24" i="4448"/>
  <c r="DZ24" i="4448"/>
  <c r="EG24" i="4448"/>
  <c r="EF25" i="4448"/>
  <c r="DL26" i="4448"/>
  <c r="CZ25" i="4448"/>
  <c r="EK25" i="4448"/>
  <c r="DH25" i="4448"/>
  <c r="DW25" i="4448"/>
  <c r="DP24" i="4448"/>
  <c r="DI24" i="4448"/>
  <c r="DK25" i="4448"/>
  <c r="DT24" i="4448"/>
  <c r="DD24" i="4448"/>
  <c r="CX26" i="4448"/>
  <c r="EB25" i="4448"/>
  <c r="DB24" i="4448"/>
  <c r="AW26" i="4448"/>
  <c r="G30" i="4452"/>
  <c r="EP34" i="4448" l="1"/>
  <c r="EO33" i="4448"/>
  <c r="EN32" i="4448"/>
  <c r="EM32" i="4448"/>
  <c r="C36" i="4452"/>
  <c r="N35" i="4452"/>
  <c r="DA25" i="4448"/>
  <c r="EF26" i="4448"/>
  <c r="CY26" i="4448"/>
  <c r="DL27" i="4448"/>
  <c r="DR25" i="4448"/>
  <c r="DP25" i="4448"/>
  <c r="CX27" i="4448"/>
  <c r="DG26" i="4448"/>
  <c r="DY25" i="4448"/>
  <c r="EI25" i="4448"/>
  <c r="DX26" i="4448"/>
  <c r="DD25" i="4448"/>
  <c r="DJ26" i="4448"/>
  <c r="DO25" i="4448"/>
  <c r="DS25" i="4448"/>
  <c r="EE26" i="4448"/>
  <c r="ED25" i="4448"/>
  <c r="DM25" i="4448"/>
  <c r="DW26" i="4448"/>
  <c r="DZ25" i="4448"/>
  <c r="DT25" i="4448"/>
  <c r="DC25" i="4448"/>
  <c r="EA26" i="4448"/>
  <c r="DV26" i="4448"/>
  <c r="EL29" i="4448"/>
  <c r="DU25" i="4448"/>
  <c r="EH25" i="4448"/>
  <c r="EK26" i="4448"/>
  <c r="EC25" i="4448"/>
  <c r="DI25" i="4448"/>
  <c r="EG25" i="4448"/>
  <c r="DH26" i="4448"/>
  <c r="DK26" i="4448"/>
  <c r="CZ26" i="4448"/>
  <c r="EJ25" i="4448"/>
  <c r="DF26" i="4448"/>
  <c r="DE25" i="4448"/>
  <c r="DN25" i="4448"/>
  <c r="DB25" i="4448"/>
  <c r="EB26" i="4448"/>
  <c r="AW27" i="4448"/>
  <c r="G31" i="4452"/>
  <c r="EP35" i="4448" l="1"/>
  <c r="EO34" i="4448"/>
  <c r="EN33" i="4448"/>
  <c r="EM33" i="4448"/>
  <c r="C37" i="4452"/>
  <c r="N36" i="4452"/>
  <c r="CZ27" i="4448"/>
  <c r="DR26" i="4448"/>
  <c r="DS26" i="4448"/>
  <c r="DL28" i="4448"/>
  <c r="DK27" i="4448"/>
  <c r="ED26" i="4448"/>
  <c r="DC26" i="4448"/>
  <c r="EH26" i="4448"/>
  <c r="DZ26" i="4448"/>
  <c r="DO26" i="4448"/>
  <c r="DY26" i="4448"/>
  <c r="CY27" i="4448"/>
  <c r="EC26" i="4448"/>
  <c r="DT26" i="4448"/>
  <c r="DE26" i="4448"/>
  <c r="EG26" i="4448"/>
  <c r="DX27" i="4448"/>
  <c r="EK27" i="4448"/>
  <c r="DH27" i="4448"/>
  <c r="DU26" i="4448"/>
  <c r="EL30" i="4448"/>
  <c r="DW27" i="4448"/>
  <c r="DJ27" i="4448"/>
  <c r="DG27" i="4448"/>
  <c r="EF27" i="4448"/>
  <c r="EA27" i="4448"/>
  <c r="EE27" i="4448"/>
  <c r="EI26" i="4448"/>
  <c r="DF27" i="4448"/>
  <c r="DN26" i="4448"/>
  <c r="DI26" i="4448"/>
  <c r="DV27" i="4448"/>
  <c r="DM26" i="4448"/>
  <c r="DD26" i="4448"/>
  <c r="CX28" i="4448"/>
  <c r="DP26" i="4448"/>
  <c r="EJ26" i="4448"/>
  <c r="DA26" i="4448"/>
  <c r="EB27" i="4448"/>
  <c r="AW28" i="4448"/>
  <c r="G32" i="4452"/>
  <c r="DB26" i="4448"/>
  <c r="EP36" i="4448" l="1"/>
  <c r="EO35" i="4448"/>
  <c r="EN34" i="4448"/>
  <c r="EM34" i="4448"/>
  <c r="C38" i="4452"/>
  <c r="N37" i="4452"/>
  <c r="ED27" i="4448"/>
  <c r="DX28" i="4448"/>
  <c r="EE28" i="4448"/>
  <c r="DD27" i="4448"/>
  <c r="DY27" i="4448"/>
  <c r="DL29" i="4448"/>
  <c r="DA27" i="4448"/>
  <c r="DE27" i="4448"/>
  <c r="EI27" i="4448"/>
  <c r="DM27" i="4448"/>
  <c r="DZ27" i="4448"/>
  <c r="DS27" i="4448"/>
  <c r="DO27" i="4448"/>
  <c r="DI27" i="4448"/>
  <c r="DT27" i="4448"/>
  <c r="EG27" i="4448"/>
  <c r="DU27" i="4448"/>
  <c r="EH27" i="4448"/>
  <c r="EL31" i="4448"/>
  <c r="EA28" i="4448"/>
  <c r="EF28" i="4448"/>
  <c r="DN27" i="4448"/>
  <c r="DR27" i="4448"/>
  <c r="CY28" i="4448"/>
  <c r="DK28" i="4448"/>
  <c r="DP27" i="4448"/>
  <c r="EC27" i="4448"/>
  <c r="DC27" i="4448"/>
  <c r="DW28" i="4448"/>
  <c r="DV28" i="4448"/>
  <c r="EJ27" i="4448"/>
  <c r="DH28" i="4448"/>
  <c r="DG28" i="4448"/>
  <c r="CX29" i="4448"/>
  <c r="DF28" i="4448"/>
  <c r="DJ28" i="4448"/>
  <c r="EK28" i="4448"/>
  <c r="CZ28" i="4448"/>
  <c r="AW29" i="4448"/>
  <c r="G33" i="4452"/>
  <c r="DB27" i="4448"/>
  <c r="EB28" i="4448"/>
  <c r="EP37" i="4448" l="1"/>
  <c r="EO36" i="4448"/>
  <c r="EN35" i="4448"/>
  <c r="EM35" i="4448"/>
  <c r="C39" i="4452"/>
  <c r="N38" i="4452"/>
  <c r="DR28" i="4448"/>
  <c r="DS28" i="4448"/>
  <c r="DY28" i="4448"/>
  <c r="EG28" i="4448"/>
  <c r="DM28" i="4448"/>
  <c r="DD28" i="4448"/>
  <c r="CX30" i="4448"/>
  <c r="DU28" i="4448"/>
  <c r="DT28" i="4448"/>
  <c r="DZ28" i="4448"/>
  <c r="DH29" i="4448"/>
  <c r="EI28" i="4448"/>
  <c r="EE29" i="4448"/>
  <c r="DL30" i="4448"/>
  <c r="EK29" i="4448"/>
  <c r="EA29" i="4448"/>
  <c r="DI28" i="4448"/>
  <c r="DC28" i="4448"/>
  <c r="DN28" i="4448"/>
  <c r="DG29" i="4448"/>
  <c r="CZ29" i="4448"/>
  <c r="DP28" i="4448"/>
  <c r="DJ29" i="4448"/>
  <c r="DE28" i="4448"/>
  <c r="DX29" i="4448"/>
  <c r="EF29" i="4448"/>
  <c r="EJ28" i="4448"/>
  <c r="DK29" i="4448"/>
  <c r="EL32" i="4448"/>
  <c r="DO28" i="4448"/>
  <c r="EH28" i="4448"/>
  <c r="EC28" i="4448"/>
  <c r="DV29" i="4448"/>
  <c r="CY29" i="4448"/>
  <c r="DF29" i="4448"/>
  <c r="DW29" i="4448"/>
  <c r="DA28" i="4448"/>
  <c r="ED28" i="4448"/>
  <c r="AW30" i="4448"/>
  <c r="G34" i="4452"/>
  <c r="DB28" i="4448"/>
  <c r="EB29" i="4448"/>
  <c r="EP38" i="4448" l="1"/>
  <c r="EO37" i="4448"/>
  <c r="EN36" i="4448"/>
  <c r="EM36" i="4448"/>
  <c r="C40" i="4452"/>
  <c r="N39" i="4452"/>
  <c r="DH30" i="4448"/>
  <c r="DM29" i="4448"/>
  <c r="EA30" i="4448"/>
  <c r="DZ29" i="4448"/>
  <c r="DJ30" i="4448"/>
  <c r="DP29" i="4448"/>
  <c r="EJ29" i="4448"/>
  <c r="EK30" i="4448"/>
  <c r="DT29" i="4448"/>
  <c r="EG29" i="4448"/>
  <c r="EL33" i="4448"/>
  <c r="DV30" i="4448"/>
  <c r="ED29" i="4448"/>
  <c r="EF30" i="4448"/>
  <c r="DG30" i="4448"/>
  <c r="DL31" i="4448"/>
  <c r="DU29" i="4448"/>
  <c r="DY29" i="4448"/>
  <c r="EH29" i="4448"/>
  <c r="DN29" i="4448"/>
  <c r="EE30" i="4448"/>
  <c r="CX31" i="4448"/>
  <c r="DS29" i="4448"/>
  <c r="CY30" i="4448"/>
  <c r="DK30" i="4448"/>
  <c r="CZ30" i="4448"/>
  <c r="DA29" i="4448"/>
  <c r="EC29" i="4448"/>
  <c r="DW30" i="4448"/>
  <c r="DX30" i="4448"/>
  <c r="DI29" i="4448"/>
  <c r="DF30" i="4448"/>
  <c r="DO29" i="4448"/>
  <c r="DE29" i="4448"/>
  <c r="DC29" i="4448"/>
  <c r="EI29" i="4448"/>
  <c r="DD29" i="4448"/>
  <c r="DR29" i="4448"/>
  <c r="DB29" i="4448"/>
  <c r="EB30" i="4448"/>
  <c r="AW31" i="4448"/>
  <c r="G35" i="4452"/>
  <c r="EP39" i="4448" l="1"/>
  <c r="EO38" i="4448"/>
  <c r="EN37" i="4448"/>
  <c r="EM37" i="4448"/>
  <c r="C41" i="4452"/>
  <c r="N40" i="4452"/>
  <c r="EL34" i="4448"/>
  <c r="DP30" i="4448"/>
  <c r="DO30" i="4448"/>
  <c r="DJ31" i="4448"/>
  <c r="DU30" i="4448"/>
  <c r="DL32" i="4448"/>
  <c r="DA30" i="4448"/>
  <c r="DG31" i="4448"/>
  <c r="EG30" i="4448"/>
  <c r="DZ30" i="4448"/>
  <c r="EC30" i="4448"/>
  <c r="EE31" i="4448"/>
  <c r="DR30" i="4448"/>
  <c r="CZ31" i="4448"/>
  <c r="DN30" i="4448"/>
  <c r="EF31" i="4448"/>
  <c r="DD30" i="4448"/>
  <c r="DI30" i="4448"/>
  <c r="DT30" i="4448"/>
  <c r="EA31" i="4448"/>
  <c r="DS30" i="4448"/>
  <c r="CX32" i="4448"/>
  <c r="DK31" i="4448"/>
  <c r="EH30" i="4448"/>
  <c r="DE30" i="4448"/>
  <c r="EI30" i="4448"/>
  <c r="ED30" i="4448"/>
  <c r="EK31" i="4448"/>
  <c r="DM30" i="4448"/>
  <c r="DF31" i="4448"/>
  <c r="DX31" i="4448"/>
  <c r="CY31" i="4448"/>
  <c r="DY30" i="4448"/>
  <c r="DC30" i="4448"/>
  <c r="DW31" i="4448"/>
  <c r="DV31" i="4448"/>
  <c r="EJ30" i="4448"/>
  <c r="DH31" i="4448"/>
  <c r="DB30" i="4448"/>
  <c r="AW32" i="4448"/>
  <c r="G36" i="4452"/>
  <c r="EB31" i="4448"/>
  <c r="EP40" i="4448" l="1"/>
  <c r="EO39" i="4448"/>
  <c r="EN38" i="4448"/>
  <c r="EM38" i="4448"/>
  <c r="C42" i="4452"/>
  <c r="N41" i="4452"/>
  <c r="DI31" i="4448"/>
  <c r="DU31" i="4448"/>
  <c r="DF32" i="4448"/>
  <c r="DK32" i="4448"/>
  <c r="EF32" i="4448"/>
  <c r="DL33" i="4448"/>
  <c r="DH32" i="4448"/>
  <c r="DZ31" i="4448"/>
  <c r="DJ32" i="4448"/>
  <c r="CX33" i="4448"/>
  <c r="ED31" i="4448"/>
  <c r="DS31" i="4448"/>
  <c r="DN31" i="4448"/>
  <c r="EH31" i="4448"/>
  <c r="DD31" i="4448"/>
  <c r="EG31" i="4448"/>
  <c r="DO31" i="4448"/>
  <c r="EK32" i="4448"/>
  <c r="EI31" i="4448"/>
  <c r="EA32" i="4448"/>
  <c r="CZ32" i="4448"/>
  <c r="EC31" i="4448"/>
  <c r="DX32" i="4448"/>
  <c r="DG32" i="4448"/>
  <c r="DP31" i="4448"/>
  <c r="DC31" i="4448"/>
  <c r="DM31" i="4448"/>
  <c r="EJ31" i="4448"/>
  <c r="DT31" i="4448"/>
  <c r="DR31" i="4448"/>
  <c r="EE32" i="4448"/>
  <c r="DY31" i="4448"/>
  <c r="CY32" i="4448"/>
  <c r="DV32" i="4448"/>
  <c r="DE31" i="4448"/>
  <c r="DW32" i="4448"/>
  <c r="DA31" i="4448"/>
  <c r="EL35" i="4448"/>
  <c r="DB31" i="4448"/>
  <c r="EB32" i="4448"/>
  <c r="AW33" i="4448"/>
  <c r="G37" i="4452"/>
  <c r="EP41" i="4448" l="1"/>
  <c r="EO40" i="4448"/>
  <c r="EN39" i="4448"/>
  <c r="EM39" i="4448"/>
  <c r="C43" i="4452"/>
  <c r="N42" i="4452"/>
  <c r="EC32" i="4448"/>
  <c r="EF33" i="4448"/>
  <c r="DJ33" i="4448"/>
  <c r="DK33" i="4448"/>
  <c r="CZ33" i="4448"/>
  <c r="CY33" i="4448"/>
  <c r="DA32" i="4448"/>
  <c r="EH32" i="4448"/>
  <c r="DZ32" i="4448"/>
  <c r="DY32" i="4448"/>
  <c r="EI32" i="4448"/>
  <c r="EE33" i="4448"/>
  <c r="DG33" i="4448"/>
  <c r="DN32" i="4448"/>
  <c r="DH33" i="4448"/>
  <c r="DF33" i="4448"/>
  <c r="EG32" i="4448"/>
  <c r="DR32" i="4448"/>
  <c r="CX34" i="4448"/>
  <c r="DC32" i="4448"/>
  <c r="EK33" i="4448"/>
  <c r="DU32" i="4448"/>
  <c r="DD32" i="4448"/>
  <c r="DT32" i="4448"/>
  <c r="DS32" i="4448"/>
  <c r="DM32" i="4448"/>
  <c r="EL36" i="4448"/>
  <c r="EA33" i="4448"/>
  <c r="DP32" i="4448"/>
  <c r="DW33" i="4448"/>
  <c r="DE32" i="4448"/>
  <c r="DX33" i="4448"/>
  <c r="DV33" i="4448"/>
  <c r="EJ32" i="4448"/>
  <c r="DO32" i="4448"/>
  <c r="ED32" i="4448"/>
  <c r="DL34" i="4448"/>
  <c r="DI32" i="4448"/>
  <c r="AW34" i="4448"/>
  <c r="G38" i="4452"/>
  <c r="DB32" i="4448"/>
  <c r="EB33" i="4448"/>
  <c r="EP42" i="4448" l="1"/>
  <c r="EO41" i="4448"/>
  <c r="EN40" i="4448"/>
  <c r="EM40" i="4448"/>
  <c r="C44" i="4452"/>
  <c r="N43" i="4452"/>
  <c r="EG33" i="4448"/>
  <c r="CY34" i="4448"/>
  <c r="DP33" i="4448"/>
  <c r="EI33" i="4448"/>
  <c r="EA34" i="4448"/>
  <c r="EK34" i="4448"/>
  <c r="DK34" i="4448"/>
  <c r="DU33" i="4448"/>
  <c r="DI33" i="4448"/>
  <c r="DC33" i="4448"/>
  <c r="DN33" i="4448"/>
  <c r="DZ33" i="4448"/>
  <c r="DJ34" i="4448"/>
  <c r="DL35" i="4448"/>
  <c r="DE33" i="4448"/>
  <c r="CX35" i="4448"/>
  <c r="DG34" i="4448"/>
  <c r="EH33" i="4448"/>
  <c r="EF34" i="4448"/>
  <c r="DD33" i="4448"/>
  <c r="DF34" i="4448"/>
  <c r="DV34" i="4448"/>
  <c r="DX34" i="4448"/>
  <c r="CZ34" i="4448"/>
  <c r="EL37" i="4448"/>
  <c r="DM33" i="4448"/>
  <c r="DS33" i="4448"/>
  <c r="ED33" i="4448"/>
  <c r="DW34" i="4448"/>
  <c r="DR33" i="4448"/>
  <c r="EE34" i="4448"/>
  <c r="DA33" i="4448"/>
  <c r="EJ33" i="4448"/>
  <c r="DY33" i="4448"/>
  <c r="DH34" i="4448"/>
  <c r="DT33" i="4448"/>
  <c r="DO33" i="4448"/>
  <c r="EC33" i="4448"/>
  <c r="EB34" i="4448"/>
  <c r="AW35" i="4448"/>
  <c r="G39" i="4452"/>
  <c r="DB33" i="4448"/>
  <c r="EP43" i="4448" l="1"/>
  <c r="EO42" i="4448"/>
  <c r="EN41" i="4448"/>
  <c r="EM41" i="4448"/>
  <c r="C45" i="4452"/>
  <c r="N44" i="4452"/>
  <c r="EA35" i="4448"/>
  <c r="DZ34" i="4448"/>
  <c r="DY34" i="4448"/>
  <c r="DE34" i="4448"/>
  <c r="DC34" i="4448"/>
  <c r="EI34" i="4448"/>
  <c r="DX35" i="4448"/>
  <c r="CX36" i="4448"/>
  <c r="DS34" i="4448"/>
  <c r="DM34" i="4448"/>
  <c r="DI34" i="4448"/>
  <c r="DP34" i="4448"/>
  <c r="DG35" i="4448"/>
  <c r="DN34" i="4448"/>
  <c r="DF35" i="4448"/>
  <c r="DA34" i="4448"/>
  <c r="DO34" i="4448"/>
  <c r="DH35" i="4448"/>
  <c r="DV35" i="4448"/>
  <c r="EJ34" i="4448"/>
  <c r="EC34" i="4448"/>
  <c r="EE35" i="4448"/>
  <c r="DL36" i="4448"/>
  <c r="DU34" i="4448"/>
  <c r="CY35" i="4448"/>
  <c r="EK35" i="4448"/>
  <c r="DD34" i="4448"/>
  <c r="EF35" i="4448"/>
  <c r="DT34" i="4448"/>
  <c r="DW35" i="4448"/>
  <c r="ED34" i="4448"/>
  <c r="EL38" i="4448"/>
  <c r="DR34" i="4448"/>
  <c r="CZ35" i="4448"/>
  <c r="EH34" i="4448"/>
  <c r="DJ35" i="4448"/>
  <c r="DK35" i="4448"/>
  <c r="EG34" i="4448"/>
  <c r="DB34" i="4448"/>
  <c r="AW36" i="4448"/>
  <c r="G40" i="4452"/>
  <c r="EB35" i="4448"/>
  <c r="EP44" i="4448" l="1"/>
  <c r="EO43" i="4448"/>
  <c r="EN42" i="4448"/>
  <c r="EM42" i="4448"/>
  <c r="N45" i="4452"/>
  <c r="DU35" i="4448"/>
  <c r="DC35" i="4448"/>
  <c r="DP35" i="4448"/>
  <c r="DR35" i="4448"/>
  <c r="EG35" i="4448"/>
  <c r="DA35" i="4448"/>
  <c r="DM35" i="4448"/>
  <c r="DE35" i="4448"/>
  <c r="EF36" i="4448"/>
  <c r="EE36" i="4448"/>
  <c r="DL37" i="4448"/>
  <c r="EL39" i="4448"/>
  <c r="DK36" i="4448"/>
  <c r="DF36" i="4448"/>
  <c r="DS35" i="4448"/>
  <c r="DY35" i="4448"/>
  <c r="EI35" i="4448"/>
  <c r="DO35" i="4448"/>
  <c r="EK36" i="4448"/>
  <c r="ED35" i="4448"/>
  <c r="DJ36" i="4448"/>
  <c r="DN35" i="4448"/>
  <c r="CX37" i="4448"/>
  <c r="DZ35" i="4448"/>
  <c r="DH36" i="4448"/>
  <c r="DI35" i="4448"/>
  <c r="DW36" i="4448"/>
  <c r="CY36" i="4448"/>
  <c r="CZ36" i="4448"/>
  <c r="DD35" i="4448"/>
  <c r="EC35" i="4448"/>
  <c r="EJ35" i="4448"/>
  <c r="EH35" i="4448"/>
  <c r="DT35" i="4448"/>
  <c r="DV36" i="4448"/>
  <c r="DG36" i="4448"/>
  <c r="DX36" i="4448"/>
  <c r="EA36" i="4448"/>
  <c r="EB36" i="4448"/>
  <c r="AW37" i="4448"/>
  <c r="G41" i="4452"/>
  <c r="DB35" i="4448"/>
  <c r="EP45" i="4448" l="1"/>
  <c r="EO44" i="4448"/>
  <c r="EN43" i="4448"/>
  <c r="EM43" i="4448"/>
  <c r="C47" i="4452"/>
  <c r="N46" i="4452"/>
  <c r="CX38" i="4448"/>
  <c r="EE37" i="4448"/>
  <c r="DT36" i="4448"/>
  <c r="EH36" i="4448"/>
  <c r="DW37" i="4448"/>
  <c r="EI36" i="4448"/>
  <c r="DY36" i="4448"/>
  <c r="EF37" i="4448"/>
  <c r="DR36" i="4448"/>
  <c r="ED36" i="4448"/>
  <c r="CZ37" i="4448"/>
  <c r="DN36" i="4448"/>
  <c r="EA37" i="4448"/>
  <c r="DX37" i="4448"/>
  <c r="DF37" i="4448"/>
  <c r="DE36" i="4448"/>
  <c r="DP36" i="4448"/>
  <c r="DJ37" i="4448"/>
  <c r="DH37" i="4448"/>
  <c r="EK37" i="4448"/>
  <c r="CY37" i="4448"/>
  <c r="EJ36" i="4448"/>
  <c r="DI36" i="4448"/>
  <c r="DG37" i="4448"/>
  <c r="DM36" i="4448"/>
  <c r="DC36" i="4448"/>
  <c r="EG36" i="4448"/>
  <c r="DS36" i="4448"/>
  <c r="DD36" i="4448"/>
  <c r="DZ36" i="4448"/>
  <c r="DL38" i="4448"/>
  <c r="EC36" i="4448"/>
  <c r="DK37" i="4448"/>
  <c r="DV37" i="4448"/>
  <c r="DO36" i="4448"/>
  <c r="EL40" i="4448"/>
  <c r="DA36" i="4448"/>
  <c r="DU36" i="4448"/>
  <c r="DB36" i="4448"/>
  <c r="AW38" i="4448"/>
  <c r="G42" i="4452"/>
  <c r="EB37" i="4448"/>
  <c r="EP46" i="4448" l="1"/>
  <c r="EO45" i="4448"/>
  <c r="EN44" i="4448"/>
  <c r="EM44" i="4448"/>
  <c r="N47" i="4452"/>
  <c r="DZ37" i="4448"/>
  <c r="DW38" i="4448"/>
  <c r="DS37" i="4448"/>
  <c r="EI37" i="4448"/>
  <c r="DP37" i="4448"/>
  <c r="DE37" i="4448"/>
  <c r="ED37" i="4448"/>
  <c r="EH37" i="4448"/>
  <c r="DG38" i="4448"/>
  <c r="EJ37" i="4448"/>
  <c r="DJ38" i="4448"/>
  <c r="CZ38" i="4448"/>
  <c r="DA37" i="4448"/>
  <c r="DF38" i="4448"/>
  <c r="DR37" i="4448"/>
  <c r="DT37" i="4448"/>
  <c r="DN37" i="4448"/>
  <c r="DI37" i="4448"/>
  <c r="DU37" i="4448"/>
  <c r="EC37" i="4448"/>
  <c r="DD37" i="4448"/>
  <c r="DK38" i="4448"/>
  <c r="CY38" i="4448"/>
  <c r="DC37" i="4448"/>
  <c r="DX38" i="4448"/>
  <c r="EF38" i="4448"/>
  <c r="EE38" i="4448"/>
  <c r="EG37" i="4448"/>
  <c r="EL41" i="4448"/>
  <c r="DL39" i="4448"/>
  <c r="DV38" i="4448"/>
  <c r="EK38" i="4448"/>
  <c r="DO37" i="4448"/>
  <c r="DM37" i="4448"/>
  <c r="DH38" i="4448"/>
  <c r="EA38" i="4448"/>
  <c r="DY37" i="4448"/>
  <c r="CX39" i="4448"/>
  <c r="AW39" i="4448"/>
  <c r="G43" i="4452"/>
  <c r="EB38" i="4448"/>
  <c r="DB37" i="4448"/>
  <c r="EP47" i="4448" l="1"/>
  <c r="EO46" i="4448"/>
  <c r="EN45" i="4448"/>
  <c r="EM45" i="4448"/>
  <c r="C49" i="4452"/>
  <c r="N48" i="4452"/>
  <c r="EL42" i="4448"/>
  <c r="EG38" i="4448"/>
  <c r="DP38" i="4448"/>
  <c r="DJ39" i="4448"/>
  <c r="EJ38" i="4448"/>
  <c r="DR38" i="4448"/>
  <c r="EI38" i="4448"/>
  <c r="DN38" i="4448"/>
  <c r="EE39" i="4448"/>
  <c r="CX40" i="4448"/>
  <c r="CY39" i="4448"/>
  <c r="DK39" i="4448"/>
  <c r="DY38" i="4448"/>
  <c r="DG39" i="4448"/>
  <c r="DS38" i="4448"/>
  <c r="DD38" i="4448"/>
  <c r="EF39" i="4448"/>
  <c r="DV39" i="4448"/>
  <c r="DX39" i="4448"/>
  <c r="DM38" i="4448"/>
  <c r="DT38" i="4448"/>
  <c r="DA38" i="4448"/>
  <c r="EH38" i="4448"/>
  <c r="DW39" i="4448"/>
  <c r="DE38" i="4448"/>
  <c r="DO38" i="4448"/>
  <c r="EK39" i="4448"/>
  <c r="EC38" i="4448"/>
  <c r="EA39" i="4448"/>
  <c r="DU38" i="4448"/>
  <c r="DC38" i="4448"/>
  <c r="DF39" i="4448"/>
  <c r="DL40" i="4448"/>
  <c r="DH39" i="4448"/>
  <c r="DI38" i="4448"/>
  <c r="CZ39" i="4448"/>
  <c r="ED38" i="4448"/>
  <c r="DZ38" i="4448"/>
  <c r="DB38" i="4448"/>
  <c r="EB39" i="4448"/>
  <c r="AW40" i="4448"/>
  <c r="G44" i="4452"/>
  <c r="EP48" i="4448" l="1"/>
  <c r="EO47" i="4448"/>
  <c r="EN46" i="4448"/>
  <c r="EM46" i="4448"/>
  <c r="C50" i="4452"/>
  <c r="N49" i="4452"/>
  <c r="DA39" i="4448"/>
  <c r="DR39" i="4448"/>
  <c r="CY40" i="4448"/>
  <c r="DF40" i="4448"/>
  <c r="CX41" i="4448"/>
  <c r="DJ40" i="4448"/>
  <c r="EH39" i="4448"/>
  <c r="DL41" i="4448"/>
  <c r="DZ39" i="4448"/>
  <c r="DT39" i="4448"/>
  <c r="DM39" i="4448"/>
  <c r="EE40" i="4448"/>
  <c r="DP39" i="4448"/>
  <c r="EA40" i="4448"/>
  <c r="DH40" i="4448"/>
  <c r="EC39" i="4448"/>
  <c r="DK40" i="4448"/>
  <c r="EJ39" i="4448"/>
  <c r="EK40" i="4448"/>
  <c r="DS39" i="4448"/>
  <c r="CZ40" i="4448"/>
  <c r="DG40" i="4448"/>
  <c r="DN39" i="4448"/>
  <c r="EG39" i="4448"/>
  <c r="EF40" i="4448"/>
  <c r="DD39" i="4448"/>
  <c r="DC39" i="4448"/>
  <c r="DE39" i="4448"/>
  <c r="DU39" i="4448"/>
  <c r="ED39" i="4448"/>
  <c r="DO39" i="4448"/>
  <c r="DX40" i="4448"/>
  <c r="DI39" i="4448"/>
  <c r="DW40" i="4448"/>
  <c r="DV40" i="4448"/>
  <c r="DY39" i="4448"/>
  <c r="EI39" i="4448"/>
  <c r="EL43" i="4448"/>
  <c r="EB40" i="4448"/>
  <c r="AW41" i="4448"/>
  <c r="G45" i="4452"/>
  <c r="DB39" i="4448"/>
  <c r="EP49" i="4448" l="1"/>
  <c r="EO48" i="4448"/>
  <c r="EN47" i="4448"/>
  <c r="EM47" i="4448"/>
  <c r="C51" i="4452"/>
  <c r="N50" i="4452"/>
  <c r="DJ41" i="4448"/>
  <c r="EE41" i="4448"/>
  <c r="CX42" i="4448"/>
  <c r="DM40" i="4448"/>
  <c r="DF41" i="4448"/>
  <c r="DK41" i="4448"/>
  <c r="DC40" i="4448"/>
  <c r="EC40" i="4448"/>
  <c r="DH41" i="4448"/>
  <c r="DZ40" i="4448"/>
  <c r="CY41" i="4448"/>
  <c r="CZ41" i="4448"/>
  <c r="DD40" i="4448"/>
  <c r="DW41" i="4448"/>
  <c r="DG41" i="4448"/>
  <c r="DO40" i="4448"/>
  <c r="EA41" i="4448"/>
  <c r="DL42" i="4448"/>
  <c r="DR40" i="4448"/>
  <c r="DI40" i="4448"/>
  <c r="DT40" i="4448"/>
  <c r="EF41" i="4448"/>
  <c r="EK41" i="4448"/>
  <c r="DU40" i="4448"/>
  <c r="EL44" i="4448"/>
  <c r="EI40" i="4448"/>
  <c r="DY40" i="4448"/>
  <c r="DP40" i="4448"/>
  <c r="EH40" i="4448"/>
  <c r="DN40" i="4448"/>
  <c r="DE40" i="4448"/>
  <c r="DX41" i="4448"/>
  <c r="DS40" i="4448"/>
  <c r="ED40" i="4448"/>
  <c r="DV41" i="4448"/>
  <c r="EG40" i="4448"/>
  <c r="EJ40" i="4448"/>
  <c r="DA40" i="4448"/>
  <c r="DB40" i="4448"/>
  <c r="AW42" i="4448"/>
  <c r="G46" i="4452"/>
  <c r="EB41" i="4448"/>
  <c r="EP50" i="4448" l="1"/>
  <c r="EO49" i="4448"/>
  <c r="EN48" i="4448"/>
  <c r="EM48" i="4448"/>
  <c r="C52" i="4452"/>
  <c r="N51" i="4452"/>
  <c r="CZ42" i="4448"/>
  <c r="CY42" i="4448"/>
  <c r="DF42" i="4448"/>
  <c r="ED41" i="4448"/>
  <c r="DZ41" i="4448"/>
  <c r="DG42" i="4448"/>
  <c r="DM41" i="4448"/>
  <c r="DO41" i="4448"/>
  <c r="DS41" i="4448"/>
  <c r="DA41" i="4448"/>
  <c r="DH42" i="4448"/>
  <c r="CX43" i="4448"/>
  <c r="DK42" i="4448"/>
  <c r="DI41" i="4448"/>
  <c r="EL45" i="4448"/>
  <c r="DW42" i="4448"/>
  <c r="EF42" i="4448"/>
  <c r="DY41" i="4448"/>
  <c r="EI41" i="4448"/>
  <c r="EJ41" i="4448"/>
  <c r="DN41" i="4448"/>
  <c r="EC41" i="4448"/>
  <c r="EE42" i="4448"/>
  <c r="DP41" i="4448"/>
  <c r="DT41" i="4448"/>
  <c r="DX42" i="4448"/>
  <c r="DR41" i="4448"/>
  <c r="EG41" i="4448"/>
  <c r="DL43" i="4448"/>
  <c r="DD41" i="4448"/>
  <c r="DE41" i="4448"/>
  <c r="DU41" i="4448"/>
  <c r="DV42" i="4448"/>
  <c r="EH41" i="4448"/>
  <c r="EK42" i="4448"/>
  <c r="EA42" i="4448"/>
  <c r="DC41" i="4448"/>
  <c r="DJ42" i="4448"/>
  <c r="AW43" i="4448"/>
  <c r="G47" i="4452"/>
  <c r="EB42" i="4448"/>
  <c r="DB41" i="4448"/>
  <c r="EP51" i="4448" l="1"/>
  <c r="EO50" i="4448"/>
  <c r="EN49" i="4448"/>
  <c r="EM49" i="4448"/>
  <c r="C53" i="4452"/>
  <c r="N52" i="4452"/>
  <c r="DA42" i="4448"/>
  <c r="EG42" i="4448"/>
  <c r="DV43" i="4448"/>
  <c r="DX43" i="4448"/>
  <c r="DS42" i="4448"/>
  <c r="ED42" i="4448"/>
  <c r="DJ43" i="4448"/>
  <c r="EJ42" i="4448"/>
  <c r="DI42" i="4448"/>
  <c r="DN42" i="4448"/>
  <c r="DO42" i="4448"/>
  <c r="DF43" i="4448"/>
  <c r="EH42" i="4448"/>
  <c r="DW43" i="4448"/>
  <c r="EL46" i="4448"/>
  <c r="DE42" i="4448"/>
  <c r="EI42" i="4448"/>
  <c r="DK43" i="4448"/>
  <c r="DH43" i="4448"/>
  <c r="DR42" i="4448"/>
  <c r="DU42" i="4448"/>
  <c r="EA43" i="4448"/>
  <c r="DM42" i="4448"/>
  <c r="CY43" i="4448"/>
  <c r="EF43" i="4448"/>
  <c r="EC42" i="4448"/>
  <c r="DT42" i="4448"/>
  <c r="DD42" i="4448"/>
  <c r="DY42" i="4448"/>
  <c r="CX44" i="4448"/>
  <c r="DZ42" i="4448"/>
  <c r="DC42" i="4448"/>
  <c r="DP42" i="4448"/>
  <c r="EK43" i="4448"/>
  <c r="DL44" i="4448"/>
  <c r="EE43" i="4448"/>
  <c r="DG43" i="4448"/>
  <c r="CZ43" i="4448"/>
  <c r="DB42" i="4448"/>
  <c r="EB43" i="4448"/>
  <c r="AW44" i="4448"/>
  <c r="G48" i="4452"/>
  <c r="EP52" i="4448" l="1"/>
  <c r="EO51" i="4448"/>
  <c r="EN50" i="4448"/>
  <c r="EM50" i="4448"/>
  <c r="C54" i="4452"/>
  <c r="N53" i="4452"/>
  <c r="EI43" i="4448"/>
  <c r="CX45" i="4448"/>
  <c r="ED43" i="4448"/>
  <c r="DO43" i="4448"/>
  <c r="DE43" i="4448"/>
  <c r="DN43" i="4448"/>
  <c r="DX44" i="4448"/>
  <c r="DK44" i="4448"/>
  <c r="DD43" i="4448"/>
  <c r="DT43" i="4448"/>
  <c r="EL47" i="4448"/>
  <c r="DI43" i="4448"/>
  <c r="DV44" i="4448"/>
  <c r="DF44" i="4448"/>
  <c r="DM43" i="4448"/>
  <c r="DC43" i="4448"/>
  <c r="DY43" i="4448"/>
  <c r="DP43" i="4448"/>
  <c r="CZ44" i="4448"/>
  <c r="DR43" i="4448"/>
  <c r="EJ43" i="4448"/>
  <c r="EG43" i="4448"/>
  <c r="EK44" i="4448"/>
  <c r="DU43" i="4448"/>
  <c r="EE44" i="4448"/>
  <c r="EC43" i="4448"/>
  <c r="DZ43" i="4448"/>
  <c r="CY44" i="4448"/>
  <c r="DS43" i="4448"/>
  <c r="EA44" i="4448"/>
  <c r="DG44" i="4448"/>
  <c r="DW44" i="4448"/>
  <c r="DL45" i="4448"/>
  <c r="EF44" i="4448"/>
  <c r="DH44" i="4448"/>
  <c r="EH43" i="4448"/>
  <c r="DJ44" i="4448"/>
  <c r="DA43" i="4448"/>
  <c r="EB44" i="4448"/>
  <c r="AW45" i="4448"/>
  <c r="G49" i="4452"/>
  <c r="DB43" i="4448"/>
  <c r="EP53" i="4448" l="1"/>
  <c r="EO52" i="4448"/>
  <c r="EN51" i="4448"/>
  <c r="EM51" i="4448"/>
  <c r="C55" i="4452"/>
  <c r="N54" i="4452"/>
  <c r="DY44" i="4448"/>
  <c r="DE44" i="4448"/>
  <c r="DL46" i="4448"/>
  <c r="DC44" i="4448"/>
  <c r="DT44" i="4448"/>
  <c r="DO44" i="4448"/>
  <c r="DN44" i="4448"/>
  <c r="EK45" i="4448"/>
  <c r="DW45" i="4448"/>
  <c r="DI44" i="4448"/>
  <c r="EL48" i="4448"/>
  <c r="EJ44" i="4448"/>
  <c r="DM44" i="4448"/>
  <c r="DD44" i="4448"/>
  <c r="ED44" i="4448"/>
  <c r="CY45" i="4448"/>
  <c r="EC44" i="4448"/>
  <c r="EE45" i="4448"/>
  <c r="DP44" i="4448"/>
  <c r="EG44" i="4448"/>
  <c r="EA45" i="4448"/>
  <c r="DR44" i="4448"/>
  <c r="DF45" i="4448"/>
  <c r="DK45" i="4448"/>
  <c r="CX46" i="4448"/>
  <c r="EF45" i="4448"/>
  <c r="DZ44" i="4448"/>
  <c r="DA44" i="4448"/>
  <c r="DJ45" i="4448"/>
  <c r="DU44" i="4448"/>
  <c r="DG45" i="4448"/>
  <c r="EH44" i="4448"/>
  <c r="DH45" i="4448"/>
  <c r="DS44" i="4448"/>
  <c r="CZ45" i="4448"/>
  <c r="DV45" i="4448"/>
  <c r="DX45" i="4448"/>
  <c r="EI44" i="4448"/>
  <c r="EB45" i="4448"/>
  <c r="AW46" i="4448"/>
  <c r="G50" i="4452"/>
  <c r="DB44" i="4448"/>
  <c r="EP54" i="4448" l="1"/>
  <c r="EO53" i="4448"/>
  <c r="EN52" i="4448"/>
  <c r="EM52" i="4448"/>
  <c r="C56" i="4452"/>
  <c r="N55" i="4452"/>
  <c r="DT45" i="4448"/>
  <c r="EC45" i="4448"/>
  <c r="DH46" i="4448"/>
  <c r="CY46" i="4448"/>
  <c r="DI45" i="4448"/>
  <c r="DC45" i="4448"/>
  <c r="DA45" i="4448"/>
  <c r="EI45" i="4448"/>
  <c r="DW46" i="4448"/>
  <c r="EA46" i="4448"/>
  <c r="EG45" i="4448"/>
  <c r="DF46" i="4448"/>
  <c r="DZ45" i="4448"/>
  <c r="EH45" i="4448"/>
  <c r="DG46" i="4448"/>
  <c r="DD45" i="4448"/>
  <c r="EK46" i="4448"/>
  <c r="DL47" i="4448"/>
  <c r="DR45" i="4448"/>
  <c r="CX47" i="4448"/>
  <c r="DP45" i="4448"/>
  <c r="DJ46" i="4448"/>
  <c r="DS45" i="4448"/>
  <c r="EF46" i="4448"/>
  <c r="DU45" i="4448"/>
  <c r="DM45" i="4448"/>
  <c r="DN45" i="4448"/>
  <c r="DE45" i="4448"/>
  <c r="EL49" i="4448"/>
  <c r="ED45" i="4448"/>
  <c r="DX46" i="4448"/>
  <c r="DV46" i="4448"/>
  <c r="DK46" i="4448"/>
  <c r="EE46" i="4448"/>
  <c r="CZ46" i="4448"/>
  <c r="EJ45" i="4448"/>
  <c r="DO45" i="4448"/>
  <c r="DY45" i="4448"/>
  <c r="DB45" i="4448"/>
  <c r="AW47" i="4448"/>
  <c r="G51" i="4452"/>
  <c r="EB46" i="4448"/>
  <c r="EP55" i="4448" l="1"/>
  <c r="EO54" i="4448"/>
  <c r="EN53" i="4448"/>
  <c r="EM53" i="4448"/>
  <c r="C57" i="4452"/>
  <c r="N56" i="4452"/>
  <c r="EK47" i="4448"/>
  <c r="DF47" i="4448"/>
  <c r="DC46" i="4448"/>
  <c r="DI46" i="4448"/>
  <c r="EE47" i="4448"/>
  <c r="DS46" i="4448"/>
  <c r="DJ47" i="4448"/>
  <c r="DG47" i="4448"/>
  <c r="EA47" i="4448"/>
  <c r="CY47" i="4448"/>
  <c r="DE46" i="4448"/>
  <c r="DV47" i="4448"/>
  <c r="CX48" i="4448"/>
  <c r="DW47" i="4448"/>
  <c r="DH47" i="4448"/>
  <c r="DK47" i="4448"/>
  <c r="DY46" i="4448"/>
  <c r="DO46" i="4448"/>
  <c r="DP46" i="4448"/>
  <c r="DU46" i="4448"/>
  <c r="DR46" i="4448"/>
  <c r="EH46" i="4448"/>
  <c r="EI46" i="4448"/>
  <c r="ED46" i="4448"/>
  <c r="EC46" i="4448"/>
  <c r="DD46" i="4448"/>
  <c r="DN46" i="4448"/>
  <c r="DM46" i="4448"/>
  <c r="EF47" i="4448"/>
  <c r="DL48" i="4448"/>
  <c r="DZ46" i="4448"/>
  <c r="DA46" i="4448"/>
  <c r="EL50" i="4448"/>
  <c r="EG46" i="4448"/>
  <c r="DX47" i="4448"/>
  <c r="EJ46" i="4448"/>
  <c r="CZ47" i="4448"/>
  <c r="DT46" i="4448"/>
  <c r="EB47" i="4448"/>
  <c r="AW48" i="4448"/>
  <c r="G52" i="4452"/>
  <c r="DB46" i="4448"/>
  <c r="EP56" i="4448" l="1"/>
  <c r="EO55" i="4448"/>
  <c r="EN54" i="4448"/>
  <c r="EM54" i="4448"/>
  <c r="C58" i="4452"/>
  <c r="N57" i="4452"/>
  <c r="DM47" i="4448"/>
  <c r="DK48" i="4448"/>
  <c r="DY47" i="4448"/>
  <c r="DA47" i="4448"/>
  <c r="CY48" i="4448"/>
  <c r="DI47" i="4448"/>
  <c r="EL51" i="4448"/>
  <c r="EI47" i="4448"/>
  <c r="DE47" i="4448"/>
  <c r="DD47" i="4448"/>
  <c r="DZ47" i="4448"/>
  <c r="DU47" i="4448"/>
  <c r="DW48" i="4448"/>
  <c r="EA48" i="4448"/>
  <c r="DC47" i="4448"/>
  <c r="DS47" i="4448"/>
  <c r="EH47" i="4448"/>
  <c r="DR47" i="4448"/>
  <c r="EC47" i="4448"/>
  <c r="DH48" i="4448"/>
  <c r="CZ48" i="4448"/>
  <c r="DF48" i="4448"/>
  <c r="DN47" i="4448"/>
  <c r="DT47" i="4448"/>
  <c r="EJ47" i="4448"/>
  <c r="DL49" i="4448"/>
  <c r="DP47" i="4448"/>
  <c r="CX49" i="4448"/>
  <c r="ED47" i="4448"/>
  <c r="EG47" i="4448"/>
  <c r="EE48" i="4448"/>
  <c r="DG48" i="4448"/>
  <c r="DX48" i="4448"/>
  <c r="EF48" i="4448"/>
  <c r="DO47" i="4448"/>
  <c r="DV48" i="4448"/>
  <c r="DJ48" i="4448"/>
  <c r="EK48" i="4448"/>
  <c r="DB47" i="4448"/>
  <c r="EB48" i="4448"/>
  <c r="AW49" i="4448"/>
  <c r="G53" i="4452"/>
  <c r="EP57" i="4448" l="1"/>
  <c r="EO56" i="4448"/>
  <c r="EN55" i="4448"/>
  <c r="EM55" i="4448"/>
  <c r="C59" i="4452"/>
  <c r="N58" i="4452"/>
  <c r="DR48" i="4448"/>
  <c r="EH48" i="4448"/>
  <c r="DF49" i="4448"/>
  <c r="ED48" i="4448"/>
  <c r="DG49" i="4448"/>
  <c r="DA48" i="4448"/>
  <c r="DZ48" i="4448"/>
  <c r="EK49" i="4448"/>
  <c r="CZ49" i="4448"/>
  <c r="EF49" i="4448"/>
  <c r="CY49" i="4448"/>
  <c r="DD48" i="4448"/>
  <c r="DJ49" i="4448"/>
  <c r="DE48" i="4448"/>
  <c r="DY48" i="4448"/>
  <c r="DU48" i="4448"/>
  <c r="DL50" i="4448"/>
  <c r="DC48" i="4448"/>
  <c r="DH49" i="4448"/>
  <c r="DN48" i="4448"/>
  <c r="CX50" i="4448"/>
  <c r="EE49" i="4448"/>
  <c r="EJ48" i="4448"/>
  <c r="EI48" i="4448"/>
  <c r="DI48" i="4448"/>
  <c r="DX49" i="4448"/>
  <c r="DP48" i="4448"/>
  <c r="DS48" i="4448"/>
  <c r="DV49" i="4448"/>
  <c r="EA49" i="4448"/>
  <c r="DK49" i="4448"/>
  <c r="DO48" i="4448"/>
  <c r="EG48" i="4448"/>
  <c r="DT48" i="4448"/>
  <c r="EC48" i="4448"/>
  <c r="DW49" i="4448"/>
  <c r="EL52" i="4448"/>
  <c r="DM48" i="4448"/>
  <c r="AW50" i="4448"/>
  <c r="G54" i="4452"/>
  <c r="EB49" i="4448"/>
  <c r="DB48" i="4448"/>
  <c r="EP58" i="4448" l="1"/>
  <c r="EO57" i="4448"/>
  <c r="EN56" i="4448"/>
  <c r="EM56" i="4448"/>
  <c r="C60" i="4452"/>
  <c r="N59" i="4452"/>
  <c r="EJ49" i="4448"/>
  <c r="EE50" i="4448"/>
  <c r="DG50" i="4448"/>
  <c r="DL51" i="4448"/>
  <c r="DP49" i="4448"/>
  <c r="DA49" i="4448"/>
  <c r="DY49" i="4448"/>
  <c r="ED49" i="4448"/>
  <c r="CY50" i="4448"/>
  <c r="DU49" i="4448"/>
  <c r="DX50" i="4448"/>
  <c r="DV50" i="4448"/>
  <c r="EG49" i="4448"/>
  <c r="DM49" i="4448"/>
  <c r="EL53" i="4448"/>
  <c r="DN49" i="4448"/>
  <c r="DE49" i="4448"/>
  <c r="EK50" i="4448"/>
  <c r="DF50" i="4448"/>
  <c r="DS49" i="4448"/>
  <c r="DK50" i="4448"/>
  <c r="DI49" i="4448"/>
  <c r="DO49" i="4448"/>
  <c r="DZ49" i="4448"/>
  <c r="EH49" i="4448"/>
  <c r="EC49" i="4448"/>
  <c r="EF50" i="4448"/>
  <c r="CX51" i="4448"/>
  <c r="DH50" i="4448"/>
  <c r="DT49" i="4448"/>
  <c r="CZ50" i="4448"/>
  <c r="DW50" i="4448"/>
  <c r="DJ50" i="4448"/>
  <c r="EA50" i="4448"/>
  <c r="EI49" i="4448"/>
  <c r="DC49" i="4448"/>
  <c r="DD49" i="4448"/>
  <c r="DR49" i="4448"/>
  <c r="EB50" i="4448"/>
  <c r="AW51" i="4448"/>
  <c r="G55" i="4452"/>
  <c r="DB49" i="4448"/>
  <c r="EP59" i="4448" l="1"/>
  <c r="EO58" i="4448"/>
  <c r="EN57" i="4448"/>
  <c r="EM57" i="4448"/>
  <c r="C61" i="4452"/>
  <c r="N60" i="4452"/>
  <c r="DO50" i="4448"/>
  <c r="DJ51" i="4448"/>
  <c r="DP50" i="4448"/>
  <c r="EL54" i="4448"/>
  <c r="DL52" i="4448"/>
  <c r="DK51" i="4448"/>
  <c r="DR50" i="4448"/>
  <c r="DS50" i="4448"/>
  <c r="CX52" i="4448"/>
  <c r="DI50" i="4448"/>
  <c r="DU50" i="4448"/>
  <c r="DD50" i="4448"/>
  <c r="CZ51" i="4448"/>
  <c r="DM50" i="4448"/>
  <c r="CY51" i="4448"/>
  <c r="DG51" i="4448"/>
  <c r="DA50" i="4448"/>
  <c r="EH50" i="4448"/>
  <c r="DX51" i="4448"/>
  <c r="EF51" i="4448"/>
  <c r="DW51" i="4448"/>
  <c r="EE51" i="4448"/>
  <c r="DE50" i="4448"/>
  <c r="EA51" i="4448"/>
  <c r="DN50" i="4448"/>
  <c r="EC50" i="4448"/>
  <c r="DF51" i="4448"/>
  <c r="DC50" i="4448"/>
  <c r="EK51" i="4448"/>
  <c r="DT50" i="4448"/>
  <c r="EG50" i="4448"/>
  <c r="ED50" i="4448"/>
  <c r="DZ50" i="4448"/>
  <c r="EI50" i="4448"/>
  <c r="DH51" i="4448"/>
  <c r="DV51" i="4448"/>
  <c r="DY50" i="4448"/>
  <c r="EJ50" i="4448"/>
  <c r="EB51" i="4448"/>
  <c r="DB50" i="4448"/>
  <c r="AW52" i="4448"/>
  <c r="G56" i="4452"/>
  <c r="EP60" i="4448" l="1"/>
  <c r="EO59" i="4448"/>
  <c r="EN58" i="4448"/>
  <c r="EM58" i="4448"/>
  <c r="C62" i="4452"/>
  <c r="N61" i="4452"/>
  <c r="EI51" i="4448"/>
  <c r="EK52" i="4448"/>
  <c r="DE51" i="4448"/>
  <c r="DA51" i="4448"/>
  <c r="DU51" i="4448"/>
  <c r="DL53" i="4448"/>
  <c r="DC51" i="4448"/>
  <c r="EA52" i="4448"/>
  <c r="DZ51" i="4448"/>
  <c r="EE52" i="4448"/>
  <c r="DG52" i="4448"/>
  <c r="DI51" i="4448"/>
  <c r="EL55" i="4448"/>
  <c r="DW52" i="4448"/>
  <c r="CY52" i="4448"/>
  <c r="CX53" i="4448"/>
  <c r="DP51" i="4448"/>
  <c r="DK52" i="4448"/>
  <c r="DD51" i="4448"/>
  <c r="DY51" i="4448"/>
  <c r="DV52" i="4448"/>
  <c r="EG51" i="4448"/>
  <c r="EC51" i="4448"/>
  <c r="EF52" i="4448"/>
  <c r="DM51" i="4448"/>
  <c r="DS51" i="4448"/>
  <c r="DJ52" i="4448"/>
  <c r="EJ51" i="4448"/>
  <c r="EH51" i="4448"/>
  <c r="DF52" i="4448"/>
  <c r="ED51" i="4448"/>
  <c r="DH52" i="4448"/>
  <c r="DT51" i="4448"/>
  <c r="DN51" i="4448"/>
  <c r="DX52" i="4448"/>
  <c r="CZ52" i="4448"/>
  <c r="DR51" i="4448"/>
  <c r="DO51" i="4448"/>
  <c r="AW53" i="4448"/>
  <c r="G57" i="4452"/>
  <c r="DB51" i="4448"/>
  <c r="EB52" i="4448"/>
  <c r="EP61" i="4448" l="1"/>
  <c r="EO60" i="4448"/>
  <c r="EN59" i="4448"/>
  <c r="EM59" i="4448"/>
  <c r="C63" i="4452"/>
  <c r="N62" i="4452"/>
  <c r="DP52" i="4448"/>
  <c r="DJ53" i="4448"/>
  <c r="DG53" i="4448"/>
  <c r="DU52" i="4448"/>
  <c r="EC52" i="4448"/>
  <c r="DV53" i="4448"/>
  <c r="CY53" i="4448"/>
  <c r="DI52" i="4448"/>
  <c r="DT52" i="4448"/>
  <c r="DO52" i="4448"/>
  <c r="DS52" i="4448"/>
  <c r="EE53" i="4448"/>
  <c r="DA52" i="4448"/>
  <c r="DL54" i="4448"/>
  <c r="DY52" i="4448"/>
  <c r="DW53" i="4448"/>
  <c r="EG52" i="4448"/>
  <c r="DM52" i="4448"/>
  <c r="DZ52" i="4448"/>
  <c r="DE52" i="4448"/>
  <c r="EJ52" i="4448"/>
  <c r="DD52" i="4448"/>
  <c r="CX54" i="4448"/>
  <c r="DR52" i="4448"/>
  <c r="EF53" i="4448"/>
  <c r="EA53" i="4448"/>
  <c r="EK53" i="4448"/>
  <c r="DH53" i="4448"/>
  <c r="ED52" i="4448"/>
  <c r="CZ53" i="4448"/>
  <c r="DF53" i="4448"/>
  <c r="DK53" i="4448"/>
  <c r="DN52" i="4448"/>
  <c r="DX53" i="4448"/>
  <c r="EH52" i="4448"/>
  <c r="EL56" i="4448"/>
  <c r="DC52" i="4448"/>
  <c r="EI52" i="4448"/>
  <c r="EB53" i="4448"/>
  <c r="AW54" i="4448"/>
  <c r="G58" i="4452"/>
  <c r="DB52" i="4448"/>
  <c r="EP62" i="4448" l="1"/>
  <c r="EO61" i="4448"/>
  <c r="EN60" i="4448"/>
  <c r="EM60" i="4448"/>
  <c r="C64" i="4452"/>
  <c r="N63" i="4452"/>
  <c r="EE54" i="4448"/>
  <c r="DV54" i="4448"/>
  <c r="DS53" i="4448"/>
  <c r="DM53" i="4448"/>
  <c r="CX55" i="4448"/>
  <c r="DN53" i="4448"/>
  <c r="DW54" i="4448"/>
  <c r="DO53" i="4448"/>
  <c r="EG53" i="4448"/>
  <c r="DD53" i="4448"/>
  <c r="EJ53" i="4448"/>
  <c r="DU53" i="4448"/>
  <c r="EK54" i="4448"/>
  <c r="DY53" i="4448"/>
  <c r="DT53" i="4448"/>
  <c r="DP53" i="4448"/>
  <c r="DX54" i="4448"/>
  <c r="EA54" i="4448"/>
  <c r="DC53" i="4448"/>
  <c r="DF54" i="4448"/>
  <c r="EF54" i="4448"/>
  <c r="DE53" i="4448"/>
  <c r="DG54" i="4448"/>
  <c r="ED53" i="4448"/>
  <c r="EI53" i="4448"/>
  <c r="DL55" i="4448"/>
  <c r="DI53" i="4448"/>
  <c r="EH53" i="4448"/>
  <c r="DH54" i="4448"/>
  <c r="EC53" i="4448"/>
  <c r="DK54" i="4448"/>
  <c r="EL57" i="4448"/>
  <c r="CZ54" i="4448"/>
  <c r="DZ53" i="4448"/>
  <c r="DJ54" i="4448"/>
  <c r="DR53" i="4448"/>
  <c r="DA53" i="4448"/>
  <c r="CY54" i="4448"/>
  <c r="EB54" i="4448"/>
  <c r="DB53" i="4448"/>
  <c r="AW55" i="4448"/>
  <c r="G59" i="4452"/>
  <c r="EP63" i="4448" l="1"/>
  <c r="EO62" i="4448"/>
  <c r="EN61" i="4448"/>
  <c r="EM61" i="4448"/>
  <c r="C65" i="4452"/>
  <c r="N64" i="4452"/>
  <c r="DX55" i="4448"/>
  <c r="DU54" i="4448"/>
  <c r="DN54" i="4448"/>
  <c r="ED54" i="4448"/>
  <c r="EA55" i="4448"/>
  <c r="DE54" i="4448"/>
  <c r="DH55" i="4448"/>
  <c r="CX56" i="4448"/>
  <c r="DI54" i="4448"/>
  <c r="EF55" i="4448"/>
  <c r="DT54" i="4448"/>
  <c r="DD54" i="4448"/>
  <c r="DM54" i="4448"/>
  <c r="EE55" i="4448"/>
  <c r="EC54" i="4448"/>
  <c r="DG55" i="4448"/>
  <c r="DP54" i="4448"/>
  <c r="EL58" i="4448"/>
  <c r="DA54" i="4448"/>
  <c r="DL56" i="4448"/>
  <c r="DF55" i="4448"/>
  <c r="DY54" i="4448"/>
  <c r="EG54" i="4448"/>
  <c r="DS54" i="4448"/>
  <c r="DW55" i="4448"/>
  <c r="EJ54" i="4448"/>
  <c r="DJ55" i="4448"/>
  <c r="DZ54" i="4448"/>
  <c r="CZ55" i="4448"/>
  <c r="CY55" i="4448"/>
  <c r="DK55" i="4448"/>
  <c r="EI54" i="4448"/>
  <c r="DC54" i="4448"/>
  <c r="DO54" i="4448"/>
  <c r="DV55" i="4448"/>
  <c r="EK55" i="4448"/>
  <c r="EH54" i="4448"/>
  <c r="DR54" i="4448"/>
  <c r="DB54" i="4448"/>
  <c r="EB55" i="4448"/>
  <c r="AW56" i="4448"/>
  <c r="G60" i="4452"/>
  <c r="EP64" i="4448" l="1"/>
  <c r="EO63" i="4448"/>
  <c r="EN62" i="4448"/>
  <c r="EM62" i="4448"/>
  <c r="C66" i="4452"/>
  <c r="N65" i="4452"/>
  <c r="DD55" i="4448"/>
  <c r="DE55" i="4448"/>
  <c r="DP55" i="4448"/>
  <c r="DT55" i="4448"/>
  <c r="EA56" i="4448"/>
  <c r="EK56" i="4448"/>
  <c r="EG55" i="4448"/>
  <c r="DG56" i="4448"/>
  <c r="DJ56" i="4448"/>
  <c r="DF56" i="4448"/>
  <c r="ED55" i="4448"/>
  <c r="DS55" i="4448"/>
  <c r="DZ55" i="4448"/>
  <c r="EC55" i="4448"/>
  <c r="DI55" i="4448"/>
  <c r="EH55" i="4448"/>
  <c r="EI55" i="4448"/>
  <c r="EJ55" i="4448"/>
  <c r="DL57" i="4448"/>
  <c r="DN55" i="4448"/>
  <c r="EL59" i="4448"/>
  <c r="DO55" i="4448"/>
  <c r="DR55" i="4448"/>
  <c r="EE56" i="4448"/>
  <c r="CX57" i="4448"/>
  <c r="CZ56" i="4448"/>
  <c r="DC55" i="4448"/>
  <c r="DK56" i="4448"/>
  <c r="DW56" i="4448"/>
  <c r="DA55" i="4448"/>
  <c r="DU55" i="4448"/>
  <c r="CY56" i="4448"/>
  <c r="DV56" i="4448"/>
  <c r="DY55" i="4448"/>
  <c r="EF56" i="4448"/>
  <c r="DM55" i="4448"/>
  <c r="DH56" i="4448"/>
  <c r="DX56" i="4448"/>
  <c r="AW57" i="4448"/>
  <c r="G61" i="4452"/>
  <c r="EB56" i="4448"/>
  <c r="DB55" i="4448"/>
  <c r="EP65" i="4448" l="1"/>
  <c r="EO64" i="4448"/>
  <c r="EN63" i="4448"/>
  <c r="EM63" i="4448"/>
  <c r="C67" i="4452"/>
  <c r="N66" i="4452"/>
  <c r="EK57" i="4448"/>
  <c r="EI56" i="4448"/>
  <c r="EH56" i="4448"/>
  <c r="DY56" i="4448"/>
  <c r="DC56" i="4448"/>
  <c r="EA57" i="4448"/>
  <c r="DS56" i="4448"/>
  <c r="DV57" i="4448"/>
  <c r="DO56" i="4448"/>
  <c r="CY57" i="4448"/>
  <c r="DF57" i="4448"/>
  <c r="DT56" i="4448"/>
  <c r="DI56" i="4448"/>
  <c r="EL60" i="4448"/>
  <c r="DJ57" i="4448"/>
  <c r="DP56" i="4448"/>
  <c r="ED56" i="4448"/>
  <c r="CZ57" i="4448"/>
  <c r="DL58" i="4448"/>
  <c r="DX57" i="4448"/>
  <c r="DU56" i="4448"/>
  <c r="DM56" i="4448"/>
  <c r="DA56" i="4448"/>
  <c r="EE57" i="4448"/>
  <c r="EC56" i="4448"/>
  <c r="DG57" i="4448"/>
  <c r="DE56" i="4448"/>
  <c r="CX58" i="4448"/>
  <c r="EJ56" i="4448"/>
  <c r="DK57" i="4448"/>
  <c r="DN56" i="4448"/>
  <c r="DH57" i="4448"/>
  <c r="EF57" i="4448"/>
  <c r="DW57" i="4448"/>
  <c r="DR56" i="4448"/>
  <c r="DZ56" i="4448"/>
  <c r="EG56" i="4448"/>
  <c r="DD56" i="4448"/>
  <c r="DB56" i="4448"/>
  <c r="AW58" i="4448"/>
  <c r="G62" i="4452"/>
  <c r="EB57" i="4448"/>
  <c r="EP66" i="4448" l="1"/>
  <c r="EO65" i="4448"/>
  <c r="EN64" i="4448"/>
  <c r="EM64" i="4448"/>
  <c r="C68" i="4452"/>
  <c r="N67" i="4452"/>
  <c r="DT57" i="4448"/>
  <c r="EJ57" i="4448"/>
  <c r="CX59" i="4448"/>
  <c r="EA58" i="4448"/>
  <c r="DF58" i="4448"/>
  <c r="DC57" i="4448"/>
  <c r="EE58" i="4448"/>
  <c r="DP57" i="4448"/>
  <c r="CY58" i="4448"/>
  <c r="DY57" i="4448"/>
  <c r="DW58" i="4448"/>
  <c r="DD57" i="4448"/>
  <c r="EG57" i="4448"/>
  <c r="DU57" i="4448"/>
  <c r="DJ58" i="4448"/>
  <c r="DO57" i="4448"/>
  <c r="EH57" i="4448"/>
  <c r="DE57" i="4448"/>
  <c r="DN57" i="4448"/>
  <c r="ED57" i="4448"/>
  <c r="DH58" i="4448"/>
  <c r="DZ57" i="4448"/>
  <c r="DX58" i="4448"/>
  <c r="EL61" i="4448"/>
  <c r="DV58" i="4448"/>
  <c r="EI57" i="4448"/>
  <c r="CZ58" i="4448"/>
  <c r="DA57" i="4448"/>
  <c r="DK58" i="4448"/>
  <c r="EF58" i="4448"/>
  <c r="DM57" i="4448"/>
  <c r="DG58" i="4448"/>
  <c r="DR57" i="4448"/>
  <c r="EC57" i="4448"/>
  <c r="DL59" i="4448"/>
  <c r="DI57" i="4448"/>
  <c r="DS57" i="4448"/>
  <c r="EK58" i="4448"/>
  <c r="EB58" i="4448"/>
  <c r="AW59" i="4448"/>
  <c r="G63" i="4452"/>
  <c r="DB57" i="4448"/>
  <c r="EP67" i="4448" l="1"/>
  <c r="EO66" i="4448"/>
  <c r="EN65" i="4448"/>
  <c r="EM65" i="4448"/>
  <c r="C69" i="4452"/>
  <c r="N68" i="4452"/>
  <c r="EL62" i="4448"/>
  <c r="DD58" i="4448"/>
  <c r="DF59" i="4448"/>
  <c r="EK59" i="4448"/>
  <c r="DY58" i="4448"/>
  <c r="EA59" i="4448"/>
  <c r="DE58" i="4448"/>
  <c r="EH58" i="4448"/>
  <c r="DO58" i="4448"/>
  <c r="CZ59" i="4448"/>
  <c r="DW59" i="4448"/>
  <c r="CY59" i="4448"/>
  <c r="CX60" i="4448"/>
  <c r="DK59" i="4448"/>
  <c r="DX59" i="4448"/>
  <c r="DZ58" i="4448"/>
  <c r="DH59" i="4448"/>
  <c r="DM58" i="4448"/>
  <c r="ED58" i="4448"/>
  <c r="DU58" i="4448"/>
  <c r="DC58" i="4448"/>
  <c r="DR58" i="4448"/>
  <c r="DJ59" i="4448"/>
  <c r="EI58" i="4448"/>
  <c r="DI58" i="4448"/>
  <c r="DP58" i="4448"/>
  <c r="EJ58" i="4448"/>
  <c r="DS58" i="4448"/>
  <c r="EF59" i="4448"/>
  <c r="DV59" i="4448"/>
  <c r="DN58" i="4448"/>
  <c r="EG58" i="4448"/>
  <c r="EC58" i="4448"/>
  <c r="DA58" i="4448"/>
  <c r="DG59" i="4448"/>
  <c r="DL60" i="4448"/>
  <c r="EE59" i="4448"/>
  <c r="DT58" i="4448"/>
  <c r="AW60" i="4448"/>
  <c r="G64" i="4452"/>
  <c r="EB59" i="4448"/>
  <c r="DB58" i="4448"/>
  <c r="EP68" i="4448" l="1"/>
  <c r="EO67" i="4448"/>
  <c r="EN66" i="4448"/>
  <c r="EM66" i="4448"/>
  <c r="C70" i="4452"/>
  <c r="N69" i="4452"/>
  <c r="EF60" i="4448"/>
  <c r="CY60" i="4448"/>
  <c r="EA60" i="4448"/>
  <c r="DY59" i="4448"/>
  <c r="DM59" i="4448"/>
  <c r="DZ59" i="4448"/>
  <c r="CZ60" i="4448"/>
  <c r="EK60" i="4448"/>
  <c r="DT59" i="4448"/>
  <c r="DA59" i="4448"/>
  <c r="DR59" i="4448"/>
  <c r="DX60" i="4448"/>
  <c r="DO59" i="4448"/>
  <c r="DF60" i="4448"/>
  <c r="DH60" i="4448"/>
  <c r="DC59" i="4448"/>
  <c r="DU59" i="4448"/>
  <c r="DK60" i="4448"/>
  <c r="EH59" i="4448"/>
  <c r="DJ60" i="4448"/>
  <c r="DS59" i="4448"/>
  <c r="DL61" i="4448"/>
  <c r="DD59" i="4448"/>
  <c r="EJ59" i="4448"/>
  <c r="DP59" i="4448"/>
  <c r="DV60" i="4448"/>
  <c r="DI59" i="4448"/>
  <c r="ED59" i="4448"/>
  <c r="CX61" i="4448"/>
  <c r="DE59" i="4448"/>
  <c r="EI59" i="4448"/>
  <c r="DW60" i="4448"/>
  <c r="EC59" i="4448"/>
  <c r="EG59" i="4448"/>
  <c r="EE60" i="4448"/>
  <c r="DN59" i="4448"/>
  <c r="DG60" i="4448"/>
  <c r="EL63" i="4448"/>
  <c r="AW61" i="4448"/>
  <c r="G65" i="4452"/>
  <c r="DB59" i="4448"/>
  <c r="EB60" i="4448"/>
  <c r="EP69" i="4448" l="1"/>
  <c r="EO68" i="4448"/>
  <c r="EN67" i="4448"/>
  <c r="EM67" i="4448"/>
  <c r="C71" i="4452"/>
  <c r="N70" i="4452"/>
  <c r="CX62" i="4448"/>
  <c r="DD60" i="4448"/>
  <c r="DZ60" i="4448"/>
  <c r="DL62" i="4448"/>
  <c r="EG60" i="4448"/>
  <c r="DX61" i="4448"/>
  <c r="DM60" i="4448"/>
  <c r="DU60" i="4448"/>
  <c r="DA60" i="4448"/>
  <c r="DY60" i="4448"/>
  <c r="DV61" i="4448"/>
  <c r="DS60" i="4448"/>
  <c r="DJ61" i="4448"/>
  <c r="DF61" i="4448"/>
  <c r="DT60" i="4448"/>
  <c r="EA61" i="4448"/>
  <c r="DC60" i="4448"/>
  <c r="EC60" i="4448"/>
  <c r="EL64" i="4448"/>
  <c r="DP60" i="4448"/>
  <c r="DR60" i="4448"/>
  <c r="DH61" i="4448"/>
  <c r="DN60" i="4448"/>
  <c r="EH60" i="4448"/>
  <c r="EK61" i="4448"/>
  <c r="CY61" i="4448"/>
  <c r="ED60" i="4448"/>
  <c r="DW61" i="4448"/>
  <c r="DG61" i="4448"/>
  <c r="DE60" i="4448"/>
  <c r="EJ60" i="4448"/>
  <c r="DI60" i="4448"/>
  <c r="EI60" i="4448"/>
  <c r="EE61" i="4448"/>
  <c r="DK61" i="4448"/>
  <c r="DO60" i="4448"/>
  <c r="CZ61" i="4448"/>
  <c r="EF61" i="4448"/>
  <c r="DB60" i="4448"/>
  <c r="EB61" i="4448"/>
  <c r="AW62" i="4448"/>
  <c r="G66" i="4452"/>
  <c r="EP70" i="4448" l="1"/>
  <c r="EO69" i="4448"/>
  <c r="EN68" i="4448"/>
  <c r="EM68" i="4448"/>
  <c r="C72" i="4452"/>
  <c r="N71" i="4452"/>
  <c r="DN61" i="4448"/>
  <c r="EE62" i="4448"/>
  <c r="DX62" i="4448"/>
  <c r="DH62" i="4448"/>
  <c r="DC61" i="4448"/>
  <c r="DV62" i="4448"/>
  <c r="EG61" i="4448"/>
  <c r="DW62" i="4448"/>
  <c r="DY61" i="4448"/>
  <c r="DL63" i="4448"/>
  <c r="DI61" i="4448"/>
  <c r="EJ61" i="4448"/>
  <c r="DT61" i="4448"/>
  <c r="DA61" i="4448"/>
  <c r="DZ61" i="4448"/>
  <c r="CY62" i="4448"/>
  <c r="EK62" i="4448"/>
  <c r="EL65" i="4448"/>
  <c r="DR61" i="4448"/>
  <c r="DP61" i="4448"/>
  <c r="CZ62" i="4448"/>
  <c r="DE61" i="4448"/>
  <c r="DF62" i="4448"/>
  <c r="DU61" i="4448"/>
  <c r="DD61" i="4448"/>
  <c r="DS61" i="4448"/>
  <c r="EI61" i="4448"/>
  <c r="DO61" i="4448"/>
  <c r="EH61" i="4448"/>
  <c r="ED61" i="4448"/>
  <c r="EF62" i="4448"/>
  <c r="EA62" i="4448"/>
  <c r="DK62" i="4448"/>
  <c r="DG62" i="4448"/>
  <c r="EC61" i="4448"/>
  <c r="DJ62" i="4448"/>
  <c r="DM61" i="4448"/>
  <c r="CX63" i="4448"/>
  <c r="DB61" i="4448"/>
  <c r="EB62" i="4448"/>
  <c r="AW63" i="4448"/>
  <c r="G67" i="4452"/>
  <c r="EP71" i="4448" l="1"/>
  <c r="EO70" i="4448"/>
  <c r="EN69" i="4448"/>
  <c r="EM69" i="4448"/>
  <c r="C73" i="4452"/>
  <c r="N72" i="4452"/>
  <c r="EL66" i="4448"/>
  <c r="EH62" i="4448"/>
  <c r="EJ62" i="4448"/>
  <c r="EK63" i="4448"/>
  <c r="DC62" i="4448"/>
  <c r="DG63" i="4448"/>
  <c r="DL64" i="4448"/>
  <c r="DH63" i="4448"/>
  <c r="DF63" i="4448"/>
  <c r="CX64" i="4448"/>
  <c r="EC62" i="4448"/>
  <c r="DZ62" i="4448"/>
  <c r="DY62" i="4448"/>
  <c r="DX63" i="4448"/>
  <c r="DU62" i="4448"/>
  <c r="DI62" i="4448"/>
  <c r="DE62" i="4448"/>
  <c r="EF63" i="4448"/>
  <c r="DK63" i="4448"/>
  <c r="DS62" i="4448"/>
  <c r="DP62" i="4448"/>
  <c r="DA62" i="4448"/>
  <c r="DW63" i="4448"/>
  <c r="EE63" i="4448"/>
  <c r="DO62" i="4448"/>
  <c r="EI62" i="4448"/>
  <c r="ED62" i="4448"/>
  <c r="DV63" i="4448"/>
  <c r="CY63" i="4448"/>
  <c r="EA63" i="4448"/>
  <c r="DM62" i="4448"/>
  <c r="CZ63" i="4448"/>
  <c r="DJ63" i="4448"/>
  <c r="DD62" i="4448"/>
  <c r="DR62" i="4448"/>
  <c r="DT62" i="4448"/>
  <c r="EG62" i="4448"/>
  <c r="DN62" i="4448"/>
  <c r="EB63" i="4448"/>
  <c r="AW64" i="4448"/>
  <c r="G68" i="4452"/>
  <c r="DB62" i="4448"/>
  <c r="EP72" i="4448" l="1"/>
  <c r="EO71" i="4448"/>
  <c r="EN70" i="4448"/>
  <c r="EM70" i="4448"/>
  <c r="C74" i="4452"/>
  <c r="N73" i="4452"/>
  <c r="DG64" i="4448"/>
  <c r="DV64" i="4448"/>
  <c r="DC63" i="4448"/>
  <c r="EC63" i="4448"/>
  <c r="DD63" i="4448"/>
  <c r="DP63" i="4448"/>
  <c r="EI63" i="4448"/>
  <c r="EK64" i="4448"/>
  <c r="CX65" i="4448"/>
  <c r="DF64" i="4448"/>
  <c r="DS63" i="4448"/>
  <c r="EG63" i="4448"/>
  <c r="DO63" i="4448"/>
  <c r="DK64" i="4448"/>
  <c r="DX64" i="4448"/>
  <c r="EJ63" i="4448"/>
  <c r="DE63" i="4448"/>
  <c r="DA63" i="4448"/>
  <c r="DI63" i="4448"/>
  <c r="DU63" i="4448"/>
  <c r="DT63" i="4448"/>
  <c r="EE64" i="4448"/>
  <c r="DY63" i="4448"/>
  <c r="DH64" i="4448"/>
  <c r="EH63" i="4448"/>
  <c r="DJ64" i="4448"/>
  <c r="DN63" i="4448"/>
  <c r="DM63" i="4448"/>
  <c r="ED63" i="4448"/>
  <c r="CZ64" i="4448"/>
  <c r="EA64" i="4448"/>
  <c r="DR63" i="4448"/>
  <c r="CY64" i="4448"/>
  <c r="DW64" i="4448"/>
  <c r="EF64" i="4448"/>
  <c r="DZ63" i="4448"/>
  <c r="DL65" i="4448"/>
  <c r="EL67" i="4448"/>
  <c r="DB63" i="4448"/>
  <c r="AW65" i="4448"/>
  <c r="G69" i="4452"/>
  <c r="EB64" i="4448"/>
  <c r="EP73" i="4448" l="1"/>
  <c r="EO72" i="4448"/>
  <c r="EN71" i="4448"/>
  <c r="EM71" i="4448"/>
  <c r="C75" i="4452"/>
  <c r="N74" i="4452"/>
  <c r="DY64" i="4448"/>
  <c r="DP64" i="4448"/>
  <c r="DD64" i="4448"/>
  <c r="DM64" i="4448"/>
  <c r="CY65" i="4448"/>
  <c r="EE65" i="4448"/>
  <c r="DN64" i="4448"/>
  <c r="DF65" i="4448"/>
  <c r="EC64" i="4448"/>
  <c r="EG64" i="4448"/>
  <c r="EJ64" i="4448"/>
  <c r="DU64" i="4448"/>
  <c r="CX66" i="4448"/>
  <c r="EA65" i="4448"/>
  <c r="DC64" i="4448"/>
  <c r="DR64" i="4448"/>
  <c r="EH64" i="4448"/>
  <c r="DI64" i="4448"/>
  <c r="DK65" i="4448"/>
  <c r="EK65" i="4448"/>
  <c r="DE64" i="4448"/>
  <c r="DT64" i="4448"/>
  <c r="DX65" i="4448"/>
  <c r="DZ64" i="4448"/>
  <c r="CZ65" i="4448"/>
  <c r="DV65" i="4448"/>
  <c r="DS64" i="4448"/>
  <c r="EL68" i="4448"/>
  <c r="DH65" i="4448"/>
  <c r="DA64" i="4448"/>
  <c r="DO64" i="4448"/>
  <c r="EI64" i="4448"/>
  <c r="DW65" i="4448"/>
  <c r="DJ65" i="4448"/>
  <c r="DL66" i="4448"/>
  <c r="EF65" i="4448"/>
  <c r="ED64" i="4448"/>
  <c r="DG65" i="4448"/>
  <c r="EB65" i="4448"/>
  <c r="DB64" i="4448"/>
  <c r="AW66" i="4448"/>
  <c r="G70" i="4452"/>
  <c r="EP74" i="4448" l="1"/>
  <c r="EO73" i="4448"/>
  <c r="EN72" i="4448"/>
  <c r="EM72" i="4448"/>
  <c r="C76" i="4452"/>
  <c r="N75" i="4452"/>
  <c r="EG65" i="4448"/>
  <c r="DJ66" i="4448"/>
  <c r="CY66" i="4448"/>
  <c r="DR65" i="4448"/>
  <c r="DC65" i="4448"/>
  <c r="DM65" i="4448"/>
  <c r="DT65" i="4448"/>
  <c r="EC65" i="4448"/>
  <c r="DS65" i="4448"/>
  <c r="DV66" i="4448"/>
  <c r="DD65" i="4448"/>
  <c r="EL69" i="4448"/>
  <c r="DW66" i="4448"/>
  <c r="ED65" i="4448"/>
  <c r="DK66" i="4448"/>
  <c r="CX67" i="4448"/>
  <c r="DF66" i="4448"/>
  <c r="EA66" i="4448"/>
  <c r="DO65" i="4448"/>
  <c r="DA65" i="4448"/>
  <c r="DZ65" i="4448"/>
  <c r="DI65" i="4448"/>
  <c r="DU65" i="4448"/>
  <c r="DN65" i="4448"/>
  <c r="DP65" i="4448"/>
  <c r="DG66" i="4448"/>
  <c r="DE65" i="4448"/>
  <c r="EI65" i="4448"/>
  <c r="EK66" i="4448"/>
  <c r="CZ66" i="4448"/>
  <c r="EF66" i="4448"/>
  <c r="DL67" i="4448"/>
  <c r="DH66" i="4448"/>
  <c r="DX66" i="4448"/>
  <c r="EH65" i="4448"/>
  <c r="EJ65" i="4448"/>
  <c r="EE66" i="4448"/>
  <c r="DY65" i="4448"/>
  <c r="AW67" i="4448"/>
  <c r="G71" i="4452"/>
  <c r="DB65" i="4448"/>
  <c r="EB66" i="4448"/>
  <c r="EP75" i="4448" l="1"/>
  <c r="EO74" i="4448"/>
  <c r="EN73" i="4448"/>
  <c r="EM73" i="4448"/>
  <c r="C77" i="4452"/>
  <c r="N76" i="4452"/>
  <c r="EL70" i="4448"/>
  <c r="DM66" i="4448"/>
  <c r="DD66" i="4448"/>
  <c r="DF67" i="4448"/>
  <c r="DC66" i="4448"/>
  <c r="EK67" i="4448"/>
  <c r="DV67" i="4448"/>
  <c r="DK67" i="4448"/>
  <c r="DR66" i="4448"/>
  <c r="CX68" i="4448"/>
  <c r="DS66" i="4448"/>
  <c r="EI66" i="4448"/>
  <c r="DZ66" i="4448"/>
  <c r="EF67" i="4448"/>
  <c r="ED66" i="4448"/>
  <c r="CY67" i="4448"/>
  <c r="DA66" i="4448"/>
  <c r="DX67" i="4448"/>
  <c r="DE66" i="4448"/>
  <c r="EE67" i="4448"/>
  <c r="DO66" i="4448"/>
  <c r="EC66" i="4448"/>
  <c r="DJ67" i="4448"/>
  <c r="DU66" i="4448"/>
  <c r="DI66" i="4448"/>
  <c r="DL68" i="4448"/>
  <c r="DG67" i="4448"/>
  <c r="DP66" i="4448"/>
  <c r="DW67" i="4448"/>
  <c r="DH67" i="4448"/>
  <c r="DY66" i="4448"/>
  <c r="EJ66" i="4448"/>
  <c r="EH66" i="4448"/>
  <c r="CZ67" i="4448"/>
  <c r="DN66" i="4448"/>
  <c r="EA67" i="4448"/>
  <c r="DT66" i="4448"/>
  <c r="EG66" i="4448"/>
  <c r="EB67" i="4448"/>
  <c r="DB66" i="4448"/>
  <c r="AW68" i="4448"/>
  <c r="G72" i="4452"/>
  <c r="EP76" i="4448" l="1"/>
  <c r="EO75" i="4448"/>
  <c r="EN74" i="4448"/>
  <c r="EM74" i="4448"/>
  <c r="C78" i="4452"/>
  <c r="N77" i="4452"/>
  <c r="EI67" i="4448"/>
  <c r="EK68" i="4448"/>
  <c r="DA67" i="4448"/>
  <c r="DC67" i="4448"/>
  <c r="DW68" i="4448"/>
  <c r="EH67" i="4448"/>
  <c r="CY68" i="4448"/>
  <c r="CX69" i="4448"/>
  <c r="DF68" i="4448"/>
  <c r="CZ68" i="4448"/>
  <c r="DR67" i="4448"/>
  <c r="DP67" i="4448"/>
  <c r="DG68" i="4448"/>
  <c r="DT67" i="4448"/>
  <c r="DL69" i="4448"/>
  <c r="DD67" i="4448"/>
  <c r="DJ68" i="4448"/>
  <c r="EG67" i="4448"/>
  <c r="DO67" i="4448"/>
  <c r="EE68" i="4448"/>
  <c r="EF68" i="4448"/>
  <c r="DK68" i="4448"/>
  <c r="EJ67" i="4448"/>
  <c r="DY67" i="4448"/>
  <c r="DI67" i="4448"/>
  <c r="DM67" i="4448"/>
  <c r="DS67" i="4448"/>
  <c r="EC67" i="4448"/>
  <c r="ED67" i="4448"/>
  <c r="DE67" i="4448"/>
  <c r="DZ67" i="4448"/>
  <c r="DX68" i="4448"/>
  <c r="EA68" i="4448"/>
  <c r="DN67" i="4448"/>
  <c r="DH68" i="4448"/>
  <c r="DU67" i="4448"/>
  <c r="DV68" i="4448"/>
  <c r="EL71" i="4448"/>
  <c r="DB67" i="4448"/>
  <c r="AW69" i="4448"/>
  <c r="G73" i="4452"/>
  <c r="EB68" i="4448"/>
  <c r="EP77" i="4448" l="1"/>
  <c r="EO76" i="4448"/>
  <c r="EN75" i="4448"/>
  <c r="EM75" i="4448"/>
  <c r="C79" i="4452"/>
  <c r="N78" i="4452"/>
  <c r="EJ68" i="4448"/>
  <c r="EH68" i="4448"/>
  <c r="DW69" i="4448"/>
  <c r="DK69" i="4448"/>
  <c r="DC68" i="4448"/>
  <c r="DP68" i="4448"/>
  <c r="EA69" i="4448"/>
  <c r="EF69" i="4448"/>
  <c r="DL70" i="4448"/>
  <c r="DF69" i="4448"/>
  <c r="DA68" i="4448"/>
  <c r="EG68" i="4448"/>
  <c r="DJ69" i="4448"/>
  <c r="DD68" i="4448"/>
  <c r="DM68" i="4448"/>
  <c r="DV69" i="4448"/>
  <c r="DI68" i="4448"/>
  <c r="CZ69" i="4448"/>
  <c r="DZ68" i="4448"/>
  <c r="DE68" i="4448"/>
  <c r="EE69" i="4448"/>
  <c r="DT68" i="4448"/>
  <c r="CX70" i="4448"/>
  <c r="EK69" i="4448"/>
  <c r="DN68" i="4448"/>
  <c r="DR68" i="4448"/>
  <c r="EL72" i="4448"/>
  <c r="DY68" i="4448"/>
  <c r="EC68" i="4448"/>
  <c r="DS68" i="4448"/>
  <c r="DX69" i="4448"/>
  <c r="DU68" i="4448"/>
  <c r="DH69" i="4448"/>
  <c r="ED68" i="4448"/>
  <c r="DO68" i="4448"/>
  <c r="DG69" i="4448"/>
  <c r="CY69" i="4448"/>
  <c r="EI68" i="4448"/>
  <c r="DB68" i="4448"/>
  <c r="AW70" i="4448"/>
  <c r="G74" i="4452"/>
  <c r="EB69" i="4448"/>
  <c r="C95" i="4452"/>
  <c r="EP78" i="4448" l="1"/>
  <c r="EO77" i="4448"/>
  <c r="EN76" i="4448"/>
  <c r="EM76" i="4448"/>
  <c r="C80" i="4452"/>
  <c r="N79" i="4452"/>
  <c r="EC69" i="4448"/>
  <c r="EG69" i="4448"/>
  <c r="DP69" i="4448"/>
  <c r="DC69" i="4448"/>
  <c r="DA69" i="4448"/>
  <c r="DT69" i="4448"/>
  <c r="DK70" i="4448"/>
  <c r="EK70" i="4448"/>
  <c r="CX71" i="4448"/>
  <c r="DV70" i="4448"/>
  <c r="EL73" i="4448"/>
  <c r="DL71" i="4448"/>
  <c r="CZ70" i="4448"/>
  <c r="DY69" i="4448"/>
  <c r="DX70" i="4448"/>
  <c r="DW70" i="4448"/>
  <c r="DH70" i="4448"/>
  <c r="DR69" i="4448"/>
  <c r="DE69" i="4448"/>
  <c r="DD69" i="4448"/>
  <c r="EF70" i="4448"/>
  <c r="ED69" i="4448"/>
  <c r="DU69" i="4448"/>
  <c r="DM69" i="4448"/>
  <c r="DS69" i="4448"/>
  <c r="EH69" i="4448"/>
  <c r="DI69" i="4448"/>
  <c r="DF70" i="4448"/>
  <c r="EE70" i="4448"/>
  <c r="CY70" i="4448"/>
  <c r="DG70" i="4448"/>
  <c r="DN69" i="4448"/>
  <c r="DZ69" i="4448"/>
  <c r="DJ70" i="4448"/>
  <c r="EI69" i="4448"/>
  <c r="DO69" i="4448"/>
  <c r="EA70" i="4448"/>
  <c r="EJ69" i="4448"/>
  <c r="AW71" i="4448"/>
  <c r="G75" i="4452"/>
  <c r="EB70" i="4448"/>
  <c r="DB69" i="4448"/>
  <c r="C96" i="4452"/>
  <c r="EP79" i="4448" l="1"/>
  <c r="EO78" i="4448"/>
  <c r="EN77" i="4448"/>
  <c r="EM77" i="4448"/>
  <c r="C81" i="4452"/>
  <c r="N80" i="4452"/>
  <c r="EL74" i="4448"/>
  <c r="DA70" i="4448"/>
  <c r="DC70" i="4448"/>
  <c r="CX72" i="4448"/>
  <c r="EE71" i="4448"/>
  <c r="EJ70" i="4448"/>
  <c r="DW71" i="4448"/>
  <c r="EF71" i="4448"/>
  <c r="DD70" i="4448"/>
  <c r="EK71" i="4448"/>
  <c r="DP70" i="4448"/>
  <c r="DH71" i="4448"/>
  <c r="DF71" i="4448"/>
  <c r="DI70" i="4448"/>
  <c r="EA71" i="4448"/>
  <c r="DS70" i="4448"/>
  <c r="DE70" i="4448"/>
  <c r="CZ71" i="4448"/>
  <c r="DK71" i="4448"/>
  <c r="EG70" i="4448"/>
  <c r="DU70" i="4448"/>
  <c r="DV71" i="4448"/>
  <c r="DX71" i="4448"/>
  <c r="DY70" i="4448"/>
  <c r="DJ71" i="4448"/>
  <c r="DN70" i="4448"/>
  <c r="DG71" i="4448"/>
  <c r="CY71" i="4448"/>
  <c r="DM70" i="4448"/>
  <c r="DR70" i="4448"/>
  <c r="DL72" i="4448"/>
  <c r="DT70" i="4448"/>
  <c r="EI70" i="4448"/>
  <c r="ED70" i="4448"/>
  <c r="DZ70" i="4448"/>
  <c r="EH70" i="4448"/>
  <c r="DO70" i="4448"/>
  <c r="EC70" i="4448"/>
  <c r="DB70" i="4448"/>
  <c r="AW72" i="4448"/>
  <c r="G76" i="4452"/>
  <c r="EB71" i="4448"/>
  <c r="C97" i="4452"/>
  <c r="EP80" i="4448" l="1"/>
  <c r="EO79" i="4448"/>
  <c r="EN78" i="4448"/>
  <c r="EM78" i="4448"/>
  <c r="C82" i="4452"/>
  <c r="N81" i="4452"/>
  <c r="DR71" i="4448"/>
  <c r="EJ71" i="4448"/>
  <c r="CZ72" i="4448"/>
  <c r="DP71" i="4448"/>
  <c r="EE72" i="4448"/>
  <c r="DH72" i="4448"/>
  <c r="DS71" i="4448"/>
  <c r="EK72" i="4448"/>
  <c r="CX73" i="4448"/>
  <c r="EC71" i="4448"/>
  <c r="EA72" i="4448"/>
  <c r="DM71" i="4448"/>
  <c r="ED71" i="4448"/>
  <c r="DD71" i="4448"/>
  <c r="DC71" i="4448"/>
  <c r="DY71" i="4448"/>
  <c r="DX72" i="4448"/>
  <c r="DV72" i="4448"/>
  <c r="DG72" i="4448"/>
  <c r="DO71" i="4448"/>
  <c r="DN71" i="4448"/>
  <c r="EG71" i="4448"/>
  <c r="DZ71" i="4448"/>
  <c r="DI71" i="4448"/>
  <c r="EF72" i="4448"/>
  <c r="DA71" i="4448"/>
  <c r="EI71" i="4448"/>
  <c r="DT71" i="4448"/>
  <c r="EH71" i="4448"/>
  <c r="DL73" i="4448"/>
  <c r="DJ72" i="4448"/>
  <c r="DK72" i="4448"/>
  <c r="DE71" i="4448"/>
  <c r="CY72" i="4448"/>
  <c r="DU71" i="4448"/>
  <c r="DF72" i="4448"/>
  <c r="DW72" i="4448"/>
  <c r="EL75" i="4448"/>
  <c r="EB72" i="4448"/>
  <c r="AW73" i="4448"/>
  <c r="G77" i="4452"/>
  <c r="DB71" i="4448"/>
  <c r="C98" i="4452"/>
  <c r="EP81" i="4448" l="1"/>
  <c r="EO80" i="4448"/>
  <c r="EN79" i="4448"/>
  <c r="EM79" i="4448"/>
  <c r="C83" i="4452"/>
  <c r="N82" i="4452"/>
  <c r="DM72" i="4448"/>
  <c r="DH73" i="4448"/>
  <c r="DV73" i="4448"/>
  <c r="EE73" i="4448"/>
  <c r="DE72" i="4448"/>
  <c r="DT72" i="4448"/>
  <c r="DK73" i="4448"/>
  <c r="EC72" i="4448"/>
  <c r="DP72" i="4448"/>
  <c r="EA73" i="4448"/>
  <c r="EG72" i="4448"/>
  <c r="DC72" i="4448"/>
  <c r="EL76" i="4448"/>
  <c r="DJ73" i="4448"/>
  <c r="CX74" i="4448"/>
  <c r="CZ73" i="4448"/>
  <c r="DZ72" i="4448"/>
  <c r="DA72" i="4448"/>
  <c r="DO72" i="4448"/>
  <c r="DD72" i="4448"/>
  <c r="DN72" i="4448"/>
  <c r="DF73" i="4448"/>
  <c r="DL74" i="4448"/>
  <c r="DI72" i="4448"/>
  <c r="EK73" i="4448"/>
  <c r="EJ72" i="4448"/>
  <c r="CY73" i="4448"/>
  <c r="EI72" i="4448"/>
  <c r="EF73" i="4448"/>
  <c r="DG73" i="4448"/>
  <c r="ED72" i="4448"/>
  <c r="DX73" i="4448"/>
  <c r="DY72" i="4448"/>
  <c r="DW73" i="4448"/>
  <c r="DU72" i="4448"/>
  <c r="EH72" i="4448"/>
  <c r="DS72" i="4448"/>
  <c r="DR72" i="4448"/>
  <c r="DB72" i="4448"/>
  <c r="EB73" i="4448"/>
  <c r="AW74" i="4448"/>
  <c r="G78" i="4452"/>
  <c r="EP82" i="4448" l="1"/>
  <c r="EO81" i="4448"/>
  <c r="EN80" i="4448"/>
  <c r="N83" i="4452"/>
  <c r="C84" i="4452"/>
  <c r="EM80" i="4448"/>
  <c r="DT73" i="4448"/>
  <c r="DW74" i="4448"/>
  <c r="DE73" i="4448"/>
  <c r="EG73" i="4448"/>
  <c r="EA74" i="4448"/>
  <c r="DY73" i="4448"/>
  <c r="CX75" i="4448"/>
  <c r="DP73" i="4448"/>
  <c r="EE74" i="4448"/>
  <c r="DF74" i="4448"/>
  <c r="CY74" i="4448"/>
  <c r="DD73" i="4448"/>
  <c r="DJ74" i="4448"/>
  <c r="DV74" i="4448"/>
  <c r="DZ73" i="4448"/>
  <c r="CZ74" i="4448"/>
  <c r="DX74" i="4448"/>
  <c r="ED73" i="4448"/>
  <c r="EC73" i="4448"/>
  <c r="DL75" i="4448"/>
  <c r="EI73" i="4448"/>
  <c r="DR73" i="4448"/>
  <c r="DG74" i="4448"/>
  <c r="DO73" i="4448"/>
  <c r="EL77" i="4448"/>
  <c r="DH74" i="4448"/>
  <c r="DS73" i="4448"/>
  <c r="EH73" i="4448"/>
  <c r="DK74" i="4448"/>
  <c r="DN73" i="4448"/>
  <c r="EJ73" i="4448"/>
  <c r="EK74" i="4448"/>
  <c r="DU73" i="4448"/>
  <c r="EF74" i="4448"/>
  <c r="DI73" i="4448"/>
  <c r="DA73" i="4448"/>
  <c r="DC73" i="4448"/>
  <c r="DM73" i="4448"/>
  <c r="AW75" i="4448"/>
  <c r="G79" i="4452"/>
  <c r="EB74" i="4448"/>
  <c r="DB73" i="4448"/>
  <c r="EP83" i="4448" l="1"/>
  <c r="EO82" i="4448"/>
  <c r="EN81" i="4448"/>
  <c r="C85" i="4452"/>
  <c r="N84" i="4452"/>
  <c r="EM81" i="4448"/>
  <c r="DD74" i="4448"/>
  <c r="DY74" i="4448"/>
  <c r="DK75" i="4448"/>
  <c r="DR74" i="4448"/>
  <c r="EA75" i="4448"/>
  <c r="EF75" i="4448"/>
  <c r="CZ75" i="4448"/>
  <c r="DF75" i="4448"/>
  <c r="ED74" i="4448"/>
  <c r="DX75" i="4448"/>
  <c r="DM74" i="4448"/>
  <c r="EG74" i="4448"/>
  <c r="EE75" i="4448"/>
  <c r="DU74" i="4448"/>
  <c r="EI74" i="4448"/>
  <c r="DH75" i="4448"/>
  <c r="DL76" i="4448"/>
  <c r="DE74" i="4448"/>
  <c r="DG75" i="4448"/>
  <c r="EK75" i="4448"/>
  <c r="DV75" i="4448"/>
  <c r="DP74" i="4448"/>
  <c r="EH74" i="4448"/>
  <c r="DS74" i="4448"/>
  <c r="DC74" i="4448"/>
  <c r="DA74" i="4448"/>
  <c r="DN74" i="4448"/>
  <c r="EL78" i="4448"/>
  <c r="DW75" i="4448"/>
  <c r="CY75" i="4448"/>
  <c r="DZ74" i="4448"/>
  <c r="EC74" i="4448"/>
  <c r="DJ75" i="4448"/>
  <c r="CX76" i="4448"/>
  <c r="EJ74" i="4448"/>
  <c r="DI74" i="4448"/>
  <c r="DO74" i="4448"/>
  <c r="DT74" i="4448"/>
  <c r="EB75" i="4448"/>
  <c r="DB74" i="4448"/>
  <c r="AW76" i="4448"/>
  <c r="G80" i="4452"/>
  <c r="N95" i="4452"/>
  <c r="EP84" i="4448" l="1"/>
  <c r="EO83" i="4448"/>
  <c r="EN82" i="4448"/>
  <c r="C86" i="4452"/>
  <c r="N85" i="4452"/>
  <c r="EM82" i="4448"/>
  <c r="DS75" i="4448"/>
  <c r="EF76" i="4448"/>
  <c r="EH75" i="4448"/>
  <c r="EA76" i="4448"/>
  <c r="EL79" i="4448"/>
  <c r="DX76" i="4448"/>
  <c r="DR75" i="4448"/>
  <c r="CY76" i="4448"/>
  <c r="DP75" i="4448"/>
  <c r="DW76" i="4448"/>
  <c r="DH76" i="4448"/>
  <c r="EI75" i="4448"/>
  <c r="ED75" i="4448"/>
  <c r="DK76" i="4448"/>
  <c r="CX77" i="4448"/>
  <c r="DT75" i="4448"/>
  <c r="DO75" i="4448"/>
  <c r="DA75" i="4448"/>
  <c r="DE75" i="4448"/>
  <c r="DL77" i="4448"/>
  <c r="DJ76" i="4448"/>
  <c r="EK76" i="4448"/>
  <c r="DU75" i="4448"/>
  <c r="DF76" i="4448"/>
  <c r="DY75" i="4448"/>
  <c r="DV76" i="4448"/>
  <c r="EC75" i="4448"/>
  <c r="DZ75" i="4448"/>
  <c r="DC75" i="4448"/>
  <c r="EG75" i="4448"/>
  <c r="DM75" i="4448"/>
  <c r="DN75" i="4448"/>
  <c r="DI75" i="4448"/>
  <c r="EJ75" i="4448"/>
  <c r="DG76" i="4448"/>
  <c r="EE76" i="4448"/>
  <c r="CZ76" i="4448"/>
  <c r="DD75" i="4448"/>
  <c r="N96" i="4452"/>
  <c r="AW77" i="4448"/>
  <c r="G81" i="4452"/>
  <c r="DB75" i="4448"/>
  <c r="EB76" i="4448"/>
  <c r="EP85" i="4448" l="1"/>
  <c r="EO84" i="4448"/>
  <c r="EN83" i="4448"/>
  <c r="C87" i="4452"/>
  <c r="N86" i="4452"/>
  <c r="EM83" i="4448"/>
  <c r="DX77" i="4448"/>
  <c r="DH77" i="4448"/>
  <c r="DT76" i="4448"/>
  <c r="EL80" i="4448"/>
  <c r="EJ76" i="4448"/>
  <c r="DN76" i="4448"/>
  <c r="DP76" i="4448"/>
  <c r="EA77" i="4448"/>
  <c r="DO76" i="4448"/>
  <c r="DI76" i="4448"/>
  <c r="DZ76" i="4448"/>
  <c r="EK77" i="4448"/>
  <c r="DJ77" i="4448"/>
  <c r="DL78" i="4448"/>
  <c r="DK77" i="4448"/>
  <c r="EH76" i="4448"/>
  <c r="DW77" i="4448"/>
  <c r="DU76" i="4448"/>
  <c r="EE77" i="4448"/>
  <c r="DY76" i="4448"/>
  <c r="DE76" i="4448"/>
  <c r="ED76" i="4448"/>
  <c r="CY77" i="4448"/>
  <c r="EF77" i="4448"/>
  <c r="DD76" i="4448"/>
  <c r="DM76" i="4448"/>
  <c r="EC76" i="4448"/>
  <c r="CX78" i="4448"/>
  <c r="DV77" i="4448"/>
  <c r="CZ77" i="4448"/>
  <c r="EG76" i="4448"/>
  <c r="DG77" i="4448"/>
  <c r="DC76" i="4448"/>
  <c r="DF77" i="4448"/>
  <c r="DA76" i="4448"/>
  <c r="EI76" i="4448"/>
  <c r="DR76" i="4448"/>
  <c r="DS76" i="4448"/>
  <c r="EB77" i="4448"/>
  <c r="DB76" i="4448"/>
  <c r="AW78" i="4448"/>
  <c r="G82" i="4452"/>
  <c r="N97" i="4452"/>
  <c r="EP86" i="4448" l="1"/>
  <c r="EO85" i="4448"/>
  <c r="EN84" i="4448"/>
  <c r="C88" i="4452"/>
  <c r="N87" i="4452"/>
  <c r="EM84" i="4448"/>
  <c r="DN77" i="4448"/>
  <c r="CY78" i="4448"/>
  <c r="EK78" i="4448"/>
  <c r="EJ77" i="4448"/>
  <c r="DE77" i="4448"/>
  <c r="ED77" i="4448"/>
  <c r="DI77" i="4448"/>
  <c r="EL81" i="4448"/>
  <c r="DY77" i="4448"/>
  <c r="DZ77" i="4448"/>
  <c r="EH77" i="4448"/>
  <c r="EG77" i="4448"/>
  <c r="DK78" i="4448"/>
  <c r="DO77" i="4448"/>
  <c r="DT77" i="4448"/>
  <c r="CX79" i="4448"/>
  <c r="DW78" i="4448"/>
  <c r="DG78" i="4448"/>
  <c r="DD77" i="4448"/>
  <c r="EE78" i="4448"/>
  <c r="DF78" i="4448"/>
  <c r="EI77" i="4448"/>
  <c r="CZ78" i="4448"/>
  <c r="DL79" i="4448"/>
  <c r="EA78" i="4448"/>
  <c r="DH78" i="4448"/>
  <c r="DR77" i="4448"/>
  <c r="EF78" i="4448"/>
  <c r="DU77" i="4448"/>
  <c r="DC77" i="4448"/>
  <c r="EC77" i="4448"/>
  <c r="DS77" i="4448"/>
  <c r="DM77" i="4448"/>
  <c r="DA77" i="4448"/>
  <c r="DV78" i="4448"/>
  <c r="DJ78" i="4448"/>
  <c r="DP77" i="4448"/>
  <c r="DX78" i="4448"/>
  <c r="N98" i="4452"/>
  <c r="DB77" i="4448"/>
  <c r="AW79" i="4448"/>
  <c r="G84" i="4452" s="1"/>
  <c r="G83" i="4452"/>
  <c r="EB78" i="4448"/>
  <c r="EP87" i="4448" l="1"/>
  <c r="EO86" i="4448"/>
  <c r="EN85" i="4448"/>
  <c r="C89" i="4452"/>
  <c r="N88" i="4452"/>
  <c r="EM85" i="4448"/>
  <c r="DL80" i="4448"/>
  <c r="DG79" i="4448"/>
  <c r="CZ79" i="4448"/>
  <c r="DW79" i="4448"/>
  <c r="DE78" i="4448"/>
  <c r="DA78" i="4448"/>
  <c r="ED78" i="4448"/>
  <c r="DZ78" i="4448"/>
  <c r="EJ78" i="4448"/>
  <c r="EG78" i="4448"/>
  <c r="DM78" i="4448"/>
  <c r="EH78" i="4448"/>
  <c r="CX80" i="4448"/>
  <c r="DP78" i="4448"/>
  <c r="DF79" i="4448"/>
  <c r="DT78" i="4448"/>
  <c r="DY78" i="4448"/>
  <c r="EK79" i="4448"/>
  <c r="DU78" i="4448"/>
  <c r="DR78" i="4448"/>
  <c r="DH79" i="4448"/>
  <c r="EI78" i="4448"/>
  <c r="DJ79" i="4448"/>
  <c r="EE79" i="4448"/>
  <c r="DO78" i="4448"/>
  <c r="EL82" i="4448"/>
  <c r="CY79" i="4448"/>
  <c r="DS78" i="4448"/>
  <c r="DC78" i="4448"/>
  <c r="EA79" i="4448"/>
  <c r="EF79" i="4448"/>
  <c r="DX79" i="4448"/>
  <c r="EC78" i="4448"/>
  <c r="DV79" i="4448"/>
  <c r="DD78" i="4448"/>
  <c r="DK79" i="4448"/>
  <c r="DI78" i="4448"/>
  <c r="DN78" i="4448"/>
  <c r="EB79" i="4448"/>
  <c r="DB78" i="4448"/>
  <c r="AW80" i="4448"/>
  <c r="EP88" i="4448" l="1"/>
  <c r="EO87" i="4448"/>
  <c r="EN86" i="4448"/>
  <c r="C90" i="4452"/>
  <c r="N89" i="4452"/>
  <c r="EM86" i="4448"/>
  <c r="EH79" i="4448"/>
  <c r="DA79" i="4448"/>
  <c r="DC79" i="4448"/>
  <c r="DS79" i="4448"/>
  <c r="DE79" i="4448"/>
  <c r="DY79" i="4448"/>
  <c r="EG79" i="4448"/>
  <c r="DW80" i="4448"/>
  <c r="EC79" i="4448"/>
  <c r="DH80" i="4448"/>
  <c r="EJ79" i="4448"/>
  <c r="CZ80" i="4448"/>
  <c r="DJ80" i="4448"/>
  <c r="DT79" i="4448"/>
  <c r="EL83" i="4448"/>
  <c r="EF80" i="4448"/>
  <c r="DR79" i="4448"/>
  <c r="DP79" i="4448"/>
  <c r="DZ79" i="4448"/>
  <c r="DV80" i="4448"/>
  <c r="DG80" i="4448"/>
  <c r="EK80" i="4448"/>
  <c r="EI79" i="4448"/>
  <c r="DX80" i="4448"/>
  <c r="DI79" i="4448"/>
  <c r="EA80" i="4448"/>
  <c r="EE80" i="4448"/>
  <c r="DU79" i="4448"/>
  <c r="CX81" i="4448"/>
  <c r="DM79" i="4448"/>
  <c r="CY80" i="4448"/>
  <c r="DN79" i="4448"/>
  <c r="DF80" i="4448"/>
  <c r="DO79" i="4448"/>
  <c r="DK80" i="4448"/>
  <c r="DD79" i="4448"/>
  <c r="ED79" i="4448"/>
  <c r="DL81" i="4448"/>
  <c r="DB79" i="4448"/>
  <c r="AW81" i="4448"/>
  <c r="G85" i="4452"/>
  <c r="EB80" i="4448"/>
  <c r="EP89" i="4448" l="1"/>
  <c r="EO88" i="4448"/>
  <c r="EN87" i="4448"/>
  <c r="C91" i="4452"/>
  <c r="N90" i="4452"/>
  <c r="EM87" i="4448"/>
  <c r="DY80" i="4448"/>
  <c r="EK81" i="4448"/>
  <c r="DG81" i="4448"/>
  <c r="DE80" i="4448"/>
  <c r="EJ80" i="4448"/>
  <c r="EF81" i="4448"/>
  <c r="DN80" i="4448"/>
  <c r="DS80" i="4448"/>
  <c r="DH81" i="4448"/>
  <c r="DR80" i="4448"/>
  <c r="EE81" i="4448"/>
  <c r="CY81" i="4448"/>
  <c r="DV81" i="4448"/>
  <c r="DT80" i="4448"/>
  <c r="DC80" i="4448"/>
  <c r="DF81" i="4448"/>
  <c r="EL84" i="4448"/>
  <c r="DL82" i="4448"/>
  <c r="ED80" i="4448"/>
  <c r="DD80" i="4448"/>
  <c r="DM80" i="4448"/>
  <c r="DZ80" i="4448"/>
  <c r="DJ81" i="4448"/>
  <c r="DW81" i="4448"/>
  <c r="DA80" i="4448"/>
  <c r="DO80" i="4448"/>
  <c r="EC80" i="4448"/>
  <c r="DU80" i="4448"/>
  <c r="EA81" i="4448"/>
  <c r="DI80" i="4448"/>
  <c r="DX81" i="4448"/>
  <c r="DK81" i="4448"/>
  <c r="CX82" i="4448"/>
  <c r="EI80" i="4448"/>
  <c r="DP80" i="4448"/>
  <c r="CZ81" i="4448"/>
  <c r="EG80" i="4448"/>
  <c r="EH80" i="4448"/>
  <c r="EB81" i="4448"/>
  <c r="DB80" i="4448"/>
  <c r="AW82" i="4448"/>
  <c r="G86" i="4452"/>
  <c r="EP90" i="4448" l="1"/>
  <c r="EO89" i="4448"/>
  <c r="EN88" i="4448"/>
  <c r="C92" i="4452"/>
  <c r="N91" i="4452"/>
  <c r="EM88" i="4448"/>
  <c r="EE82" i="4448"/>
  <c r="DJ82" i="4448"/>
  <c r="EJ81" i="4448"/>
  <c r="EF82" i="4448"/>
  <c r="CX83" i="4448"/>
  <c r="DC81" i="4448"/>
  <c r="EH81" i="4448"/>
  <c r="DE81" i="4448"/>
  <c r="DF82" i="4448"/>
  <c r="EC81" i="4448"/>
  <c r="DD81" i="4448"/>
  <c r="DX82" i="4448"/>
  <c r="DH82" i="4448"/>
  <c r="DG82" i="4448"/>
  <c r="DU81" i="4448"/>
  <c r="DK82" i="4448"/>
  <c r="ED81" i="4448"/>
  <c r="DV82" i="4448"/>
  <c r="EL85" i="4448"/>
  <c r="DZ81" i="4448"/>
  <c r="DM81" i="4448"/>
  <c r="DT81" i="4448"/>
  <c r="DI81" i="4448"/>
  <c r="DS81" i="4448"/>
  <c r="EK82" i="4448"/>
  <c r="EI81" i="4448"/>
  <c r="DW82" i="4448"/>
  <c r="DL83" i="4448"/>
  <c r="CY82" i="4448"/>
  <c r="DR81" i="4448"/>
  <c r="DO81" i="4448"/>
  <c r="EG81" i="4448"/>
  <c r="DA81" i="4448"/>
  <c r="CZ82" i="4448"/>
  <c r="DP81" i="4448"/>
  <c r="EA82" i="4448"/>
  <c r="DN81" i="4448"/>
  <c r="DY81" i="4448"/>
  <c r="DB81" i="4448"/>
  <c r="AW83" i="4448"/>
  <c r="G87" i="4452"/>
  <c r="EB82" i="4448"/>
  <c r="EP91" i="4448" l="1"/>
  <c r="EO90" i="4448"/>
  <c r="EN89" i="4448"/>
  <c r="C93" i="4452"/>
  <c r="N92" i="4452"/>
  <c r="EM89" i="4448"/>
  <c r="DC82" i="4448"/>
  <c r="CX84" i="4448"/>
  <c r="DL84" i="4448"/>
  <c r="DT82" i="4448"/>
  <c r="DK83" i="4448"/>
  <c r="EF83" i="4448"/>
  <c r="EG82" i="4448"/>
  <c r="DI82" i="4448"/>
  <c r="DA82" i="4448"/>
  <c r="DF83" i="4448"/>
  <c r="EJ82" i="4448"/>
  <c r="DM82" i="4448"/>
  <c r="DN82" i="4448"/>
  <c r="DZ82" i="4448"/>
  <c r="DG83" i="4448"/>
  <c r="ED82" i="4448"/>
  <c r="DW83" i="4448"/>
  <c r="DY82" i="4448"/>
  <c r="EI82" i="4448"/>
  <c r="DE82" i="4448"/>
  <c r="DU82" i="4448"/>
  <c r="EA83" i="4448"/>
  <c r="EK83" i="4448"/>
  <c r="EL86" i="4448"/>
  <c r="DH83" i="4448"/>
  <c r="DJ83" i="4448"/>
  <c r="DD82" i="4448"/>
  <c r="EC82" i="4448"/>
  <c r="DO82" i="4448"/>
  <c r="EH82" i="4448"/>
  <c r="CZ83" i="4448"/>
  <c r="DR82" i="4448"/>
  <c r="DP82" i="4448"/>
  <c r="CY83" i="4448"/>
  <c r="DS82" i="4448"/>
  <c r="DV83" i="4448"/>
  <c r="DX83" i="4448"/>
  <c r="EE83" i="4448"/>
  <c r="EB83" i="4448"/>
  <c r="AW84" i="4448"/>
  <c r="G88" i="4452"/>
  <c r="DB82" i="4448"/>
  <c r="EP92" i="4448" l="1"/>
  <c r="EO91" i="4448"/>
  <c r="EN90" i="4448"/>
  <c r="N93" i="4452"/>
  <c r="C94" i="4452"/>
  <c r="N94" i="4452" s="1"/>
  <c r="EM90" i="4448"/>
  <c r="EK84" i="4448"/>
  <c r="DW84" i="4448"/>
  <c r="DK84" i="4448"/>
  <c r="DT83" i="4448"/>
  <c r="DR83" i="4448"/>
  <c r="DA83" i="4448"/>
  <c r="ED83" i="4448"/>
  <c r="DG84" i="4448"/>
  <c r="DJ84" i="4448"/>
  <c r="CY84" i="4448"/>
  <c r="DF84" i="4448"/>
  <c r="DI83" i="4448"/>
  <c r="DL85" i="4448"/>
  <c r="EC83" i="4448"/>
  <c r="DD83" i="4448"/>
  <c r="DH84" i="4448"/>
  <c r="EI83" i="4448"/>
  <c r="DN83" i="4448"/>
  <c r="EA84" i="4448"/>
  <c r="DZ83" i="4448"/>
  <c r="EH83" i="4448"/>
  <c r="EG83" i="4448"/>
  <c r="CX85" i="4448"/>
  <c r="DU83" i="4448"/>
  <c r="EE84" i="4448"/>
  <c r="DE83" i="4448"/>
  <c r="DX84" i="4448"/>
  <c r="DV84" i="4448"/>
  <c r="EL87" i="4448"/>
  <c r="DY83" i="4448"/>
  <c r="EJ83" i="4448"/>
  <c r="DP83" i="4448"/>
  <c r="CZ84" i="4448"/>
  <c r="DS83" i="4448"/>
  <c r="DO83" i="4448"/>
  <c r="DM83" i="4448"/>
  <c r="EF84" i="4448"/>
  <c r="DC83" i="4448"/>
  <c r="AW85" i="4448"/>
  <c r="G89" i="4452"/>
  <c r="EB84" i="4448"/>
  <c r="DB83" i="4448"/>
  <c r="EP93" i="4448" l="1"/>
  <c r="EO92" i="4448"/>
  <c r="EN91" i="4448"/>
  <c r="EM91" i="4448"/>
  <c r="DI84" i="4448"/>
  <c r="DA84" i="4448"/>
  <c r="DR84" i="4448"/>
  <c r="DV85" i="4448"/>
  <c r="DT84" i="4448"/>
  <c r="EI84" i="4448"/>
  <c r="DX85" i="4448"/>
  <c r="DH85" i="4448"/>
  <c r="DJ85" i="4448"/>
  <c r="EL88" i="4448"/>
  <c r="CZ85" i="4448"/>
  <c r="DD84" i="4448"/>
  <c r="DE84" i="4448"/>
  <c r="DZ84" i="4448"/>
  <c r="DK85" i="4448"/>
  <c r="CY85" i="4448"/>
  <c r="EF85" i="4448"/>
  <c r="EC84" i="4448"/>
  <c r="DG85" i="4448"/>
  <c r="CX86" i="4448"/>
  <c r="EG84" i="4448"/>
  <c r="DM84" i="4448"/>
  <c r="EJ84" i="4448"/>
  <c r="EA85" i="4448"/>
  <c r="DW85" i="4448"/>
  <c r="DF85" i="4448"/>
  <c r="EH84" i="4448"/>
  <c r="DP84" i="4448"/>
  <c r="DL86" i="4448"/>
  <c r="ED84" i="4448"/>
  <c r="DS84" i="4448"/>
  <c r="DC84" i="4448"/>
  <c r="EE85" i="4448"/>
  <c r="DO84" i="4448"/>
  <c r="DY84" i="4448"/>
  <c r="DU84" i="4448"/>
  <c r="DN84" i="4448"/>
  <c r="EK85" i="4448"/>
  <c r="EB85" i="4448"/>
  <c r="DB84" i="4448"/>
  <c r="AW86" i="4448"/>
  <c r="G90" i="4452"/>
  <c r="EP94" i="4448" l="1"/>
  <c r="EO93" i="4448"/>
  <c r="EN92" i="4448"/>
  <c r="EM92" i="4448"/>
  <c r="DO85" i="4448"/>
  <c r="EI85" i="4448"/>
  <c r="EF86" i="4448"/>
  <c r="CZ86" i="4448"/>
  <c r="DT85" i="4448"/>
  <c r="DD85" i="4448"/>
  <c r="DM85" i="4448"/>
  <c r="EL89" i="4448"/>
  <c r="DV86" i="4448"/>
  <c r="DL87" i="4448"/>
  <c r="EJ85" i="4448"/>
  <c r="CY86" i="4448"/>
  <c r="CX87" i="4448"/>
  <c r="DK86" i="4448"/>
  <c r="DJ86" i="4448"/>
  <c r="DR85" i="4448"/>
  <c r="EC85" i="4448"/>
  <c r="DP85" i="4448"/>
  <c r="EK86" i="4448"/>
  <c r="EE86" i="4448"/>
  <c r="EG85" i="4448"/>
  <c r="DN85" i="4448"/>
  <c r="DS85" i="4448"/>
  <c r="DW86" i="4448"/>
  <c r="DG86" i="4448"/>
  <c r="DZ85" i="4448"/>
  <c r="DH86" i="4448"/>
  <c r="DA85" i="4448"/>
  <c r="EH85" i="4448"/>
  <c r="DF86" i="4448"/>
  <c r="DC85" i="4448"/>
  <c r="DU85" i="4448"/>
  <c r="DY85" i="4448"/>
  <c r="ED85" i="4448"/>
  <c r="EA86" i="4448"/>
  <c r="DE85" i="4448"/>
  <c r="DX86" i="4448"/>
  <c r="DI85" i="4448"/>
  <c r="DB85" i="4448"/>
  <c r="AW87" i="4448"/>
  <c r="G91" i="4452"/>
  <c r="EB86" i="4448"/>
  <c r="EP95" i="4448" l="1"/>
  <c r="EO94" i="4448"/>
  <c r="EN93" i="4448"/>
  <c r="EM93" i="4448"/>
  <c r="DP86" i="4448"/>
  <c r="CY87" i="4448"/>
  <c r="DW87" i="4448"/>
  <c r="EC86" i="4448"/>
  <c r="DT86" i="4448"/>
  <c r="DS86" i="4448"/>
  <c r="ED86" i="4448"/>
  <c r="DI86" i="4448"/>
  <c r="DR86" i="4448"/>
  <c r="CZ87" i="4448"/>
  <c r="DD86" i="4448"/>
  <c r="DF87" i="4448"/>
  <c r="EH86" i="4448"/>
  <c r="DN86" i="4448"/>
  <c r="DX87" i="4448"/>
  <c r="DJ87" i="4448"/>
  <c r="DV87" i="4448"/>
  <c r="EF87" i="4448"/>
  <c r="DY86" i="4448"/>
  <c r="EG86" i="4448"/>
  <c r="EE87" i="4448"/>
  <c r="EJ86" i="4448"/>
  <c r="DH87" i="4448"/>
  <c r="DC86" i="4448"/>
  <c r="DK87" i="4448"/>
  <c r="EL90" i="4448"/>
  <c r="EI86" i="4448"/>
  <c r="DA86" i="4448"/>
  <c r="DU86" i="4448"/>
  <c r="DZ86" i="4448"/>
  <c r="DG87" i="4448"/>
  <c r="EK87" i="4448"/>
  <c r="DL88" i="4448"/>
  <c r="DE86" i="4448"/>
  <c r="EA87" i="4448"/>
  <c r="CX88" i="4448"/>
  <c r="DM86" i="4448"/>
  <c r="DO86" i="4448"/>
  <c r="EB87" i="4448"/>
  <c r="AW88" i="4448"/>
  <c r="G92" i="4452"/>
  <c r="DB86" i="4448"/>
  <c r="EP96" i="4448" l="1"/>
  <c r="EO95" i="4448"/>
  <c r="EN94" i="4448"/>
  <c r="EM94" i="4448"/>
  <c r="DS87" i="4448"/>
  <c r="DE87" i="4448"/>
  <c r="DT87" i="4448"/>
  <c r="EJ87" i="4448"/>
  <c r="EI87" i="4448"/>
  <c r="DN87" i="4448"/>
  <c r="EC87" i="4448"/>
  <c r="DX88" i="4448"/>
  <c r="DO87" i="4448"/>
  <c r="DA87" i="4448"/>
  <c r="DL89" i="4448"/>
  <c r="EK88" i="4448"/>
  <c r="DK88" i="4448"/>
  <c r="DY87" i="4448"/>
  <c r="EH87" i="4448"/>
  <c r="DI87" i="4448"/>
  <c r="DW88" i="4448"/>
  <c r="DJ88" i="4448"/>
  <c r="CZ88" i="4448"/>
  <c r="EL91" i="4448"/>
  <c r="DM87" i="4448"/>
  <c r="DR87" i="4448"/>
  <c r="CX89" i="4448"/>
  <c r="DZ87" i="4448"/>
  <c r="DC87" i="4448"/>
  <c r="EF88" i="4448"/>
  <c r="DF88" i="4448"/>
  <c r="ED87" i="4448"/>
  <c r="CY88" i="4448"/>
  <c r="DD87" i="4448"/>
  <c r="EE88" i="4448"/>
  <c r="EG87" i="4448"/>
  <c r="DG88" i="4448"/>
  <c r="EA88" i="4448"/>
  <c r="DU87" i="4448"/>
  <c r="DH88" i="4448"/>
  <c r="DV88" i="4448"/>
  <c r="DP87" i="4448"/>
  <c r="EB88" i="4448"/>
  <c r="DB87" i="4448"/>
  <c r="AW89" i="4448"/>
  <c r="G93" i="4452"/>
  <c r="EP97" i="4448" l="1"/>
  <c r="EO96" i="4448"/>
  <c r="EN95" i="4448"/>
  <c r="EM95" i="4448"/>
  <c r="DZ88" i="4448"/>
  <c r="DN88" i="4448"/>
  <c r="DW89" i="4448"/>
  <c r="EI88" i="4448"/>
  <c r="DL90" i="4448"/>
  <c r="DR88" i="4448"/>
  <c r="DA88" i="4448"/>
  <c r="DD88" i="4448"/>
  <c r="CY89" i="4448"/>
  <c r="EJ88" i="4448"/>
  <c r="DJ89" i="4448"/>
  <c r="CX90" i="4448"/>
  <c r="ED88" i="4448"/>
  <c r="DO88" i="4448"/>
  <c r="DT88" i="4448"/>
  <c r="EK89" i="4448"/>
  <c r="DI88" i="4448"/>
  <c r="DM88" i="4448"/>
  <c r="EF89" i="4448"/>
  <c r="EL92" i="4448"/>
  <c r="DY88" i="4448"/>
  <c r="DX89" i="4448"/>
  <c r="DP88" i="4448"/>
  <c r="DE88" i="4448"/>
  <c r="DG89" i="4448"/>
  <c r="EH88" i="4448"/>
  <c r="EG88" i="4448"/>
  <c r="EE89" i="4448"/>
  <c r="DC88" i="4448"/>
  <c r="CZ89" i="4448"/>
  <c r="DK89" i="4448"/>
  <c r="EA89" i="4448"/>
  <c r="DF89" i="4448"/>
  <c r="DV89" i="4448"/>
  <c r="DH89" i="4448"/>
  <c r="DU88" i="4448"/>
  <c r="EC88" i="4448"/>
  <c r="DS88" i="4448"/>
  <c r="DB88" i="4448"/>
  <c r="AW90" i="4448"/>
  <c r="G94" i="4452"/>
  <c r="EB89" i="4448"/>
  <c r="EP98" i="4448" l="1"/>
  <c r="EO97" i="4448"/>
  <c r="EN96" i="4448"/>
  <c r="EM96" i="4448"/>
  <c r="CX91" i="4448"/>
  <c r="DH90" i="4448"/>
  <c r="DM89" i="4448"/>
  <c r="DL91" i="4448"/>
  <c r="DV90" i="4448"/>
  <c r="DI89" i="4448"/>
  <c r="EJ89" i="4448"/>
  <c r="EI89" i="4448"/>
  <c r="DC89" i="4448"/>
  <c r="EE90" i="4448"/>
  <c r="EK90" i="4448"/>
  <c r="DY89" i="4448"/>
  <c r="DT89" i="4448"/>
  <c r="CY90" i="4448"/>
  <c r="DW90" i="4448"/>
  <c r="DR89" i="4448"/>
  <c r="DP89" i="4448"/>
  <c r="EG89" i="4448"/>
  <c r="EH89" i="4448"/>
  <c r="DF90" i="4448"/>
  <c r="DS89" i="4448"/>
  <c r="EL93" i="4448"/>
  <c r="DO89" i="4448"/>
  <c r="DD89" i="4448"/>
  <c r="DN89" i="4448"/>
  <c r="EC89" i="4448"/>
  <c r="DU89" i="4448"/>
  <c r="CZ90" i="4448"/>
  <c r="DG90" i="4448"/>
  <c r="DE89" i="4448"/>
  <c r="DJ90" i="4448"/>
  <c r="DX90" i="4448"/>
  <c r="EA90" i="4448"/>
  <c r="DK90" i="4448"/>
  <c r="EF90" i="4448"/>
  <c r="ED89" i="4448"/>
  <c r="DA89" i="4448"/>
  <c r="DZ89" i="4448"/>
  <c r="EB90" i="4448"/>
  <c r="DB89" i="4448"/>
  <c r="AW91" i="4448"/>
  <c r="G95" i="4452"/>
  <c r="EP99" i="4448" l="1"/>
  <c r="EO98" i="4448"/>
  <c r="EN97" i="4448"/>
  <c r="EM97" i="4448"/>
  <c r="DI90" i="4448"/>
  <c r="DO90" i="4448"/>
  <c r="DP90" i="4448"/>
  <c r="DV91" i="4448"/>
  <c r="DK91" i="4448"/>
  <c r="EK91" i="4448"/>
  <c r="DR90" i="4448"/>
  <c r="DL92" i="4448"/>
  <c r="DD90" i="4448"/>
  <c r="DX91" i="4448"/>
  <c r="DG91" i="4448"/>
  <c r="EE91" i="4448"/>
  <c r="DW91" i="4448"/>
  <c r="DC90" i="4448"/>
  <c r="DM90" i="4448"/>
  <c r="EG90" i="4448"/>
  <c r="EA91" i="4448"/>
  <c r="DU90" i="4448"/>
  <c r="DA90" i="4448"/>
  <c r="EC90" i="4448"/>
  <c r="DS90" i="4448"/>
  <c r="ED90" i="4448"/>
  <c r="DF91" i="4448"/>
  <c r="CY91" i="4448"/>
  <c r="EI90" i="4448"/>
  <c r="DH91" i="4448"/>
  <c r="DY90" i="4448"/>
  <c r="CZ91" i="4448"/>
  <c r="DZ90" i="4448"/>
  <c r="DN90" i="4448"/>
  <c r="EL94" i="4448"/>
  <c r="DJ91" i="4448"/>
  <c r="EF91" i="4448"/>
  <c r="DE90" i="4448"/>
  <c r="EH90" i="4448"/>
  <c r="DT90" i="4448"/>
  <c r="EJ90" i="4448"/>
  <c r="CX92" i="4448"/>
  <c r="AW92" i="4448"/>
  <c r="G96" i="4452"/>
  <c r="DB90" i="4448"/>
  <c r="EB91" i="4448"/>
  <c r="EP100" i="4448" l="1"/>
  <c r="EO99" i="4448"/>
  <c r="EN98" i="4448"/>
  <c r="EM98" i="4448"/>
  <c r="EE92" i="4448"/>
  <c r="EK92" i="4448"/>
  <c r="DU91" i="4448"/>
  <c r="ED91" i="4448"/>
  <c r="DY91" i="4448"/>
  <c r="DK92" i="4448"/>
  <c r="CX93" i="4448"/>
  <c r="DX92" i="4448"/>
  <c r="DV92" i="4448"/>
  <c r="DE91" i="4448"/>
  <c r="EF92" i="4448"/>
  <c r="DM91" i="4448"/>
  <c r="DG92" i="4448"/>
  <c r="DD91" i="4448"/>
  <c r="DP91" i="4448"/>
  <c r="EL95" i="4448"/>
  <c r="EC91" i="4448"/>
  <c r="DC91" i="4448"/>
  <c r="CZ92" i="4448"/>
  <c r="DS91" i="4448"/>
  <c r="DN91" i="4448"/>
  <c r="DL93" i="4448"/>
  <c r="DO91" i="4448"/>
  <c r="DJ92" i="4448"/>
  <c r="EJ91" i="4448"/>
  <c r="DT91" i="4448"/>
  <c r="DA91" i="4448"/>
  <c r="DW92" i="4448"/>
  <c r="EA92" i="4448"/>
  <c r="EG91" i="4448"/>
  <c r="DH92" i="4448"/>
  <c r="EI91" i="4448"/>
  <c r="CY92" i="4448"/>
  <c r="EH91" i="4448"/>
  <c r="DZ91" i="4448"/>
  <c r="DF92" i="4448"/>
  <c r="DR91" i="4448"/>
  <c r="DI91" i="4448"/>
  <c r="EB92" i="4448"/>
  <c r="L95" i="4452"/>
  <c r="AW93" i="4448"/>
  <c r="G97" i="4452"/>
  <c r="DB91" i="4448"/>
  <c r="EP101" i="4448" l="1"/>
  <c r="EO100" i="4448"/>
  <c r="EN99" i="4448"/>
  <c r="EM99" i="4448"/>
  <c r="DM92" i="4448"/>
  <c r="DK93" i="4448"/>
  <c r="DW93" i="4448"/>
  <c r="DY92" i="4448"/>
  <c r="EC92" i="4448"/>
  <c r="DO92" i="4448"/>
  <c r="EF93" i="4448"/>
  <c r="DE92" i="4448"/>
  <c r="ED92" i="4448"/>
  <c r="DP92" i="4448"/>
  <c r="DT92" i="4448"/>
  <c r="DV93" i="4448"/>
  <c r="DU92" i="4448"/>
  <c r="EH92" i="4448"/>
  <c r="DA92" i="4448"/>
  <c r="DR92" i="4448"/>
  <c r="DD92" i="4448"/>
  <c r="EL96" i="4448"/>
  <c r="DF93" i="4448"/>
  <c r="EJ92" i="4448"/>
  <c r="CZ93" i="4448"/>
  <c r="DX93" i="4448"/>
  <c r="EK93" i="4448"/>
  <c r="EA93" i="4448"/>
  <c r="DL94" i="4448"/>
  <c r="DN92" i="4448"/>
  <c r="EI92" i="4448"/>
  <c r="DG93" i="4448"/>
  <c r="CY93" i="4448"/>
  <c r="DI92" i="4448"/>
  <c r="DS92" i="4448"/>
  <c r="DH93" i="4448"/>
  <c r="DZ92" i="4448"/>
  <c r="EG92" i="4448"/>
  <c r="DJ93" i="4448"/>
  <c r="DC92" i="4448"/>
  <c r="CX94" i="4448"/>
  <c r="EE93" i="4448"/>
  <c r="L96" i="4452"/>
  <c r="AW94" i="4448"/>
  <c r="G99" i="4452" s="1"/>
  <c r="G98" i="4452"/>
  <c r="DB92" i="4448"/>
  <c r="EB93" i="4448"/>
  <c r="EP102" i="4448" l="1"/>
  <c r="GO101" i="4448" s="1"/>
  <c r="EO101" i="4448"/>
  <c r="EN100" i="4448"/>
  <c r="EM100" i="4448"/>
  <c r="DO93" i="4448"/>
  <c r="DZ93" i="4448"/>
  <c r="EC93" i="4448"/>
  <c r="DG94" i="4448"/>
  <c r="DP93" i="4448"/>
  <c r="DT93" i="4448"/>
  <c r="DY93" i="4448"/>
  <c r="DV94" i="4448"/>
  <c r="DR93" i="4448"/>
  <c r="ED93" i="4448"/>
  <c r="DD93" i="4448"/>
  <c r="EE94" i="4448"/>
  <c r="DS93" i="4448"/>
  <c r="DL95" i="4448"/>
  <c r="DF94" i="4448"/>
  <c r="DW94" i="4448"/>
  <c r="DX94" i="4448"/>
  <c r="EI93" i="4448"/>
  <c r="EJ93" i="4448"/>
  <c r="EH93" i="4448"/>
  <c r="DE93" i="4448"/>
  <c r="DA93" i="4448"/>
  <c r="DC93" i="4448"/>
  <c r="EA94" i="4448"/>
  <c r="DK94" i="4448"/>
  <c r="CZ94" i="4448"/>
  <c r="DN93" i="4448"/>
  <c r="DU93" i="4448"/>
  <c r="EF94" i="4448"/>
  <c r="EG93" i="4448"/>
  <c r="DH94" i="4448"/>
  <c r="CX95" i="4448"/>
  <c r="DI93" i="4448"/>
  <c r="DJ94" i="4448"/>
  <c r="CY94" i="4448"/>
  <c r="EK94" i="4448"/>
  <c r="EL97" i="4448"/>
  <c r="DM93" i="4448"/>
  <c r="DB93" i="4448"/>
  <c r="L97" i="4452"/>
  <c r="EB94" i="4448"/>
  <c r="GO103" i="4448" l="1"/>
  <c r="GO102" i="4448"/>
  <c r="GO6" i="4448"/>
  <c r="GO7" i="4448"/>
  <c r="GO8" i="4448"/>
  <c r="GO9" i="4448"/>
  <c r="GO10" i="4448"/>
  <c r="GO11" i="4448"/>
  <c r="GO12" i="4448"/>
  <c r="GO13" i="4448"/>
  <c r="GO14" i="4448"/>
  <c r="GO15" i="4448"/>
  <c r="GO16" i="4448"/>
  <c r="GO17" i="4448"/>
  <c r="GO18" i="4448"/>
  <c r="GO19" i="4448"/>
  <c r="GO20" i="4448"/>
  <c r="GO21" i="4448"/>
  <c r="GO22" i="4448"/>
  <c r="GO23" i="4448"/>
  <c r="GO24" i="4448"/>
  <c r="GO25" i="4448"/>
  <c r="GO26" i="4448"/>
  <c r="GO27" i="4448"/>
  <c r="GO28" i="4448"/>
  <c r="GO29" i="4448"/>
  <c r="GO30" i="4448"/>
  <c r="GO31" i="4448"/>
  <c r="GO32" i="4448"/>
  <c r="GO33" i="4448"/>
  <c r="GO34" i="4448"/>
  <c r="GO35" i="4448"/>
  <c r="GO36" i="4448"/>
  <c r="GO37" i="4448"/>
  <c r="GO38" i="4448"/>
  <c r="GO39" i="4448"/>
  <c r="GO40" i="4448"/>
  <c r="GO41" i="4448"/>
  <c r="GO42" i="4448"/>
  <c r="GO43" i="4448"/>
  <c r="GO44" i="4448"/>
  <c r="GO45" i="4448"/>
  <c r="GO46" i="4448"/>
  <c r="GO47" i="4448"/>
  <c r="GO48" i="4448"/>
  <c r="GO49" i="4448"/>
  <c r="GO50" i="4448"/>
  <c r="GO51" i="4448"/>
  <c r="GO52" i="4448"/>
  <c r="GO53" i="4448"/>
  <c r="GO54" i="4448"/>
  <c r="GO55" i="4448"/>
  <c r="GO56" i="4448"/>
  <c r="GO57" i="4448"/>
  <c r="GO58" i="4448"/>
  <c r="GO59" i="4448"/>
  <c r="GO60" i="4448"/>
  <c r="GO61" i="4448"/>
  <c r="GO62" i="4448"/>
  <c r="GO63" i="4448"/>
  <c r="GO64" i="4448"/>
  <c r="GO65" i="4448"/>
  <c r="GO66" i="4448"/>
  <c r="GO67" i="4448"/>
  <c r="GO68" i="4448"/>
  <c r="GO69" i="4448"/>
  <c r="GO70" i="4448"/>
  <c r="GO71" i="4448"/>
  <c r="GO72" i="4448"/>
  <c r="GO73" i="4448"/>
  <c r="GO74" i="4448"/>
  <c r="GO75" i="4448"/>
  <c r="GO76" i="4448"/>
  <c r="GO77" i="4448"/>
  <c r="GO78" i="4448"/>
  <c r="GO79" i="4448"/>
  <c r="GO80" i="4448"/>
  <c r="GO81" i="4448"/>
  <c r="GO82" i="4448"/>
  <c r="GO83" i="4448"/>
  <c r="GO84" i="4448"/>
  <c r="GO85" i="4448"/>
  <c r="GO86" i="4448"/>
  <c r="GO87" i="4448"/>
  <c r="GO88" i="4448"/>
  <c r="GO89" i="4448"/>
  <c r="GO90" i="4448"/>
  <c r="GO91" i="4448"/>
  <c r="GO92" i="4448"/>
  <c r="GO93" i="4448"/>
  <c r="GO94" i="4448"/>
  <c r="GO95" i="4448"/>
  <c r="GO96" i="4448"/>
  <c r="GO97" i="4448"/>
  <c r="GO98" i="4448"/>
  <c r="GO99" i="4448"/>
  <c r="GO100" i="4448"/>
  <c r="EO102" i="4448"/>
  <c r="GN5" i="4448" s="1"/>
  <c r="GN101" i="4448"/>
  <c r="EN101" i="4448"/>
  <c r="EM101" i="4448"/>
  <c r="EE95" i="4448"/>
  <c r="DP94" i="4448"/>
  <c r="EF95" i="4448"/>
  <c r="DA94" i="4448"/>
  <c r="DJ95" i="4448"/>
  <c r="ED94" i="4448"/>
  <c r="DG95" i="4448"/>
  <c r="DW95" i="4448"/>
  <c r="DD94" i="4448"/>
  <c r="DR94" i="4448"/>
  <c r="DF95" i="4448"/>
  <c r="EH94" i="4448"/>
  <c r="DL96" i="4448"/>
  <c r="EC94" i="4448"/>
  <c r="DT94" i="4448"/>
  <c r="DI94" i="4448"/>
  <c r="DM94" i="4448"/>
  <c r="DE94" i="4448"/>
  <c r="CX96" i="4448"/>
  <c r="DV95" i="4448"/>
  <c r="DN94" i="4448"/>
  <c r="EK95" i="4448"/>
  <c r="DK95" i="4448"/>
  <c r="EJ94" i="4448"/>
  <c r="DS94" i="4448"/>
  <c r="DZ94" i="4448"/>
  <c r="DX95" i="4448"/>
  <c r="CZ95" i="4448"/>
  <c r="DY94" i="4448"/>
  <c r="DC94" i="4448"/>
  <c r="DU94" i="4448"/>
  <c r="EL98" i="4448"/>
  <c r="DH95" i="4448"/>
  <c r="CY95" i="4448"/>
  <c r="EG94" i="4448"/>
  <c r="EA95" i="4448"/>
  <c r="EI94" i="4448"/>
  <c r="DO94" i="4448"/>
  <c r="EB95" i="4448"/>
  <c r="K95" i="4452"/>
  <c r="L98" i="4452"/>
  <c r="DB94" i="4448"/>
  <c r="GN103" i="4448" l="1"/>
  <c r="GN102" i="4448"/>
  <c r="GN6" i="4448"/>
  <c r="GN7" i="4448"/>
  <c r="GN8" i="4448"/>
  <c r="GN9" i="4448"/>
  <c r="GN10" i="4448"/>
  <c r="GN11" i="4448"/>
  <c r="GN12" i="4448"/>
  <c r="GN13" i="4448"/>
  <c r="GN14" i="4448"/>
  <c r="GN15" i="4448"/>
  <c r="GN16" i="4448"/>
  <c r="GN17" i="4448"/>
  <c r="GN18" i="4448"/>
  <c r="GN19" i="4448"/>
  <c r="GN20" i="4448"/>
  <c r="GN21" i="4448"/>
  <c r="GN22" i="4448"/>
  <c r="GN23" i="4448"/>
  <c r="GN24" i="4448"/>
  <c r="GN25" i="4448"/>
  <c r="GN26" i="4448"/>
  <c r="GN27" i="4448"/>
  <c r="GN28" i="4448"/>
  <c r="GN29" i="4448"/>
  <c r="GN30" i="4448"/>
  <c r="GN31" i="4448"/>
  <c r="GN32" i="4448"/>
  <c r="GN33" i="4448"/>
  <c r="GN34" i="4448"/>
  <c r="GN35" i="4448"/>
  <c r="GN36" i="4448"/>
  <c r="GN37" i="4448"/>
  <c r="GN38" i="4448"/>
  <c r="GN39" i="4448"/>
  <c r="GN40" i="4448"/>
  <c r="GN41" i="4448"/>
  <c r="GN42" i="4448"/>
  <c r="GN43" i="4448"/>
  <c r="GN44" i="4448"/>
  <c r="GN45" i="4448"/>
  <c r="GN46" i="4448"/>
  <c r="GN47" i="4448"/>
  <c r="GN48" i="4448"/>
  <c r="GN49" i="4448"/>
  <c r="GN50" i="4448"/>
  <c r="GN51" i="4448"/>
  <c r="GN52" i="4448"/>
  <c r="GN53" i="4448"/>
  <c r="GN54" i="4448"/>
  <c r="GN55" i="4448"/>
  <c r="GN56" i="4448"/>
  <c r="GN57" i="4448"/>
  <c r="GN58" i="4448"/>
  <c r="GN59" i="4448"/>
  <c r="GN60" i="4448"/>
  <c r="GN61" i="4448"/>
  <c r="GN62" i="4448"/>
  <c r="GN63" i="4448"/>
  <c r="GN64" i="4448"/>
  <c r="GN65" i="4448"/>
  <c r="GN66" i="4448"/>
  <c r="GN67" i="4448"/>
  <c r="GN68" i="4448"/>
  <c r="GN69" i="4448"/>
  <c r="GN70" i="4448"/>
  <c r="GN71" i="4448"/>
  <c r="GN72" i="4448"/>
  <c r="GN73" i="4448"/>
  <c r="GN74" i="4448"/>
  <c r="GN75" i="4448"/>
  <c r="GN76" i="4448"/>
  <c r="GN77" i="4448"/>
  <c r="GN78" i="4448"/>
  <c r="GN79" i="4448"/>
  <c r="GN80" i="4448"/>
  <c r="GN81" i="4448"/>
  <c r="GN82" i="4448"/>
  <c r="GN83" i="4448"/>
  <c r="GN84" i="4448"/>
  <c r="GN85" i="4448"/>
  <c r="GN86" i="4448"/>
  <c r="GN87" i="4448"/>
  <c r="GN88" i="4448"/>
  <c r="GN89" i="4448"/>
  <c r="GN90" i="4448"/>
  <c r="GN91" i="4448"/>
  <c r="GN92" i="4448"/>
  <c r="GN93" i="4448"/>
  <c r="GN94" i="4448"/>
  <c r="GN95" i="4448"/>
  <c r="GN96" i="4448"/>
  <c r="GN97" i="4448"/>
  <c r="GN98" i="4448"/>
  <c r="GN99" i="4448"/>
  <c r="GN100" i="4448"/>
  <c r="EN102" i="4448"/>
  <c r="GM32" i="4448" s="1"/>
  <c r="EM102" i="4448"/>
  <c r="EM105" i="4448" s="1"/>
  <c r="ED95" i="4448"/>
  <c r="DF96" i="4448"/>
  <c r="DJ96" i="4448"/>
  <c r="DE95" i="4448"/>
  <c r="DN95" i="4448"/>
  <c r="DR95" i="4448"/>
  <c r="DA95" i="4448"/>
  <c r="EK96" i="4448"/>
  <c r="DI95" i="4448"/>
  <c r="DT95" i="4448"/>
  <c r="DM95" i="4448"/>
  <c r="DU95" i="4448"/>
  <c r="DD95" i="4448"/>
  <c r="EF96" i="4448"/>
  <c r="CZ96" i="4448"/>
  <c r="DZ95" i="4448"/>
  <c r="DV96" i="4448"/>
  <c r="CY96" i="4448"/>
  <c r="EL99" i="4448"/>
  <c r="EI95" i="4448"/>
  <c r="EA96" i="4448"/>
  <c r="EJ95" i="4448"/>
  <c r="EC95" i="4448"/>
  <c r="DW96" i="4448"/>
  <c r="DP95" i="4448"/>
  <c r="EH95" i="4448"/>
  <c r="DX96" i="4448"/>
  <c r="CX97" i="4448"/>
  <c r="DH96" i="4448"/>
  <c r="DO95" i="4448"/>
  <c r="DS95" i="4448"/>
  <c r="DC95" i="4448"/>
  <c r="EG95" i="4448"/>
  <c r="DY95" i="4448"/>
  <c r="DK96" i="4448"/>
  <c r="DL97" i="4448"/>
  <c r="DG96" i="4448"/>
  <c r="EE96" i="4448"/>
  <c r="DB95" i="4448"/>
  <c r="K96" i="4452"/>
  <c r="EB96" i="4448"/>
  <c r="GM101" i="4448" l="1"/>
  <c r="GL101" i="4448"/>
  <c r="EN105" i="4448"/>
  <c r="GM102" i="4448"/>
  <c r="GM103" i="4448"/>
  <c r="GM5" i="4448"/>
  <c r="GM6" i="4448"/>
  <c r="GM7" i="4448"/>
  <c r="GM8" i="4448"/>
  <c r="GM9" i="4448"/>
  <c r="GM10" i="4448"/>
  <c r="GM11" i="4448"/>
  <c r="GM12" i="4448"/>
  <c r="GM13" i="4448"/>
  <c r="GM14" i="4448"/>
  <c r="GM15" i="4448"/>
  <c r="GM16" i="4448"/>
  <c r="GM17" i="4448"/>
  <c r="GM18" i="4448"/>
  <c r="GM19" i="4448"/>
  <c r="GM20" i="4448"/>
  <c r="GM21" i="4448"/>
  <c r="GM22" i="4448"/>
  <c r="GM23" i="4448"/>
  <c r="GM24" i="4448"/>
  <c r="GM25" i="4448"/>
  <c r="GM26" i="4448"/>
  <c r="GM27" i="4448"/>
  <c r="GM28" i="4448"/>
  <c r="GM29" i="4448"/>
  <c r="GM30" i="4448"/>
  <c r="GM31" i="4448"/>
  <c r="GM33" i="4448"/>
  <c r="GM34" i="4448"/>
  <c r="GM35" i="4448"/>
  <c r="GM36" i="4448"/>
  <c r="GM37" i="4448"/>
  <c r="GM38" i="4448"/>
  <c r="GM39" i="4448"/>
  <c r="GM40" i="4448"/>
  <c r="GM41" i="4448"/>
  <c r="GM42" i="4448"/>
  <c r="GM43" i="4448"/>
  <c r="GM44" i="4448"/>
  <c r="GM45" i="4448"/>
  <c r="GM46" i="4448"/>
  <c r="GM47" i="4448"/>
  <c r="GM48" i="4448"/>
  <c r="GM49" i="4448"/>
  <c r="GM50" i="4448"/>
  <c r="GM51" i="4448"/>
  <c r="GM52" i="4448"/>
  <c r="GM53" i="4448"/>
  <c r="GM54" i="4448"/>
  <c r="GM55" i="4448"/>
  <c r="GM56" i="4448"/>
  <c r="GM57" i="4448"/>
  <c r="GM58" i="4448"/>
  <c r="GM59" i="4448"/>
  <c r="GM60" i="4448"/>
  <c r="GM61" i="4448"/>
  <c r="GM62" i="4448"/>
  <c r="GM63" i="4448"/>
  <c r="GM64" i="4448"/>
  <c r="GM65" i="4448"/>
  <c r="GM66" i="4448"/>
  <c r="GM67" i="4448"/>
  <c r="GM68" i="4448"/>
  <c r="GM69" i="4448"/>
  <c r="GM70" i="4448"/>
  <c r="GM71" i="4448"/>
  <c r="GM72" i="4448"/>
  <c r="GM73" i="4448"/>
  <c r="GM74" i="4448"/>
  <c r="GM75" i="4448"/>
  <c r="GM76" i="4448"/>
  <c r="GM77" i="4448"/>
  <c r="GM78" i="4448"/>
  <c r="GM79" i="4448"/>
  <c r="GM80" i="4448"/>
  <c r="GM81" i="4448"/>
  <c r="GM82" i="4448"/>
  <c r="GM83" i="4448"/>
  <c r="GM84" i="4448"/>
  <c r="GM85" i="4448"/>
  <c r="GM86" i="4448"/>
  <c r="GM87" i="4448"/>
  <c r="GM88" i="4448"/>
  <c r="GM89" i="4448"/>
  <c r="GM90" i="4448"/>
  <c r="GM91" i="4448"/>
  <c r="GM92" i="4448"/>
  <c r="GM93" i="4448"/>
  <c r="GM94" i="4448"/>
  <c r="GM95" i="4448"/>
  <c r="GM96" i="4448"/>
  <c r="GM97" i="4448"/>
  <c r="GM98" i="4448"/>
  <c r="GM99" i="4448"/>
  <c r="GM100" i="4448"/>
  <c r="GL102" i="4448"/>
  <c r="GL103" i="4448"/>
  <c r="GL5" i="4448"/>
  <c r="GL6" i="4448"/>
  <c r="GL7" i="4448"/>
  <c r="GL8" i="4448"/>
  <c r="GL9" i="4448"/>
  <c r="GL10" i="4448"/>
  <c r="GL11" i="4448"/>
  <c r="GL12" i="4448"/>
  <c r="GL13" i="4448"/>
  <c r="GL14" i="4448"/>
  <c r="GL15" i="4448"/>
  <c r="GL16" i="4448"/>
  <c r="GL17" i="4448"/>
  <c r="GL18" i="4448"/>
  <c r="GL19" i="4448"/>
  <c r="GL20" i="4448"/>
  <c r="GL21" i="4448"/>
  <c r="GL22" i="4448"/>
  <c r="GL23" i="4448"/>
  <c r="GL24" i="4448"/>
  <c r="GL25" i="4448"/>
  <c r="GL26" i="4448"/>
  <c r="GL27" i="4448"/>
  <c r="GL28" i="4448"/>
  <c r="GL29" i="4448"/>
  <c r="GL30" i="4448"/>
  <c r="GL31" i="4448"/>
  <c r="GL32" i="4448"/>
  <c r="GL33" i="4448"/>
  <c r="GL34" i="4448"/>
  <c r="GL35" i="4448"/>
  <c r="GL36" i="4448"/>
  <c r="GL37" i="4448"/>
  <c r="GL38" i="4448"/>
  <c r="GL39" i="4448"/>
  <c r="GL40" i="4448"/>
  <c r="GL41" i="4448"/>
  <c r="GL42" i="4448"/>
  <c r="GL43" i="4448"/>
  <c r="GL44" i="4448"/>
  <c r="GL45" i="4448"/>
  <c r="GL46" i="4448"/>
  <c r="GL47" i="4448"/>
  <c r="GL48" i="4448"/>
  <c r="GL49" i="4448"/>
  <c r="GL50" i="4448"/>
  <c r="GL51" i="4448"/>
  <c r="GL52" i="4448"/>
  <c r="GL53" i="4448"/>
  <c r="GL54" i="4448"/>
  <c r="GL55" i="4448"/>
  <c r="GL56" i="4448"/>
  <c r="GL57" i="4448"/>
  <c r="GL58" i="4448"/>
  <c r="GL59" i="4448"/>
  <c r="GL60" i="4448"/>
  <c r="GL61" i="4448"/>
  <c r="GL62" i="4448"/>
  <c r="GL63" i="4448"/>
  <c r="GL64" i="4448"/>
  <c r="GL65" i="4448"/>
  <c r="GL66" i="4448"/>
  <c r="GL67" i="4448"/>
  <c r="GL68" i="4448"/>
  <c r="GL69" i="4448"/>
  <c r="GL70" i="4448"/>
  <c r="GL71" i="4448"/>
  <c r="GL72" i="4448"/>
  <c r="GL73" i="4448"/>
  <c r="GL74" i="4448"/>
  <c r="GL75" i="4448"/>
  <c r="GL76" i="4448"/>
  <c r="GL77" i="4448"/>
  <c r="GL78" i="4448"/>
  <c r="GL79" i="4448"/>
  <c r="GL80" i="4448"/>
  <c r="GL81" i="4448"/>
  <c r="GL82" i="4448"/>
  <c r="GL83" i="4448"/>
  <c r="GL84" i="4448"/>
  <c r="GL85" i="4448"/>
  <c r="GL86" i="4448"/>
  <c r="GL87" i="4448"/>
  <c r="GL88" i="4448"/>
  <c r="GL89" i="4448"/>
  <c r="GL90" i="4448"/>
  <c r="GL91" i="4448"/>
  <c r="GL92" i="4448"/>
  <c r="GL93" i="4448"/>
  <c r="GL94" i="4448"/>
  <c r="GL95" i="4448"/>
  <c r="GL96" i="4448"/>
  <c r="GL97" i="4448"/>
  <c r="GL98" i="4448"/>
  <c r="GL99" i="4448"/>
  <c r="GL100" i="4448"/>
  <c r="DU96" i="4448"/>
  <c r="DY96" i="4448"/>
  <c r="DX97" i="4448"/>
  <c r="DN96" i="4448"/>
  <c r="EA97" i="4448"/>
  <c r="EG96" i="4448"/>
  <c r="DE96" i="4448"/>
  <c r="CX98" i="4448"/>
  <c r="CY97" i="4448"/>
  <c r="DM96" i="4448"/>
  <c r="DZ96" i="4448"/>
  <c r="CZ97" i="4448"/>
  <c r="DI96" i="4448"/>
  <c r="DJ97" i="4448"/>
  <c r="DV97" i="4448"/>
  <c r="EE97" i="4448"/>
  <c r="EI96" i="4448"/>
  <c r="DC96" i="4448"/>
  <c r="DG97" i="4448"/>
  <c r="DO96" i="4448"/>
  <c r="DW97" i="4448"/>
  <c r="EF97" i="4448"/>
  <c r="EK97" i="4448"/>
  <c r="DF97" i="4448"/>
  <c r="EC96" i="4448"/>
  <c r="EJ96" i="4448"/>
  <c r="EH96" i="4448"/>
  <c r="DS96" i="4448"/>
  <c r="EL100" i="4448"/>
  <c r="DR96" i="4448"/>
  <c r="DT96" i="4448"/>
  <c r="DP96" i="4448"/>
  <c r="DL98" i="4448"/>
  <c r="DK97" i="4448"/>
  <c r="DH97" i="4448"/>
  <c r="DD96" i="4448"/>
  <c r="DA96" i="4448"/>
  <c r="ED96" i="4448"/>
  <c r="K97" i="4452"/>
  <c r="EB97" i="4448"/>
  <c r="DB96" i="4448"/>
  <c r="EG97" i="4448" l="1"/>
  <c r="EA98" i="4448"/>
  <c r="DF98" i="4448"/>
  <c r="DS97" i="4448"/>
  <c r="DL99" i="4448"/>
  <c r="DN97" i="4448"/>
  <c r="CZ98" i="4448"/>
  <c r="EE98" i="4448"/>
  <c r="DV98" i="4448"/>
  <c r="CY98" i="4448"/>
  <c r="DX98" i="4448"/>
  <c r="DK98" i="4448"/>
  <c r="DZ97" i="4448"/>
  <c r="DM97" i="4448"/>
  <c r="DT97" i="4448"/>
  <c r="EJ97" i="4448"/>
  <c r="EK98" i="4448"/>
  <c r="DP97" i="4448"/>
  <c r="DA97" i="4448"/>
  <c r="DR97" i="4448"/>
  <c r="DO97" i="4448"/>
  <c r="DJ98" i="4448"/>
  <c r="CX99" i="4448"/>
  <c r="DY97" i="4448"/>
  <c r="DC97" i="4448"/>
  <c r="EI97" i="4448"/>
  <c r="EF98" i="4448"/>
  <c r="DW98" i="4448"/>
  <c r="DD97" i="4448"/>
  <c r="EH97" i="4448"/>
  <c r="ED97" i="4448"/>
  <c r="DH98" i="4448"/>
  <c r="EL101" i="4448"/>
  <c r="EC97" i="4448"/>
  <c r="DG98" i="4448"/>
  <c r="DI97" i="4448"/>
  <c r="DE97" i="4448"/>
  <c r="DU97" i="4448"/>
  <c r="J95" i="4452"/>
  <c r="K98" i="4452"/>
  <c r="EB98" i="4448"/>
  <c r="DB97" i="4448"/>
  <c r="DD98" i="4448" l="1"/>
  <c r="DN98" i="4448"/>
  <c r="DL100" i="4448"/>
  <c r="CX100" i="4448"/>
  <c r="DW99" i="4448"/>
  <c r="DU98" i="4448"/>
  <c r="CY99" i="4448"/>
  <c r="DS98" i="4448"/>
  <c r="EC98" i="4448"/>
  <c r="EJ98" i="4448"/>
  <c r="EI98" i="4448"/>
  <c r="DR98" i="4448"/>
  <c r="DT98" i="4448"/>
  <c r="DV99" i="4448"/>
  <c r="DF99" i="4448"/>
  <c r="DK99" i="4448"/>
  <c r="EK99" i="4448"/>
  <c r="DO98" i="4448"/>
  <c r="DE98" i="4448"/>
  <c r="DI98" i="4448"/>
  <c r="DC98" i="4448"/>
  <c r="DM98" i="4448"/>
  <c r="EE99" i="4448"/>
  <c r="EA99" i="4448"/>
  <c r="DJ99" i="4448"/>
  <c r="DH99" i="4448"/>
  <c r="ED98" i="4448"/>
  <c r="EH98" i="4448"/>
  <c r="DP98" i="4448"/>
  <c r="DX99" i="4448"/>
  <c r="EL102" i="4448"/>
  <c r="GK101" i="4448"/>
  <c r="EF99" i="4448"/>
  <c r="DG99" i="4448"/>
  <c r="DY98" i="4448"/>
  <c r="DA98" i="4448"/>
  <c r="DZ98" i="4448"/>
  <c r="CZ99" i="4448"/>
  <c r="EG98" i="4448"/>
  <c r="J96" i="4452"/>
  <c r="EB99" i="4448"/>
  <c r="DB98" i="4448"/>
  <c r="GK5" i="4448" l="1"/>
  <c r="GK13" i="4448"/>
  <c r="DR99" i="4448"/>
  <c r="DP99" i="4448"/>
  <c r="EA100" i="4448"/>
  <c r="DW100" i="4448"/>
  <c r="DO99" i="4448"/>
  <c r="EK100" i="4448"/>
  <c r="EJ99" i="4448"/>
  <c r="CX101" i="4448"/>
  <c r="EI99" i="4448"/>
  <c r="DM99" i="4448"/>
  <c r="DC99" i="4448"/>
  <c r="DY99" i="4448"/>
  <c r="EH99" i="4448"/>
  <c r="EC99" i="4448"/>
  <c r="DL101" i="4448"/>
  <c r="EE100" i="4448"/>
  <c r="DK100" i="4448"/>
  <c r="DF100" i="4448"/>
  <c r="DH100" i="4448"/>
  <c r="DV100" i="4448"/>
  <c r="DU99" i="4448"/>
  <c r="DZ99" i="4448"/>
  <c r="DS99" i="4448"/>
  <c r="DN99" i="4448"/>
  <c r="DG100" i="4448"/>
  <c r="ED99" i="4448"/>
  <c r="DI99" i="4448"/>
  <c r="DX100" i="4448"/>
  <c r="DJ100" i="4448"/>
  <c r="DE99" i="4448"/>
  <c r="DT99" i="4448"/>
  <c r="EG99" i="4448"/>
  <c r="EF100" i="4448"/>
  <c r="CZ100" i="4448"/>
  <c r="GK102" i="4448"/>
  <c r="EL105" i="4448"/>
  <c r="GK6" i="4448"/>
  <c r="GK7" i="4448"/>
  <c r="GK8" i="4448"/>
  <c r="GK9" i="4448"/>
  <c r="GK10" i="4448"/>
  <c r="GK11" i="4448"/>
  <c r="GK12" i="4448"/>
  <c r="GK14" i="4448"/>
  <c r="GK15" i="4448"/>
  <c r="GK16" i="4448"/>
  <c r="GK17" i="4448"/>
  <c r="GK18" i="4448"/>
  <c r="GK19" i="4448"/>
  <c r="GK20" i="4448"/>
  <c r="GK21" i="4448"/>
  <c r="GK22" i="4448"/>
  <c r="GK23" i="4448"/>
  <c r="GK24" i="4448"/>
  <c r="GK25" i="4448"/>
  <c r="GK26" i="4448"/>
  <c r="GK27" i="4448"/>
  <c r="GK28" i="4448"/>
  <c r="GK29" i="4448"/>
  <c r="GK30" i="4448"/>
  <c r="GK31" i="4448"/>
  <c r="GK32" i="4448"/>
  <c r="GK33" i="4448"/>
  <c r="GK34" i="4448"/>
  <c r="GK35" i="4448"/>
  <c r="GK36" i="4448"/>
  <c r="GK37" i="4448"/>
  <c r="GK38" i="4448"/>
  <c r="GK39" i="4448"/>
  <c r="GK40" i="4448"/>
  <c r="GK41" i="4448"/>
  <c r="GK42" i="4448"/>
  <c r="GK43" i="4448"/>
  <c r="GK44" i="4448"/>
  <c r="GK45" i="4448"/>
  <c r="GK46" i="4448"/>
  <c r="GK47" i="4448"/>
  <c r="GK48" i="4448"/>
  <c r="GK49" i="4448"/>
  <c r="GK50" i="4448"/>
  <c r="GK51" i="4448"/>
  <c r="GK52" i="4448"/>
  <c r="GK53" i="4448"/>
  <c r="GK54" i="4448"/>
  <c r="GK55" i="4448"/>
  <c r="GK56" i="4448"/>
  <c r="GK57" i="4448"/>
  <c r="GK58" i="4448"/>
  <c r="GK59" i="4448"/>
  <c r="GK60" i="4448"/>
  <c r="GK61" i="4448"/>
  <c r="GK62" i="4448"/>
  <c r="GK63" i="4448"/>
  <c r="GK64" i="4448"/>
  <c r="GK65" i="4448"/>
  <c r="GK66" i="4448"/>
  <c r="GK67" i="4448"/>
  <c r="GK68" i="4448"/>
  <c r="GK69" i="4448"/>
  <c r="GK70" i="4448"/>
  <c r="GK71" i="4448"/>
  <c r="GK72" i="4448"/>
  <c r="GK73" i="4448"/>
  <c r="GK74" i="4448"/>
  <c r="GK75" i="4448"/>
  <c r="GK76" i="4448"/>
  <c r="GK77" i="4448"/>
  <c r="GK78" i="4448"/>
  <c r="GK79" i="4448"/>
  <c r="GK80" i="4448"/>
  <c r="GK81" i="4448"/>
  <c r="GK82" i="4448"/>
  <c r="GK83" i="4448"/>
  <c r="GK84" i="4448"/>
  <c r="GK85" i="4448"/>
  <c r="GK86" i="4448"/>
  <c r="GK87" i="4448"/>
  <c r="GK88" i="4448"/>
  <c r="GK89" i="4448"/>
  <c r="GK90" i="4448"/>
  <c r="GK91" i="4448"/>
  <c r="GK92" i="4448"/>
  <c r="GK93" i="4448"/>
  <c r="GK94" i="4448"/>
  <c r="GK95" i="4448"/>
  <c r="GK96" i="4448"/>
  <c r="GK97" i="4448"/>
  <c r="GK98" i="4448"/>
  <c r="GK99" i="4448"/>
  <c r="GK100" i="4448"/>
  <c r="DA99" i="4448"/>
  <c r="CY100" i="4448"/>
  <c r="DD99" i="4448"/>
  <c r="DB99" i="4448"/>
  <c r="EB100" i="4448"/>
  <c r="J97" i="4452"/>
  <c r="DJ101" i="4448" l="1"/>
  <c r="DN100" i="4448"/>
  <c r="DF101" i="4448"/>
  <c r="DY100" i="4448"/>
  <c r="EK101" i="4448"/>
  <c r="CZ101" i="4448"/>
  <c r="DX101" i="4448"/>
  <c r="DS100" i="4448"/>
  <c r="DK101" i="4448"/>
  <c r="DC100" i="4448"/>
  <c r="DO100" i="4448"/>
  <c r="EF101" i="4448"/>
  <c r="DZ100" i="4448"/>
  <c r="EE101" i="4448"/>
  <c r="DM100" i="4448"/>
  <c r="DW101" i="4448"/>
  <c r="EG100" i="4448"/>
  <c r="DI100" i="4448"/>
  <c r="DU100" i="4448"/>
  <c r="DL102" i="4448"/>
  <c r="FK101" i="4448" s="1"/>
  <c r="CY101" i="4448"/>
  <c r="EI100" i="4448"/>
  <c r="EA101" i="4448"/>
  <c r="DT100" i="4448"/>
  <c r="ED100" i="4448"/>
  <c r="DV101" i="4448"/>
  <c r="DA100" i="4448"/>
  <c r="EC100" i="4448"/>
  <c r="CX102" i="4448"/>
  <c r="EW101" i="4448"/>
  <c r="DP100" i="4448"/>
  <c r="DD100" i="4448"/>
  <c r="DE100" i="4448"/>
  <c r="DG101" i="4448"/>
  <c r="DH101" i="4448"/>
  <c r="EH100" i="4448"/>
  <c r="EJ100" i="4448"/>
  <c r="DR100" i="4448"/>
  <c r="EB101" i="4448"/>
  <c r="J98" i="4452"/>
  <c r="DB100" i="4448"/>
  <c r="EA102" i="4448" l="1"/>
  <c r="FZ101" i="4448" s="1"/>
  <c r="DO101" i="4448"/>
  <c r="EC101" i="4448"/>
  <c r="EK102" i="4448"/>
  <c r="GJ101" i="4448" s="1"/>
  <c r="EG101" i="4448"/>
  <c r="CZ102" i="4448"/>
  <c r="EY101" i="4448" s="1"/>
  <c r="DC101" i="4448"/>
  <c r="DY101" i="4448"/>
  <c r="DW102" i="4448"/>
  <c r="FV101" i="4448" s="1"/>
  <c r="DA101" i="4448"/>
  <c r="DR101" i="4448"/>
  <c r="EE102" i="4448"/>
  <c r="DK102" i="4448"/>
  <c r="FJ101" i="4448" s="1"/>
  <c r="DF102" i="4448"/>
  <c r="FE101" i="4448" s="1"/>
  <c r="EI101" i="4448"/>
  <c r="DM101" i="4448"/>
  <c r="DL105" i="4448"/>
  <c r="FK102" i="4448"/>
  <c r="FK7" i="4448"/>
  <c r="FK5" i="4448"/>
  <c r="FK6" i="4448"/>
  <c r="FK8" i="4448"/>
  <c r="FK9" i="4448"/>
  <c r="FK10" i="4448"/>
  <c r="FK11" i="4448"/>
  <c r="FK12" i="4448"/>
  <c r="FK13" i="4448"/>
  <c r="FK14" i="4448"/>
  <c r="FK15" i="4448"/>
  <c r="FK16" i="4448"/>
  <c r="FK17" i="4448"/>
  <c r="FK18" i="4448"/>
  <c r="FK19" i="4448"/>
  <c r="FK20" i="4448"/>
  <c r="FK21" i="4448"/>
  <c r="FK22" i="4448"/>
  <c r="FK23" i="4448"/>
  <c r="FK24" i="4448"/>
  <c r="FK25" i="4448"/>
  <c r="FK26" i="4448"/>
  <c r="FK27" i="4448"/>
  <c r="FK28" i="4448"/>
  <c r="FK29" i="4448"/>
  <c r="FK30" i="4448"/>
  <c r="FK31" i="4448"/>
  <c r="FK32" i="4448"/>
  <c r="FK33" i="4448"/>
  <c r="FK34" i="4448"/>
  <c r="FK35" i="4448"/>
  <c r="FK36" i="4448"/>
  <c r="FK37" i="4448"/>
  <c r="FK38" i="4448"/>
  <c r="FK39" i="4448"/>
  <c r="FK40" i="4448"/>
  <c r="FK41" i="4448"/>
  <c r="FK42" i="4448"/>
  <c r="FK43" i="4448"/>
  <c r="FK44" i="4448"/>
  <c r="FK45" i="4448"/>
  <c r="FK46" i="4448"/>
  <c r="FK47" i="4448"/>
  <c r="FK48" i="4448"/>
  <c r="FK49" i="4448"/>
  <c r="FK50" i="4448"/>
  <c r="FK51" i="4448"/>
  <c r="FK52" i="4448"/>
  <c r="FK53" i="4448"/>
  <c r="FK54" i="4448"/>
  <c r="FK55" i="4448"/>
  <c r="FK56" i="4448"/>
  <c r="FK57" i="4448"/>
  <c r="FK58" i="4448"/>
  <c r="FK59" i="4448"/>
  <c r="FK60" i="4448"/>
  <c r="FK61" i="4448"/>
  <c r="FK62" i="4448"/>
  <c r="FK63" i="4448"/>
  <c r="FK64" i="4448"/>
  <c r="FK65" i="4448"/>
  <c r="FK66" i="4448"/>
  <c r="FK67" i="4448"/>
  <c r="FK68" i="4448"/>
  <c r="FK69" i="4448"/>
  <c r="FK70" i="4448"/>
  <c r="FK71" i="4448"/>
  <c r="FK72" i="4448"/>
  <c r="FK73" i="4448"/>
  <c r="FK74" i="4448"/>
  <c r="FK75" i="4448"/>
  <c r="FK76" i="4448"/>
  <c r="FK77" i="4448"/>
  <c r="FK78" i="4448"/>
  <c r="FK79" i="4448"/>
  <c r="FK80" i="4448"/>
  <c r="FK81" i="4448"/>
  <c r="FK82" i="4448"/>
  <c r="FK83" i="4448"/>
  <c r="FK84" i="4448"/>
  <c r="FK85" i="4448"/>
  <c r="FK86" i="4448"/>
  <c r="FK87" i="4448"/>
  <c r="FK88" i="4448"/>
  <c r="FK89" i="4448"/>
  <c r="FK90" i="4448"/>
  <c r="FK91" i="4448"/>
  <c r="FK92" i="4448"/>
  <c r="FK93" i="4448"/>
  <c r="FK94" i="4448"/>
  <c r="FK95" i="4448"/>
  <c r="FK96" i="4448"/>
  <c r="FK97" i="4448"/>
  <c r="FK98" i="4448"/>
  <c r="FK99" i="4448"/>
  <c r="FK100" i="4448"/>
  <c r="DU101" i="4448"/>
  <c r="DH102" i="4448"/>
  <c r="FG101" i="4448" s="1"/>
  <c r="CY102" i="4448"/>
  <c r="EX101" i="4448" s="1"/>
  <c r="DE101" i="4448"/>
  <c r="DV102" i="4448"/>
  <c r="FU101" i="4448" s="1"/>
  <c r="EJ101" i="4448"/>
  <c r="DZ101" i="4448"/>
  <c r="DS101" i="4448"/>
  <c r="DN101" i="4448"/>
  <c r="DG102" i="4448"/>
  <c r="FF101" i="4448" s="1"/>
  <c r="DP101" i="4448"/>
  <c r="DT101" i="4448"/>
  <c r="DI101" i="4448"/>
  <c r="DD101" i="4448"/>
  <c r="ED101" i="4448"/>
  <c r="EH101" i="4448"/>
  <c r="CX105" i="4448"/>
  <c r="EW102" i="4448"/>
  <c r="EW6" i="4448"/>
  <c r="EW5" i="4448"/>
  <c r="EW7" i="4448"/>
  <c r="EW8" i="4448"/>
  <c r="EW9" i="4448"/>
  <c r="EW10" i="4448"/>
  <c r="EW11" i="4448"/>
  <c r="EW12" i="4448"/>
  <c r="EW13" i="4448"/>
  <c r="EW14" i="4448"/>
  <c r="EW15" i="4448"/>
  <c r="EW16" i="4448"/>
  <c r="EW17" i="4448"/>
  <c r="EW18" i="4448"/>
  <c r="EW19" i="4448"/>
  <c r="EW20" i="4448"/>
  <c r="EW21" i="4448"/>
  <c r="EW22" i="4448"/>
  <c r="EW23" i="4448"/>
  <c r="EW24" i="4448"/>
  <c r="EW25" i="4448"/>
  <c r="EW26" i="4448"/>
  <c r="EW27" i="4448"/>
  <c r="EW28" i="4448"/>
  <c r="EW29" i="4448"/>
  <c r="EW30" i="4448"/>
  <c r="EW31" i="4448"/>
  <c r="EW32" i="4448"/>
  <c r="EW33" i="4448"/>
  <c r="EW34" i="4448"/>
  <c r="EW35" i="4448"/>
  <c r="EW36" i="4448"/>
  <c r="EW37" i="4448"/>
  <c r="EW38" i="4448"/>
  <c r="EW39" i="4448"/>
  <c r="EW40" i="4448"/>
  <c r="EW41" i="4448"/>
  <c r="EW42" i="4448"/>
  <c r="EW43" i="4448"/>
  <c r="EW44" i="4448"/>
  <c r="EW45" i="4448"/>
  <c r="EW46" i="4448"/>
  <c r="EW47" i="4448"/>
  <c r="EW48" i="4448"/>
  <c r="EW49" i="4448"/>
  <c r="EW50" i="4448"/>
  <c r="EW51" i="4448"/>
  <c r="EW52" i="4448"/>
  <c r="EW53" i="4448"/>
  <c r="EW54" i="4448"/>
  <c r="EW55" i="4448"/>
  <c r="EW56" i="4448"/>
  <c r="EW57" i="4448"/>
  <c r="EW58" i="4448"/>
  <c r="EW59" i="4448"/>
  <c r="EW60" i="4448"/>
  <c r="EW61" i="4448"/>
  <c r="EW62" i="4448"/>
  <c r="EW63" i="4448"/>
  <c r="EW64" i="4448"/>
  <c r="EW65" i="4448"/>
  <c r="EW66" i="4448"/>
  <c r="EW67" i="4448"/>
  <c r="EW68" i="4448"/>
  <c r="EW69" i="4448"/>
  <c r="EW70" i="4448"/>
  <c r="EW71" i="4448"/>
  <c r="EW72" i="4448"/>
  <c r="EW73" i="4448"/>
  <c r="EW74" i="4448"/>
  <c r="EW75" i="4448"/>
  <c r="EW76" i="4448"/>
  <c r="EW77" i="4448"/>
  <c r="EW78" i="4448"/>
  <c r="EW79" i="4448"/>
  <c r="EW80" i="4448"/>
  <c r="EW81" i="4448"/>
  <c r="EW82" i="4448"/>
  <c r="EW83" i="4448"/>
  <c r="EW84" i="4448"/>
  <c r="EW85" i="4448"/>
  <c r="EW86" i="4448"/>
  <c r="EW87" i="4448"/>
  <c r="EW88" i="4448"/>
  <c r="EW89" i="4448"/>
  <c r="EW90" i="4448"/>
  <c r="EW91" i="4448"/>
  <c r="EW92" i="4448"/>
  <c r="EW93" i="4448"/>
  <c r="EW94" i="4448"/>
  <c r="EW95" i="4448"/>
  <c r="EW96" i="4448"/>
  <c r="EW97" i="4448"/>
  <c r="EW98" i="4448"/>
  <c r="EW99" i="4448"/>
  <c r="EW100" i="4448"/>
  <c r="EF102" i="4448"/>
  <c r="DX102" i="4448"/>
  <c r="FW101" i="4448" s="1"/>
  <c r="DJ102" i="4448"/>
  <c r="FI101" i="4448" s="1"/>
  <c r="EB102" i="4448"/>
  <c r="GA101" i="4448" s="1"/>
  <c r="DB101" i="4448"/>
  <c r="GE101" i="4448" l="1"/>
  <c r="GD101" i="4448"/>
  <c r="DT102" i="4448"/>
  <c r="FS101" i="4448" s="1"/>
  <c r="EJ102" i="4448"/>
  <c r="GI101" i="4448"/>
  <c r="DR102" i="4448"/>
  <c r="FQ101" i="4448" s="1"/>
  <c r="EG102" i="4448"/>
  <c r="EH102" i="4448"/>
  <c r="GG101" i="4448" s="1"/>
  <c r="DP102" i="4448"/>
  <c r="FO101" i="4448" s="1"/>
  <c r="DV105" i="4448"/>
  <c r="FU102" i="4448"/>
  <c r="FU5" i="4448"/>
  <c r="FU6" i="4448"/>
  <c r="FU7" i="4448"/>
  <c r="FU8" i="4448"/>
  <c r="FU9" i="4448"/>
  <c r="FU10" i="4448"/>
  <c r="FU11" i="4448"/>
  <c r="FU12" i="4448"/>
  <c r="FU13" i="4448"/>
  <c r="FU14" i="4448"/>
  <c r="FU15" i="4448"/>
  <c r="FU16" i="4448"/>
  <c r="FU17" i="4448"/>
  <c r="FU18" i="4448"/>
  <c r="FU19" i="4448"/>
  <c r="FU20" i="4448"/>
  <c r="FU21" i="4448"/>
  <c r="FU22" i="4448"/>
  <c r="FU23" i="4448"/>
  <c r="FU24" i="4448"/>
  <c r="FU25" i="4448"/>
  <c r="FU26" i="4448"/>
  <c r="FU27" i="4448"/>
  <c r="FU28" i="4448"/>
  <c r="FU29" i="4448"/>
  <c r="FU30" i="4448"/>
  <c r="FU31" i="4448"/>
  <c r="FU32" i="4448"/>
  <c r="FU33" i="4448"/>
  <c r="FU34" i="4448"/>
  <c r="FU35" i="4448"/>
  <c r="FU36" i="4448"/>
  <c r="FU37" i="4448"/>
  <c r="FU38" i="4448"/>
  <c r="FU39" i="4448"/>
  <c r="FU40" i="4448"/>
  <c r="FU41" i="4448"/>
  <c r="FU42" i="4448"/>
  <c r="FU43" i="4448"/>
  <c r="FU44" i="4448"/>
  <c r="FU45" i="4448"/>
  <c r="FU46" i="4448"/>
  <c r="FU47" i="4448"/>
  <c r="FU48" i="4448"/>
  <c r="FU49" i="4448"/>
  <c r="FU50" i="4448"/>
  <c r="FU51" i="4448"/>
  <c r="FU52" i="4448"/>
  <c r="FU53" i="4448"/>
  <c r="FU54" i="4448"/>
  <c r="FU55" i="4448"/>
  <c r="FU56" i="4448"/>
  <c r="FU57" i="4448"/>
  <c r="FU58" i="4448"/>
  <c r="FU59" i="4448"/>
  <c r="FU60" i="4448"/>
  <c r="FU61" i="4448"/>
  <c r="FU62" i="4448"/>
  <c r="FU63" i="4448"/>
  <c r="FU64" i="4448"/>
  <c r="FU65" i="4448"/>
  <c r="FU66" i="4448"/>
  <c r="FU67" i="4448"/>
  <c r="FU68" i="4448"/>
  <c r="FU69" i="4448"/>
  <c r="FU70" i="4448"/>
  <c r="FU71" i="4448"/>
  <c r="FU72" i="4448"/>
  <c r="FU73" i="4448"/>
  <c r="FU74" i="4448"/>
  <c r="FU75" i="4448"/>
  <c r="FU76" i="4448"/>
  <c r="FU77" i="4448"/>
  <c r="FU78" i="4448"/>
  <c r="FU79" i="4448"/>
  <c r="FU80" i="4448"/>
  <c r="FU81" i="4448"/>
  <c r="FU82" i="4448"/>
  <c r="FU83" i="4448"/>
  <c r="FU84" i="4448"/>
  <c r="FU85" i="4448"/>
  <c r="FU86" i="4448"/>
  <c r="FU87" i="4448"/>
  <c r="FU88" i="4448"/>
  <c r="FU89" i="4448"/>
  <c r="FU90" i="4448"/>
  <c r="FU91" i="4448"/>
  <c r="FU92" i="4448"/>
  <c r="FU93" i="4448"/>
  <c r="FU94" i="4448"/>
  <c r="FU95" i="4448"/>
  <c r="FU96" i="4448"/>
  <c r="FU97" i="4448"/>
  <c r="FU98" i="4448"/>
  <c r="FU99" i="4448"/>
  <c r="FU100" i="4448"/>
  <c r="DM102" i="4448"/>
  <c r="FL101" i="4448" s="1"/>
  <c r="DA102" i="4448"/>
  <c r="EZ101" i="4448" s="1"/>
  <c r="GJ102" i="4448"/>
  <c r="EK105" i="4448"/>
  <c r="GJ5" i="4448"/>
  <c r="GJ6" i="4448"/>
  <c r="GJ7" i="4448"/>
  <c r="GJ8" i="4448"/>
  <c r="GJ9" i="4448"/>
  <c r="GJ10" i="4448"/>
  <c r="GJ11" i="4448"/>
  <c r="GJ12" i="4448"/>
  <c r="GJ13" i="4448"/>
  <c r="GJ14" i="4448"/>
  <c r="GJ15" i="4448"/>
  <c r="GJ16" i="4448"/>
  <c r="GJ17" i="4448"/>
  <c r="GJ18" i="4448"/>
  <c r="GJ19" i="4448"/>
  <c r="GJ20" i="4448"/>
  <c r="GJ21" i="4448"/>
  <c r="GJ22" i="4448"/>
  <c r="GJ23" i="4448"/>
  <c r="GJ24" i="4448"/>
  <c r="GJ25" i="4448"/>
  <c r="GJ26" i="4448"/>
  <c r="GJ27" i="4448"/>
  <c r="GJ28" i="4448"/>
  <c r="GJ29" i="4448"/>
  <c r="GJ30" i="4448"/>
  <c r="GJ31" i="4448"/>
  <c r="GJ32" i="4448"/>
  <c r="GJ33" i="4448"/>
  <c r="GJ34" i="4448"/>
  <c r="GJ35" i="4448"/>
  <c r="GJ36" i="4448"/>
  <c r="GJ37" i="4448"/>
  <c r="GJ38" i="4448"/>
  <c r="GJ39" i="4448"/>
  <c r="GJ40" i="4448"/>
  <c r="GJ41" i="4448"/>
  <c r="GJ42" i="4448"/>
  <c r="GJ43" i="4448"/>
  <c r="GJ44" i="4448"/>
  <c r="GJ45" i="4448"/>
  <c r="GJ46" i="4448"/>
  <c r="GJ47" i="4448"/>
  <c r="GJ48" i="4448"/>
  <c r="GJ49" i="4448"/>
  <c r="GJ50" i="4448"/>
  <c r="GJ51" i="4448"/>
  <c r="GJ52" i="4448"/>
  <c r="GJ53" i="4448"/>
  <c r="GJ54" i="4448"/>
  <c r="GJ55" i="4448"/>
  <c r="GJ56" i="4448"/>
  <c r="GJ57" i="4448"/>
  <c r="GJ58" i="4448"/>
  <c r="GJ59" i="4448"/>
  <c r="GJ60" i="4448"/>
  <c r="GJ61" i="4448"/>
  <c r="GJ62" i="4448"/>
  <c r="GJ63" i="4448"/>
  <c r="GJ64" i="4448"/>
  <c r="GJ65" i="4448"/>
  <c r="GJ66" i="4448"/>
  <c r="GJ67" i="4448"/>
  <c r="GJ68" i="4448"/>
  <c r="GJ69" i="4448"/>
  <c r="GJ70" i="4448"/>
  <c r="GJ71" i="4448"/>
  <c r="GJ72" i="4448"/>
  <c r="GJ73" i="4448"/>
  <c r="GJ74" i="4448"/>
  <c r="GJ75" i="4448"/>
  <c r="GJ76" i="4448"/>
  <c r="GJ77" i="4448"/>
  <c r="GJ78" i="4448"/>
  <c r="GJ79" i="4448"/>
  <c r="GJ80" i="4448"/>
  <c r="GJ81" i="4448"/>
  <c r="GJ82" i="4448"/>
  <c r="GJ83" i="4448"/>
  <c r="GJ84" i="4448"/>
  <c r="GJ85" i="4448"/>
  <c r="GJ86" i="4448"/>
  <c r="GJ87" i="4448"/>
  <c r="GJ88" i="4448"/>
  <c r="GJ89" i="4448"/>
  <c r="GJ90" i="4448"/>
  <c r="GJ91" i="4448"/>
  <c r="GJ92" i="4448"/>
  <c r="GJ93" i="4448"/>
  <c r="GJ94" i="4448"/>
  <c r="GJ95" i="4448"/>
  <c r="GJ96" i="4448"/>
  <c r="GJ97" i="4448"/>
  <c r="GJ98" i="4448"/>
  <c r="GJ99" i="4448"/>
  <c r="GJ100" i="4448"/>
  <c r="ED102" i="4448"/>
  <c r="DG105" i="4448"/>
  <c r="FF102" i="4448"/>
  <c r="FF6" i="4448"/>
  <c r="FF5" i="4448"/>
  <c r="FF7" i="4448"/>
  <c r="FF8" i="4448"/>
  <c r="FF9" i="4448"/>
  <c r="FF10" i="4448"/>
  <c r="FF11" i="4448"/>
  <c r="FF12" i="4448"/>
  <c r="FF13" i="4448"/>
  <c r="FF14" i="4448"/>
  <c r="FF15" i="4448"/>
  <c r="FF16" i="4448"/>
  <c r="FF17" i="4448"/>
  <c r="FF18" i="4448"/>
  <c r="FF19" i="4448"/>
  <c r="FF20" i="4448"/>
  <c r="FF21" i="4448"/>
  <c r="FF22" i="4448"/>
  <c r="FF23" i="4448"/>
  <c r="FF24" i="4448"/>
  <c r="FF25" i="4448"/>
  <c r="FF26" i="4448"/>
  <c r="FF27" i="4448"/>
  <c r="FF28" i="4448"/>
  <c r="FF29" i="4448"/>
  <c r="FF30" i="4448"/>
  <c r="FF31" i="4448"/>
  <c r="FF32" i="4448"/>
  <c r="FF33" i="4448"/>
  <c r="FF34" i="4448"/>
  <c r="FF35" i="4448"/>
  <c r="FF36" i="4448"/>
  <c r="FF37" i="4448"/>
  <c r="FF38" i="4448"/>
  <c r="FF39" i="4448"/>
  <c r="FF40" i="4448"/>
  <c r="FF41" i="4448"/>
  <c r="FF42" i="4448"/>
  <c r="FF43" i="4448"/>
  <c r="FF44" i="4448"/>
  <c r="FF45" i="4448"/>
  <c r="FF46" i="4448"/>
  <c r="FF47" i="4448"/>
  <c r="FF48" i="4448"/>
  <c r="FF49" i="4448"/>
  <c r="FF50" i="4448"/>
  <c r="FF51" i="4448"/>
  <c r="FF52" i="4448"/>
  <c r="FF53" i="4448"/>
  <c r="FF54" i="4448"/>
  <c r="FF55" i="4448"/>
  <c r="FF56" i="4448"/>
  <c r="FF57" i="4448"/>
  <c r="FF58" i="4448"/>
  <c r="FF59" i="4448"/>
  <c r="FF60" i="4448"/>
  <c r="FF61" i="4448"/>
  <c r="FF62" i="4448"/>
  <c r="FF63" i="4448"/>
  <c r="FF64" i="4448"/>
  <c r="FF65" i="4448"/>
  <c r="FF66" i="4448"/>
  <c r="FF67" i="4448"/>
  <c r="FF68" i="4448"/>
  <c r="FF69" i="4448"/>
  <c r="FF70" i="4448"/>
  <c r="FF71" i="4448"/>
  <c r="FF72" i="4448"/>
  <c r="FF73" i="4448"/>
  <c r="FF74" i="4448"/>
  <c r="FF75" i="4448"/>
  <c r="FF76" i="4448"/>
  <c r="FF77" i="4448"/>
  <c r="FF78" i="4448"/>
  <c r="FF79" i="4448"/>
  <c r="FF80" i="4448"/>
  <c r="FF81" i="4448"/>
  <c r="FF82" i="4448"/>
  <c r="FF83" i="4448"/>
  <c r="FF84" i="4448"/>
  <c r="FF85" i="4448"/>
  <c r="FF86" i="4448"/>
  <c r="FF87" i="4448"/>
  <c r="FF88" i="4448"/>
  <c r="FF89" i="4448"/>
  <c r="FF90" i="4448"/>
  <c r="FF91" i="4448"/>
  <c r="FF92" i="4448"/>
  <c r="FF93" i="4448"/>
  <c r="FF94" i="4448"/>
  <c r="FF95" i="4448"/>
  <c r="FF96" i="4448"/>
  <c r="FF97" i="4448"/>
  <c r="FF98" i="4448"/>
  <c r="FF99" i="4448"/>
  <c r="FF100" i="4448"/>
  <c r="DE102" i="4448"/>
  <c r="FD101" i="4448" s="1"/>
  <c r="EI102" i="4448"/>
  <c r="GH101" i="4448" s="1"/>
  <c r="DW105" i="4448"/>
  <c r="FV102" i="4448"/>
  <c r="FV5" i="4448"/>
  <c r="FV6" i="4448"/>
  <c r="FV7" i="4448"/>
  <c r="FV8" i="4448"/>
  <c r="FV9" i="4448"/>
  <c r="FV10" i="4448"/>
  <c r="FV11" i="4448"/>
  <c r="FV12" i="4448"/>
  <c r="FV13" i="4448"/>
  <c r="FV14" i="4448"/>
  <c r="FV15" i="4448"/>
  <c r="FV16" i="4448"/>
  <c r="FV17" i="4448"/>
  <c r="FV18" i="4448"/>
  <c r="FV19" i="4448"/>
  <c r="FV20" i="4448"/>
  <c r="FV21" i="4448"/>
  <c r="FV22" i="4448"/>
  <c r="FV23" i="4448"/>
  <c r="FV24" i="4448"/>
  <c r="FV25" i="4448"/>
  <c r="FV26" i="4448"/>
  <c r="FV27" i="4448"/>
  <c r="FV28" i="4448"/>
  <c r="FV29" i="4448"/>
  <c r="FV30" i="4448"/>
  <c r="FV31" i="4448"/>
  <c r="FV32" i="4448"/>
  <c r="FV33" i="4448"/>
  <c r="FV34" i="4448"/>
  <c r="FV35" i="4448"/>
  <c r="FV36" i="4448"/>
  <c r="FV37" i="4448"/>
  <c r="FV38" i="4448"/>
  <c r="FV39" i="4448"/>
  <c r="FV40" i="4448"/>
  <c r="FV41" i="4448"/>
  <c r="FV42" i="4448"/>
  <c r="FV43" i="4448"/>
  <c r="FV44" i="4448"/>
  <c r="FV45" i="4448"/>
  <c r="FV46" i="4448"/>
  <c r="FV47" i="4448"/>
  <c r="FV48" i="4448"/>
  <c r="FV49" i="4448"/>
  <c r="FV50" i="4448"/>
  <c r="FV51" i="4448"/>
  <c r="FV52" i="4448"/>
  <c r="FV53" i="4448"/>
  <c r="FV54" i="4448"/>
  <c r="FV55" i="4448"/>
  <c r="FV56" i="4448"/>
  <c r="FV57" i="4448"/>
  <c r="FV58" i="4448"/>
  <c r="FV59" i="4448"/>
  <c r="FV60" i="4448"/>
  <c r="FV61" i="4448"/>
  <c r="FV62" i="4448"/>
  <c r="FV63" i="4448"/>
  <c r="FV64" i="4448"/>
  <c r="FV65" i="4448"/>
  <c r="FV66" i="4448"/>
  <c r="FV67" i="4448"/>
  <c r="FV68" i="4448"/>
  <c r="FV69" i="4448"/>
  <c r="FV70" i="4448"/>
  <c r="FV71" i="4448"/>
  <c r="FV72" i="4448"/>
  <c r="FV73" i="4448"/>
  <c r="FV74" i="4448"/>
  <c r="FV75" i="4448"/>
  <c r="FV76" i="4448"/>
  <c r="FV77" i="4448"/>
  <c r="FV78" i="4448"/>
  <c r="FV79" i="4448"/>
  <c r="FV80" i="4448"/>
  <c r="FV81" i="4448"/>
  <c r="FV82" i="4448"/>
  <c r="FV83" i="4448"/>
  <c r="FV84" i="4448"/>
  <c r="FV85" i="4448"/>
  <c r="FV86" i="4448"/>
  <c r="FV87" i="4448"/>
  <c r="FV88" i="4448"/>
  <c r="FV89" i="4448"/>
  <c r="FV90" i="4448"/>
  <c r="FV91" i="4448"/>
  <c r="FV92" i="4448"/>
  <c r="FV93" i="4448"/>
  <c r="FV94" i="4448"/>
  <c r="FV95" i="4448"/>
  <c r="FV96" i="4448"/>
  <c r="FV97" i="4448"/>
  <c r="FV98" i="4448"/>
  <c r="FV99" i="4448"/>
  <c r="FV100" i="4448"/>
  <c r="DJ105" i="4448"/>
  <c r="FI102" i="4448"/>
  <c r="FI6" i="4448"/>
  <c r="FI5" i="4448"/>
  <c r="FI7" i="4448"/>
  <c r="FI8" i="4448"/>
  <c r="FI9" i="4448"/>
  <c r="FI10" i="4448"/>
  <c r="FI11" i="4448"/>
  <c r="FI12" i="4448"/>
  <c r="FI13" i="4448"/>
  <c r="FI14" i="4448"/>
  <c r="FI15" i="4448"/>
  <c r="FI16" i="4448"/>
  <c r="FI17" i="4448"/>
  <c r="FI18" i="4448"/>
  <c r="FI19" i="4448"/>
  <c r="FI20" i="4448"/>
  <c r="FI21" i="4448"/>
  <c r="FI22" i="4448"/>
  <c r="FI23" i="4448"/>
  <c r="FI24" i="4448"/>
  <c r="FI25" i="4448"/>
  <c r="FI26" i="4448"/>
  <c r="FI27" i="4448"/>
  <c r="FI28" i="4448"/>
  <c r="FI29" i="4448"/>
  <c r="FI30" i="4448"/>
  <c r="FI31" i="4448"/>
  <c r="FI32" i="4448"/>
  <c r="FI33" i="4448"/>
  <c r="FI34" i="4448"/>
  <c r="FI35" i="4448"/>
  <c r="FI36" i="4448"/>
  <c r="FI37" i="4448"/>
  <c r="FI38" i="4448"/>
  <c r="FI39" i="4448"/>
  <c r="FI40" i="4448"/>
  <c r="FI41" i="4448"/>
  <c r="FI42" i="4448"/>
  <c r="FI43" i="4448"/>
  <c r="FI44" i="4448"/>
  <c r="FI45" i="4448"/>
  <c r="FI46" i="4448"/>
  <c r="FI47" i="4448"/>
  <c r="FI48" i="4448"/>
  <c r="FI49" i="4448"/>
  <c r="FI50" i="4448"/>
  <c r="FI51" i="4448"/>
  <c r="FI52" i="4448"/>
  <c r="FI53" i="4448"/>
  <c r="FI54" i="4448"/>
  <c r="FI55" i="4448"/>
  <c r="FI56" i="4448"/>
  <c r="FI57" i="4448"/>
  <c r="FI58" i="4448"/>
  <c r="FI59" i="4448"/>
  <c r="FI60" i="4448"/>
  <c r="FI61" i="4448"/>
  <c r="FI62" i="4448"/>
  <c r="FI63" i="4448"/>
  <c r="FI64" i="4448"/>
  <c r="FI65" i="4448"/>
  <c r="FI66" i="4448"/>
  <c r="FI67" i="4448"/>
  <c r="FI68" i="4448"/>
  <c r="FI69" i="4448"/>
  <c r="FI70" i="4448"/>
  <c r="FI71" i="4448"/>
  <c r="FI72" i="4448"/>
  <c r="FI73" i="4448"/>
  <c r="FI74" i="4448"/>
  <c r="FI75" i="4448"/>
  <c r="FI76" i="4448"/>
  <c r="FI77" i="4448"/>
  <c r="FI78" i="4448"/>
  <c r="FI79" i="4448"/>
  <c r="FI80" i="4448"/>
  <c r="FI81" i="4448"/>
  <c r="FI82" i="4448"/>
  <c r="FI83" i="4448"/>
  <c r="FI84" i="4448"/>
  <c r="FI85" i="4448"/>
  <c r="FI86" i="4448"/>
  <c r="FI87" i="4448"/>
  <c r="FI88" i="4448"/>
  <c r="FI89" i="4448"/>
  <c r="FI90" i="4448"/>
  <c r="FI91" i="4448"/>
  <c r="FI92" i="4448"/>
  <c r="FI93" i="4448"/>
  <c r="FI94" i="4448"/>
  <c r="FI95" i="4448"/>
  <c r="FI96" i="4448"/>
  <c r="FI97" i="4448"/>
  <c r="FI98" i="4448"/>
  <c r="FI99" i="4448"/>
  <c r="FI100" i="4448"/>
  <c r="DD102" i="4448"/>
  <c r="FC101" i="4448" s="1"/>
  <c r="DN102" i="4448"/>
  <c r="FM101" i="4448" s="1"/>
  <c r="CY105" i="4448"/>
  <c r="EX102" i="4448"/>
  <c r="EX5" i="4448"/>
  <c r="EX6" i="4448"/>
  <c r="EX7" i="4448"/>
  <c r="EX8" i="4448"/>
  <c r="EX9" i="4448"/>
  <c r="EX10" i="4448"/>
  <c r="EX11" i="4448"/>
  <c r="EX12" i="4448"/>
  <c r="EX13" i="4448"/>
  <c r="EX14" i="4448"/>
  <c r="EX15" i="4448"/>
  <c r="EX16" i="4448"/>
  <c r="EX17" i="4448"/>
  <c r="EX18" i="4448"/>
  <c r="EX19" i="4448"/>
  <c r="EX20" i="4448"/>
  <c r="EX21" i="4448"/>
  <c r="EX22" i="4448"/>
  <c r="EX23" i="4448"/>
  <c r="EX24" i="4448"/>
  <c r="EX25" i="4448"/>
  <c r="EX26" i="4448"/>
  <c r="EX27" i="4448"/>
  <c r="EX28" i="4448"/>
  <c r="EX29" i="4448"/>
  <c r="EX30" i="4448"/>
  <c r="EX31" i="4448"/>
  <c r="EX32" i="4448"/>
  <c r="EX33" i="4448"/>
  <c r="EX34" i="4448"/>
  <c r="EX35" i="4448"/>
  <c r="EX36" i="4448"/>
  <c r="EX37" i="4448"/>
  <c r="EX38" i="4448"/>
  <c r="EX39" i="4448"/>
  <c r="EX40" i="4448"/>
  <c r="EX41" i="4448"/>
  <c r="EX42" i="4448"/>
  <c r="EX43" i="4448"/>
  <c r="EX44" i="4448"/>
  <c r="EX45" i="4448"/>
  <c r="EX46" i="4448"/>
  <c r="EX47" i="4448"/>
  <c r="EX48" i="4448"/>
  <c r="EX49" i="4448"/>
  <c r="EX50" i="4448"/>
  <c r="EX51" i="4448"/>
  <c r="EX52" i="4448"/>
  <c r="EX53" i="4448"/>
  <c r="EX54" i="4448"/>
  <c r="EX55" i="4448"/>
  <c r="EX56" i="4448"/>
  <c r="EX57" i="4448"/>
  <c r="EX58" i="4448"/>
  <c r="EX59" i="4448"/>
  <c r="EX60" i="4448"/>
  <c r="EX61" i="4448"/>
  <c r="EX62" i="4448"/>
  <c r="EX63" i="4448"/>
  <c r="EX64" i="4448"/>
  <c r="EX65" i="4448"/>
  <c r="EX66" i="4448"/>
  <c r="EX67" i="4448"/>
  <c r="EX68" i="4448"/>
  <c r="EX69" i="4448"/>
  <c r="EX70" i="4448"/>
  <c r="EX71" i="4448"/>
  <c r="EX72" i="4448"/>
  <c r="EX73" i="4448"/>
  <c r="EX74" i="4448"/>
  <c r="EX75" i="4448"/>
  <c r="EX76" i="4448"/>
  <c r="EX77" i="4448"/>
  <c r="EX78" i="4448"/>
  <c r="EX79" i="4448"/>
  <c r="EX80" i="4448"/>
  <c r="EX81" i="4448"/>
  <c r="EX82" i="4448"/>
  <c r="EX83" i="4448"/>
  <c r="EX84" i="4448"/>
  <c r="EX85" i="4448"/>
  <c r="EX86" i="4448"/>
  <c r="EX87" i="4448"/>
  <c r="EX88" i="4448"/>
  <c r="EX89" i="4448"/>
  <c r="EX90" i="4448"/>
  <c r="EX91" i="4448"/>
  <c r="EX92" i="4448"/>
  <c r="EX93" i="4448"/>
  <c r="EX94" i="4448"/>
  <c r="EX95" i="4448"/>
  <c r="EX96" i="4448"/>
  <c r="EX97" i="4448"/>
  <c r="EX98" i="4448"/>
  <c r="EX99" i="4448"/>
  <c r="EX100" i="4448"/>
  <c r="DF105" i="4448"/>
  <c r="FE102" i="4448"/>
  <c r="FE6" i="4448"/>
  <c r="FE5" i="4448"/>
  <c r="FE7" i="4448"/>
  <c r="FE8" i="4448"/>
  <c r="FE9" i="4448"/>
  <c r="FE10" i="4448"/>
  <c r="FE11" i="4448"/>
  <c r="FE12" i="4448"/>
  <c r="FE13" i="4448"/>
  <c r="FE14" i="4448"/>
  <c r="FE15" i="4448"/>
  <c r="FE16" i="4448"/>
  <c r="FE17" i="4448"/>
  <c r="FE18" i="4448"/>
  <c r="FE19" i="4448"/>
  <c r="FE20" i="4448"/>
  <c r="FE21" i="4448"/>
  <c r="FE22" i="4448"/>
  <c r="FE23" i="4448"/>
  <c r="FE24" i="4448"/>
  <c r="FE25" i="4448"/>
  <c r="FE26" i="4448"/>
  <c r="FE27" i="4448"/>
  <c r="FE28" i="4448"/>
  <c r="FE29" i="4448"/>
  <c r="FE30" i="4448"/>
  <c r="FE31" i="4448"/>
  <c r="FE32" i="4448"/>
  <c r="FE33" i="4448"/>
  <c r="FE34" i="4448"/>
  <c r="FE35" i="4448"/>
  <c r="FE36" i="4448"/>
  <c r="FE37" i="4448"/>
  <c r="FE38" i="4448"/>
  <c r="FE39" i="4448"/>
  <c r="FE40" i="4448"/>
  <c r="FE41" i="4448"/>
  <c r="FE42" i="4448"/>
  <c r="FE43" i="4448"/>
  <c r="FE44" i="4448"/>
  <c r="FE45" i="4448"/>
  <c r="FE46" i="4448"/>
  <c r="FE47" i="4448"/>
  <c r="FE48" i="4448"/>
  <c r="FE49" i="4448"/>
  <c r="FE50" i="4448"/>
  <c r="FE51" i="4448"/>
  <c r="FE52" i="4448"/>
  <c r="FE53" i="4448"/>
  <c r="FE54" i="4448"/>
  <c r="FE55" i="4448"/>
  <c r="FE56" i="4448"/>
  <c r="FE57" i="4448"/>
  <c r="FE58" i="4448"/>
  <c r="FE59" i="4448"/>
  <c r="FE60" i="4448"/>
  <c r="FE61" i="4448"/>
  <c r="FE62" i="4448"/>
  <c r="FE63" i="4448"/>
  <c r="FE64" i="4448"/>
  <c r="FE65" i="4448"/>
  <c r="FE66" i="4448"/>
  <c r="FE67" i="4448"/>
  <c r="FE68" i="4448"/>
  <c r="FE69" i="4448"/>
  <c r="FE70" i="4448"/>
  <c r="FE71" i="4448"/>
  <c r="FE72" i="4448"/>
  <c r="FE73" i="4448"/>
  <c r="FE74" i="4448"/>
  <c r="FE75" i="4448"/>
  <c r="FE76" i="4448"/>
  <c r="FE77" i="4448"/>
  <c r="FE78" i="4448"/>
  <c r="FE79" i="4448"/>
  <c r="FE80" i="4448"/>
  <c r="FE81" i="4448"/>
  <c r="FE82" i="4448"/>
  <c r="FE83" i="4448"/>
  <c r="FE84" i="4448"/>
  <c r="FE85" i="4448"/>
  <c r="FE86" i="4448"/>
  <c r="FE87" i="4448"/>
  <c r="FE88" i="4448"/>
  <c r="FE89" i="4448"/>
  <c r="FE90" i="4448"/>
  <c r="FE91" i="4448"/>
  <c r="FE92" i="4448"/>
  <c r="FE93" i="4448"/>
  <c r="FE94" i="4448"/>
  <c r="FE95" i="4448"/>
  <c r="FE96" i="4448"/>
  <c r="FE97" i="4448"/>
  <c r="FE98" i="4448"/>
  <c r="FE99" i="4448"/>
  <c r="FE100" i="4448"/>
  <c r="DY102" i="4448"/>
  <c r="FX101" i="4448" s="1"/>
  <c r="EC102" i="4448"/>
  <c r="GB101" i="4448" s="1"/>
  <c r="DS102" i="4448"/>
  <c r="FR101" i="4448" s="1"/>
  <c r="DH105" i="4448"/>
  <c r="FG102" i="4448"/>
  <c r="FG6" i="4448"/>
  <c r="FG5" i="4448"/>
  <c r="FG7" i="4448"/>
  <c r="FG8" i="4448"/>
  <c r="FG9" i="4448"/>
  <c r="FG10" i="4448"/>
  <c r="FG11" i="4448"/>
  <c r="FG12" i="4448"/>
  <c r="FG13" i="4448"/>
  <c r="FG14" i="4448"/>
  <c r="FG15" i="4448"/>
  <c r="FG16" i="4448"/>
  <c r="FG17" i="4448"/>
  <c r="FG18" i="4448"/>
  <c r="FG19" i="4448"/>
  <c r="FG20" i="4448"/>
  <c r="FG21" i="4448"/>
  <c r="FG22" i="4448"/>
  <c r="FG23" i="4448"/>
  <c r="FG24" i="4448"/>
  <c r="FG25" i="4448"/>
  <c r="FG26" i="4448"/>
  <c r="FG27" i="4448"/>
  <c r="FG28" i="4448"/>
  <c r="FG29" i="4448"/>
  <c r="FG30" i="4448"/>
  <c r="FG31" i="4448"/>
  <c r="FG32" i="4448"/>
  <c r="FG33" i="4448"/>
  <c r="FG34" i="4448"/>
  <c r="FG35" i="4448"/>
  <c r="FG36" i="4448"/>
  <c r="FG37" i="4448"/>
  <c r="FG38" i="4448"/>
  <c r="FG39" i="4448"/>
  <c r="FG40" i="4448"/>
  <c r="FG41" i="4448"/>
  <c r="FG42" i="4448"/>
  <c r="FG43" i="4448"/>
  <c r="FG44" i="4448"/>
  <c r="FG45" i="4448"/>
  <c r="FG46" i="4448"/>
  <c r="FG47" i="4448"/>
  <c r="FG48" i="4448"/>
  <c r="FG49" i="4448"/>
  <c r="FG50" i="4448"/>
  <c r="FG51" i="4448"/>
  <c r="FG52" i="4448"/>
  <c r="FG53" i="4448"/>
  <c r="FG54" i="4448"/>
  <c r="FG55" i="4448"/>
  <c r="FG56" i="4448"/>
  <c r="FG57" i="4448"/>
  <c r="FG58" i="4448"/>
  <c r="FG59" i="4448"/>
  <c r="FG60" i="4448"/>
  <c r="FG61" i="4448"/>
  <c r="FG62" i="4448"/>
  <c r="FG63" i="4448"/>
  <c r="FG64" i="4448"/>
  <c r="FG65" i="4448"/>
  <c r="FG66" i="4448"/>
  <c r="FG67" i="4448"/>
  <c r="FG68" i="4448"/>
  <c r="FG69" i="4448"/>
  <c r="FG70" i="4448"/>
  <c r="FG71" i="4448"/>
  <c r="FG72" i="4448"/>
  <c r="FG73" i="4448"/>
  <c r="FG74" i="4448"/>
  <c r="FG75" i="4448"/>
  <c r="FG76" i="4448"/>
  <c r="FG77" i="4448"/>
  <c r="FG78" i="4448"/>
  <c r="FG79" i="4448"/>
  <c r="FG80" i="4448"/>
  <c r="FG81" i="4448"/>
  <c r="FG82" i="4448"/>
  <c r="FG83" i="4448"/>
  <c r="FG84" i="4448"/>
  <c r="FG85" i="4448"/>
  <c r="FG86" i="4448"/>
  <c r="FG87" i="4448"/>
  <c r="FG88" i="4448"/>
  <c r="FG89" i="4448"/>
  <c r="FG90" i="4448"/>
  <c r="FG91" i="4448"/>
  <c r="FG92" i="4448"/>
  <c r="FG93" i="4448"/>
  <c r="FG94" i="4448"/>
  <c r="FG95" i="4448"/>
  <c r="FG96" i="4448"/>
  <c r="FG97" i="4448"/>
  <c r="FG98" i="4448"/>
  <c r="FG99" i="4448"/>
  <c r="FG100" i="4448"/>
  <c r="DK105" i="4448"/>
  <c r="FJ102" i="4448"/>
  <c r="FJ6" i="4448"/>
  <c r="FJ5" i="4448"/>
  <c r="FJ7" i="4448"/>
  <c r="FJ8" i="4448"/>
  <c r="FJ9" i="4448"/>
  <c r="FJ10" i="4448"/>
  <c r="FJ11" i="4448"/>
  <c r="FJ12" i="4448"/>
  <c r="FJ13" i="4448"/>
  <c r="FJ14" i="4448"/>
  <c r="FJ15" i="4448"/>
  <c r="FJ16" i="4448"/>
  <c r="FJ17" i="4448"/>
  <c r="FJ18" i="4448"/>
  <c r="FJ19" i="4448"/>
  <c r="FJ20" i="4448"/>
  <c r="FJ21" i="4448"/>
  <c r="FJ22" i="4448"/>
  <c r="FJ23" i="4448"/>
  <c r="FJ24" i="4448"/>
  <c r="FJ25" i="4448"/>
  <c r="FJ26" i="4448"/>
  <c r="FJ27" i="4448"/>
  <c r="FJ28" i="4448"/>
  <c r="FJ29" i="4448"/>
  <c r="FJ30" i="4448"/>
  <c r="FJ31" i="4448"/>
  <c r="FJ32" i="4448"/>
  <c r="FJ33" i="4448"/>
  <c r="FJ34" i="4448"/>
  <c r="FJ35" i="4448"/>
  <c r="FJ36" i="4448"/>
  <c r="FJ37" i="4448"/>
  <c r="FJ38" i="4448"/>
  <c r="FJ39" i="4448"/>
  <c r="FJ40" i="4448"/>
  <c r="FJ41" i="4448"/>
  <c r="FJ42" i="4448"/>
  <c r="FJ43" i="4448"/>
  <c r="FJ44" i="4448"/>
  <c r="FJ45" i="4448"/>
  <c r="FJ46" i="4448"/>
  <c r="FJ47" i="4448"/>
  <c r="FJ48" i="4448"/>
  <c r="FJ49" i="4448"/>
  <c r="FJ50" i="4448"/>
  <c r="FJ51" i="4448"/>
  <c r="FJ52" i="4448"/>
  <c r="FJ53" i="4448"/>
  <c r="FJ54" i="4448"/>
  <c r="FJ55" i="4448"/>
  <c r="FJ56" i="4448"/>
  <c r="FJ57" i="4448"/>
  <c r="FJ58" i="4448"/>
  <c r="FJ59" i="4448"/>
  <c r="FJ60" i="4448"/>
  <c r="FJ61" i="4448"/>
  <c r="FJ62" i="4448"/>
  <c r="FJ63" i="4448"/>
  <c r="FJ64" i="4448"/>
  <c r="FJ65" i="4448"/>
  <c r="FJ66" i="4448"/>
  <c r="FJ67" i="4448"/>
  <c r="FJ68" i="4448"/>
  <c r="FJ69" i="4448"/>
  <c r="FJ70" i="4448"/>
  <c r="FJ71" i="4448"/>
  <c r="FJ72" i="4448"/>
  <c r="FJ73" i="4448"/>
  <c r="FJ74" i="4448"/>
  <c r="FJ75" i="4448"/>
  <c r="FJ76" i="4448"/>
  <c r="FJ77" i="4448"/>
  <c r="FJ78" i="4448"/>
  <c r="FJ79" i="4448"/>
  <c r="FJ80" i="4448"/>
  <c r="FJ81" i="4448"/>
  <c r="FJ82" i="4448"/>
  <c r="FJ83" i="4448"/>
  <c r="FJ84" i="4448"/>
  <c r="FJ85" i="4448"/>
  <c r="FJ86" i="4448"/>
  <c r="FJ87" i="4448"/>
  <c r="FJ88" i="4448"/>
  <c r="FJ89" i="4448"/>
  <c r="FJ90" i="4448"/>
  <c r="FJ91" i="4448"/>
  <c r="FJ92" i="4448"/>
  <c r="FJ93" i="4448"/>
  <c r="FJ94" i="4448"/>
  <c r="FJ95" i="4448"/>
  <c r="FJ96" i="4448"/>
  <c r="FJ97" i="4448"/>
  <c r="FJ98" i="4448"/>
  <c r="FJ99" i="4448"/>
  <c r="FJ100" i="4448"/>
  <c r="DC102" i="4448"/>
  <c r="FB101" i="4448" s="1"/>
  <c r="DO102" i="4448"/>
  <c r="FN101" i="4448" s="1"/>
  <c r="GA102" i="4448"/>
  <c r="GA5" i="4448"/>
  <c r="GA7" i="4448"/>
  <c r="GA6" i="4448"/>
  <c r="GA8" i="4448"/>
  <c r="GA9" i="4448"/>
  <c r="GA10" i="4448"/>
  <c r="GA11" i="4448"/>
  <c r="GA12" i="4448"/>
  <c r="GA13" i="4448"/>
  <c r="GA14" i="4448"/>
  <c r="GA15" i="4448"/>
  <c r="GA16" i="4448"/>
  <c r="GA17" i="4448"/>
  <c r="GA18" i="4448"/>
  <c r="GA19" i="4448"/>
  <c r="GA20" i="4448"/>
  <c r="GA21" i="4448"/>
  <c r="GA22" i="4448"/>
  <c r="GA23" i="4448"/>
  <c r="GA24" i="4448"/>
  <c r="GA25" i="4448"/>
  <c r="GA26" i="4448"/>
  <c r="GA27" i="4448"/>
  <c r="GA28" i="4448"/>
  <c r="GA29" i="4448"/>
  <c r="GA30" i="4448"/>
  <c r="GA31" i="4448"/>
  <c r="GA32" i="4448"/>
  <c r="GA33" i="4448"/>
  <c r="GA34" i="4448"/>
  <c r="GA35" i="4448"/>
  <c r="GA36" i="4448"/>
  <c r="GA37" i="4448"/>
  <c r="GA38" i="4448"/>
  <c r="GA39" i="4448"/>
  <c r="GA40" i="4448"/>
  <c r="GA41" i="4448"/>
  <c r="GA42" i="4448"/>
  <c r="GA43" i="4448"/>
  <c r="GA44" i="4448"/>
  <c r="GA45" i="4448"/>
  <c r="GA46" i="4448"/>
  <c r="GA47" i="4448"/>
  <c r="GA48" i="4448"/>
  <c r="GA49" i="4448"/>
  <c r="GA50" i="4448"/>
  <c r="GA51" i="4448"/>
  <c r="GA52" i="4448"/>
  <c r="GA53" i="4448"/>
  <c r="GA54" i="4448"/>
  <c r="GA55" i="4448"/>
  <c r="GA56" i="4448"/>
  <c r="GA57" i="4448"/>
  <c r="GA58" i="4448"/>
  <c r="GA59" i="4448"/>
  <c r="GA60" i="4448"/>
  <c r="GA61" i="4448"/>
  <c r="GA62" i="4448"/>
  <c r="GA63" i="4448"/>
  <c r="GA64" i="4448"/>
  <c r="GA65" i="4448"/>
  <c r="GA66" i="4448"/>
  <c r="GA67" i="4448"/>
  <c r="GA68" i="4448"/>
  <c r="GA69" i="4448"/>
  <c r="GA70" i="4448"/>
  <c r="GA71" i="4448"/>
  <c r="GA72" i="4448"/>
  <c r="GA73" i="4448"/>
  <c r="GA74" i="4448"/>
  <c r="GA75" i="4448"/>
  <c r="GA76" i="4448"/>
  <c r="GA77" i="4448"/>
  <c r="GA78" i="4448"/>
  <c r="GA79" i="4448"/>
  <c r="GA80" i="4448"/>
  <c r="GA81" i="4448"/>
  <c r="GA82" i="4448"/>
  <c r="GA83" i="4448"/>
  <c r="GA84" i="4448"/>
  <c r="GA85" i="4448"/>
  <c r="GA86" i="4448"/>
  <c r="GA87" i="4448"/>
  <c r="GA88" i="4448"/>
  <c r="GA89" i="4448"/>
  <c r="GA90" i="4448"/>
  <c r="GA91" i="4448"/>
  <c r="GA92" i="4448"/>
  <c r="GA93" i="4448"/>
  <c r="GA94" i="4448"/>
  <c r="GA95" i="4448"/>
  <c r="GA96" i="4448"/>
  <c r="GA97" i="4448"/>
  <c r="GA98" i="4448"/>
  <c r="GA99" i="4448"/>
  <c r="GA100" i="4448"/>
  <c r="DX105" i="4448"/>
  <c r="FW102" i="4448"/>
  <c r="FW6" i="4448"/>
  <c r="FW5" i="4448"/>
  <c r="FW7" i="4448"/>
  <c r="FW8" i="4448"/>
  <c r="FW9" i="4448"/>
  <c r="FW10" i="4448"/>
  <c r="FW11" i="4448"/>
  <c r="FW12" i="4448"/>
  <c r="FW13" i="4448"/>
  <c r="FW14" i="4448"/>
  <c r="FW15" i="4448"/>
  <c r="FW16" i="4448"/>
  <c r="FW17" i="4448"/>
  <c r="FW18" i="4448"/>
  <c r="FW19" i="4448"/>
  <c r="FW20" i="4448"/>
  <c r="FW21" i="4448"/>
  <c r="FW22" i="4448"/>
  <c r="FW23" i="4448"/>
  <c r="FW24" i="4448"/>
  <c r="FW25" i="4448"/>
  <c r="FW26" i="4448"/>
  <c r="FW27" i="4448"/>
  <c r="FW28" i="4448"/>
  <c r="FW29" i="4448"/>
  <c r="FW30" i="4448"/>
  <c r="FW31" i="4448"/>
  <c r="FW32" i="4448"/>
  <c r="FW33" i="4448"/>
  <c r="FW34" i="4448"/>
  <c r="FW35" i="4448"/>
  <c r="FW36" i="4448"/>
  <c r="FW37" i="4448"/>
  <c r="FW38" i="4448"/>
  <c r="FW39" i="4448"/>
  <c r="FW40" i="4448"/>
  <c r="FW41" i="4448"/>
  <c r="FW42" i="4448"/>
  <c r="FW43" i="4448"/>
  <c r="FW44" i="4448"/>
  <c r="FW45" i="4448"/>
  <c r="FW46" i="4448"/>
  <c r="FW47" i="4448"/>
  <c r="FW48" i="4448"/>
  <c r="FW49" i="4448"/>
  <c r="FW50" i="4448"/>
  <c r="FW51" i="4448"/>
  <c r="FW52" i="4448"/>
  <c r="FW53" i="4448"/>
  <c r="FW54" i="4448"/>
  <c r="FW55" i="4448"/>
  <c r="FW56" i="4448"/>
  <c r="FW57" i="4448"/>
  <c r="FW58" i="4448"/>
  <c r="FW59" i="4448"/>
  <c r="FW60" i="4448"/>
  <c r="FW61" i="4448"/>
  <c r="FW62" i="4448"/>
  <c r="FW63" i="4448"/>
  <c r="FW64" i="4448"/>
  <c r="FW65" i="4448"/>
  <c r="FW66" i="4448"/>
  <c r="FW67" i="4448"/>
  <c r="FW68" i="4448"/>
  <c r="FW69" i="4448"/>
  <c r="FW70" i="4448"/>
  <c r="FW71" i="4448"/>
  <c r="FW72" i="4448"/>
  <c r="FW73" i="4448"/>
  <c r="FW74" i="4448"/>
  <c r="FW75" i="4448"/>
  <c r="FW76" i="4448"/>
  <c r="FW77" i="4448"/>
  <c r="FW78" i="4448"/>
  <c r="FW79" i="4448"/>
  <c r="FW80" i="4448"/>
  <c r="FW81" i="4448"/>
  <c r="FW82" i="4448"/>
  <c r="FW83" i="4448"/>
  <c r="FW84" i="4448"/>
  <c r="FW85" i="4448"/>
  <c r="FW86" i="4448"/>
  <c r="FW87" i="4448"/>
  <c r="FW88" i="4448"/>
  <c r="FW89" i="4448"/>
  <c r="FW90" i="4448"/>
  <c r="FW91" i="4448"/>
  <c r="FW92" i="4448"/>
  <c r="FW93" i="4448"/>
  <c r="FW94" i="4448"/>
  <c r="FW95" i="4448"/>
  <c r="FW96" i="4448"/>
  <c r="FW97" i="4448"/>
  <c r="FW98" i="4448"/>
  <c r="FW99" i="4448"/>
  <c r="FW100" i="4448"/>
  <c r="EF105" i="4448"/>
  <c r="GE102" i="4448"/>
  <c r="GE6" i="4448"/>
  <c r="GE5" i="4448"/>
  <c r="GE7" i="4448"/>
  <c r="GE8" i="4448"/>
  <c r="GE9" i="4448"/>
  <c r="GE10" i="4448"/>
  <c r="GE11" i="4448"/>
  <c r="GE12" i="4448"/>
  <c r="GE13" i="4448"/>
  <c r="GE14" i="4448"/>
  <c r="GE15" i="4448"/>
  <c r="GE16" i="4448"/>
  <c r="GE17" i="4448"/>
  <c r="GE18" i="4448"/>
  <c r="GE19" i="4448"/>
  <c r="GE20" i="4448"/>
  <c r="GE21" i="4448"/>
  <c r="GE22" i="4448"/>
  <c r="GE23" i="4448"/>
  <c r="GE24" i="4448"/>
  <c r="GE25" i="4448"/>
  <c r="GE26" i="4448"/>
  <c r="GE27" i="4448"/>
  <c r="GE28" i="4448"/>
  <c r="GE29" i="4448"/>
  <c r="GE30" i="4448"/>
  <c r="GE31" i="4448"/>
  <c r="GE32" i="4448"/>
  <c r="GE33" i="4448"/>
  <c r="GE34" i="4448"/>
  <c r="GE35" i="4448"/>
  <c r="GE36" i="4448"/>
  <c r="GE37" i="4448"/>
  <c r="GE38" i="4448"/>
  <c r="GE39" i="4448"/>
  <c r="GE40" i="4448"/>
  <c r="GE41" i="4448"/>
  <c r="GE42" i="4448"/>
  <c r="GE43" i="4448"/>
  <c r="GE44" i="4448"/>
  <c r="GE45" i="4448"/>
  <c r="GE46" i="4448"/>
  <c r="GE47" i="4448"/>
  <c r="GE48" i="4448"/>
  <c r="GE49" i="4448"/>
  <c r="GE50" i="4448"/>
  <c r="GE51" i="4448"/>
  <c r="GE52" i="4448"/>
  <c r="GE53" i="4448"/>
  <c r="GE54" i="4448"/>
  <c r="GE55" i="4448"/>
  <c r="GE56" i="4448"/>
  <c r="GE57" i="4448"/>
  <c r="GE58" i="4448"/>
  <c r="GE59" i="4448"/>
  <c r="GE60" i="4448"/>
  <c r="GE61" i="4448"/>
  <c r="GE62" i="4448"/>
  <c r="GE63" i="4448"/>
  <c r="GE64" i="4448"/>
  <c r="GE65" i="4448"/>
  <c r="GE66" i="4448"/>
  <c r="GE67" i="4448"/>
  <c r="GE68" i="4448"/>
  <c r="GE69" i="4448"/>
  <c r="GE70" i="4448"/>
  <c r="GE71" i="4448"/>
  <c r="GE72" i="4448"/>
  <c r="GE73" i="4448"/>
  <c r="GE74" i="4448"/>
  <c r="GE75" i="4448"/>
  <c r="GE76" i="4448"/>
  <c r="GE77" i="4448"/>
  <c r="GE78" i="4448"/>
  <c r="GE79" i="4448"/>
  <c r="GE80" i="4448"/>
  <c r="GE81" i="4448"/>
  <c r="GE82" i="4448"/>
  <c r="GE83" i="4448"/>
  <c r="GE84" i="4448"/>
  <c r="GE85" i="4448"/>
  <c r="GE86" i="4448"/>
  <c r="GE87" i="4448"/>
  <c r="GE88" i="4448"/>
  <c r="GE89" i="4448"/>
  <c r="GE90" i="4448"/>
  <c r="GE91" i="4448"/>
  <c r="GE92" i="4448"/>
  <c r="GE93" i="4448"/>
  <c r="GE94" i="4448"/>
  <c r="GE95" i="4448"/>
  <c r="GE96" i="4448"/>
  <c r="GE97" i="4448"/>
  <c r="GE98" i="4448"/>
  <c r="GE99" i="4448"/>
  <c r="GE100" i="4448"/>
  <c r="DI102" i="4448"/>
  <c r="FH101" i="4448" s="1"/>
  <c r="DZ102" i="4448"/>
  <c r="FY101" i="4448" s="1"/>
  <c r="DU102" i="4448"/>
  <c r="FT101" i="4448" s="1"/>
  <c r="EE105" i="4448"/>
  <c r="GD102" i="4448"/>
  <c r="GD6" i="4448"/>
  <c r="GD5" i="4448"/>
  <c r="GD7" i="4448"/>
  <c r="GD8" i="4448"/>
  <c r="GD9" i="4448"/>
  <c r="GD10" i="4448"/>
  <c r="GD11" i="4448"/>
  <c r="GD12" i="4448"/>
  <c r="GD13" i="4448"/>
  <c r="GD14" i="4448"/>
  <c r="GD15" i="4448"/>
  <c r="GD16" i="4448"/>
  <c r="GD17" i="4448"/>
  <c r="GD18" i="4448"/>
  <c r="GD19" i="4448"/>
  <c r="GD20" i="4448"/>
  <c r="GD21" i="4448"/>
  <c r="GD22" i="4448"/>
  <c r="GD23" i="4448"/>
  <c r="GD24" i="4448"/>
  <c r="GD25" i="4448"/>
  <c r="GD26" i="4448"/>
  <c r="GD27" i="4448"/>
  <c r="GD28" i="4448"/>
  <c r="GD29" i="4448"/>
  <c r="GD30" i="4448"/>
  <c r="GD31" i="4448"/>
  <c r="GD32" i="4448"/>
  <c r="GD33" i="4448"/>
  <c r="GD34" i="4448"/>
  <c r="GD35" i="4448"/>
  <c r="GD36" i="4448"/>
  <c r="GD37" i="4448"/>
  <c r="GD38" i="4448"/>
  <c r="GD39" i="4448"/>
  <c r="GD40" i="4448"/>
  <c r="GD41" i="4448"/>
  <c r="GD42" i="4448"/>
  <c r="GD43" i="4448"/>
  <c r="GD44" i="4448"/>
  <c r="GD45" i="4448"/>
  <c r="GD46" i="4448"/>
  <c r="GD47" i="4448"/>
  <c r="GD48" i="4448"/>
  <c r="GD49" i="4448"/>
  <c r="GD50" i="4448"/>
  <c r="GD51" i="4448"/>
  <c r="GD52" i="4448"/>
  <c r="GD53" i="4448"/>
  <c r="GD54" i="4448"/>
  <c r="GD55" i="4448"/>
  <c r="GD56" i="4448"/>
  <c r="GD57" i="4448"/>
  <c r="GD58" i="4448"/>
  <c r="GD59" i="4448"/>
  <c r="GD60" i="4448"/>
  <c r="GD61" i="4448"/>
  <c r="GD62" i="4448"/>
  <c r="GD63" i="4448"/>
  <c r="GD64" i="4448"/>
  <c r="GD65" i="4448"/>
  <c r="GD66" i="4448"/>
  <c r="GD67" i="4448"/>
  <c r="GD68" i="4448"/>
  <c r="GD69" i="4448"/>
  <c r="GD70" i="4448"/>
  <c r="GD71" i="4448"/>
  <c r="GD72" i="4448"/>
  <c r="GD73" i="4448"/>
  <c r="GD74" i="4448"/>
  <c r="GD75" i="4448"/>
  <c r="GD76" i="4448"/>
  <c r="GD77" i="4448"/>
  <c r="GD78" i="4448"/>
  <c r="GD79" i="4448"/>
  <c r="GD80" i="4448"/>
  <c r="GD81" i="4448"/>
  <c r="GD82" i="4448"/>
  <c r="GD83" i="4448"/>
  <c r="GD84" i="4448"/>
  <c r="GD85" i="4448"/>
  <c r="GD86" i="4448"/>
  <c r="GD87" i="4448"/>
  <c r="GD88" i="4448"/>
  <c r="GD89" i="4448"/>
  <c r="GD90" i="4448"/>
  <c r="GD91" i="4448"/>
  <c r="GD92" i="4448"/>
  <c r="GD93" i="4448"/>
  <c r="GD94" i="4448"/>
  <c r="GD95" i="4448"/>
  <c r="GD96" i="4448"/>
  <c r="GD97" i="4448"/>
  <c r="GD98" i="4448"/>
  <c r="GD99" i="4448"/>
  <c r="GD100" i="4448"/>
  <c r="CZ105" i="4448"/>
  <c r="EY102" i="4448"/>
  <c r="EY5" i="4448"/>
  <c r="EY6" i="4448"/>
  <c r="EY7" i="4448"/>
  <c r="EY8" i="4448"/>
  <c r="EY9" i="4448"/>
  <c r="EY10" i="4448"/>
  <c r="EY11" i="4448"/>
  <c r="EY12" i="4448"/>
  <c r="EY13" i="4448"/>
  <c r="EY14" i="4448"/>
  <c r="EY15" i="4448"/>
  <c r="EY16" i="4448"/>
  <c r="EY17" i="4448"/>
  <c r="EY18" i="4448"/>
  <c r="EY19" i="4448"/>
  <c r="EY20" i="4448"/>
  <c r="EY21" i="4448"/>
  <c r="EY22" i="4448"/>
  <c r="EY23" i="4448"/>
  <c r="EY24" i="4448"/>
  <c r="EY25" i="4448"/>
  <c r="EY26" i="4448"/>
  <c r="EY27" i="4448"/>
  <c r="EY28" i="4448"/>
  <c r="EY29" i="4448"/>
  <c r="EY30" i="4448"/>
  <c r="EY31" i="4448"/>
  <c r="EY32" i="4448"/>
  <c r="EY33" i="4448"/>
  <c r="EY34" i="4448"/>
  <c r="EY35" i="4448"/>
  <c r="EY36" i="4448"/>
  <c r="EY37" i="4448"/>
  <c r="EY38" i="4448"/>
  <c r="EY39" i="4448"/>
  <c r="EY40" i="4448"/>
  <c r="EY41" i="4448"/>
  <c r="EY42" i="4448"/>
  <c r="EY43" i="4448"/>
  <c r="EY44" i="4448"/>
  <c r="EY45" i="4448"/>
  <c r="EY46" i="4448"/>
  <c r="EY47" i="4448"/>
  <c r="EY48" i="4448"/>
  <c r="EY49" i="4448"/>
  <c r="EY50" i="4448"/>
  <c r="EY51" i="4448"/>
  <c r="EY52" i="4448"/>
  <c r="EY53" i="4448"/>
  <c r="EY54" i="4448"/>
  <c r="EY55" i="4448"/>
  <c r="EY56" i="4448"/>
  <c r="EY57" i="4448"/>
  <c r="EY58" i="4448"/>
  <c r="EY59" i="4448"/>
  <c r="EY60" i="4448"/>
  <c r="EY61" i="4448"/>
  <c r="EY62" i="4448"/>
  <c r="EY63" i="4448"/>
  <c r="EY64" i="4448"/>
  <c r="EY65" i="4448"/>
  <c r="EY66" i="4448"/>
  <c r="EY67" i="4448"/>
  <c r="EY68" i="4448"/>
  <c r="EY69" i="4448"/>
  <c r="EY70" i="4448"/>
  <c r="EY71" i="4448"/>
  <c r="EY72" i="4448"/>
  <c r="EY73" i="4448"/>
  <c r="EY74" i="4448"/>
  <c r="EY75" i="4448"/>
  <c r="EY76" i="4448"/>
  <c r="EY77" i="4448"/>
  <c r="EY78" i="4448"/>
  <c r="EY79" i="4448"/>
  <c r="EY80" i="4448"/>
  <c r="EY81" i="4448"/>
  <c r="EY82" i="4448"/>
  <c r="EY83" i="4448"/>
  <c r="EY84" i="4448"/>
  <c r="EY85" i="4448"/>
  <c r="EY86" i="4448"/>
  <c r="EY87" i="4448"/>
  <c r="EY88" i="4448"/>
  <c r="EY89" i="4448"/>
  <c r="EY90" i="4448"/>
  <c r="EY91" i="4448"/>
  <c r="EY92" i="4448"/>
  <c r="EY93" i="4448"/>
  <c r="EY94" i="4448"/>
  <c r="EY95" i="4448"/>
  <c r="EY96" i="4448"/>
  <c r="EY97" i="4448"/>
  <c r="EY98" i="4448"/>
  <c r="EY99" i="4448"/>
  <c r="EY100" i="4448"/>
  <c r="EA105" i="4448"/>
  <c r="FZ102" i="4448"/>
  <c r="FZ6" i="4448"/>
  <c r="FZ5" i="4448"/>
  <c r="FZ7" i="4448"/>
  <c r="FZ8" i="4448"/>
  <c r="FZ9" i="4448"/>
  <c r="FZ10" i="4448"/>
  <c r="FZ11" i="4448"/>
  <c r="FZ12" i="4448"/>
  <c r="FZ13" i="4448"/>
  <c r="FZ14" i="4448"/>
  <c r="FZ15" i="4448"/>
  <c r="FZ16" i="4448"/>
  <c r="FZ17" i="4448"/>
  <c r="FZ18" i="4448"/>
  <c r="FZ19" i="4448"/>
  <c r="FZ20" i="4448"/>
  <c r="FZ21" i="4448"/>
  <c r="FZ22" i="4448"/>
  <c r="FZ23" i="4448"/>
  <c r="FZ24" i="4448"/>
  <c r="FZ25" i="4448"/>
  <c r="FZ26" i="4448"/>
  <c r="FZ27" i="4448"/>
  <c r="FZ28" i="4448"/>
  <c r="FZ29" i="4448"/>
  <c r="FZ30" i="4448"/>
  <c r="FZ31" i="4448"/>
  <c r="FZ32" i="4448"/>
  <c r="FZ33" i="4448"/>
  <c r="FZ34" i="4448"/>
  <c r="FZ35" i="4448"/>
  <c r="FZ36" i="4448"/>
  <c r="FZ37" i="4448"/>
  <c r="FZ38" i="4448"/>
  <c r="FZ39" i="4448"/>
  <c r="FZ40" i="4448"/>
  <c r="FZ41" i="4448"/>
  <c r="FZ42" i="4448"/>
  <c r="FZ43" i="4448"/>
  <c r="FZ44" i="4448"/>
  <c r="FZ45" i="4448"/>
  <c r="FZ46" i="4448"/>
  <c r="FZ47" i="4448"/>
  <c r="FZ48" i="4448"/>
  <c r="FZ49" i="4448"/>
  <c r="FZ50" i="4448"/>
  <c r="FZ51" i="4448"/>
  <c r="FZ52" i="4448"/>
  <c r="FZ53" i="4448"/>
  <c r="FZ54" i="4448"/>
  <c r="FZ55" i="4448"/>
  <c r="FZ56" i="4448"/>
  <c r="FZ57" i="4448"/>
  <c r="FZ58" i="4448"/>
  <c r="FZ59" i="4448"/>
  <c r="FZ60" i="4448"/>
  <c r="FZ61" i="4448"/>
  <c r="FZ62" i="4448"/>
  <c r="FZ63" i="4448"/>
  <c r="FZ64" i="4448"/>
  <c r="FZ65" i="4448"/>
  <c r="FZ66" i="4448"/>
  <c r="FZ67" i="4448"/>
  <c r="FZ68" i="4448"/>
  <c r="FZ69" i="4448"/>
  <c r="FZ70" i="4448"/>
  <c r="FZ71" i="4448"/>
  <c r="FZ72" i="4448"/>
  <c r="FZ73" i="4448"/>
  <c r="FZ74" i="4448"/>
  <c r="FZ75" i="4448"/>
  <c r="FZ76" i="4448"/>
  <c r="FZ77" i="4448"/>
  <c r="FZ78" i="4448"/>
  <c r="FZ79" i="4448"/>
  <c r="FZ80" i="4448"/>
  <c r="FZ81" i="4448"/>
  <c r="FZ82" i="4448"/>
  <c r="FZ83" i="4448"/>
  <c r="FZ84" i="4448"/>
  <c r="FZ85" i="4448"/>
  <c r="FZ86" i="4448"/>
  <c r="FZ87" i="4448"/>
  <c r="FZ88" i="4448"/>
  <c r="FZ89" i="4448"/>
  <c r="FZ90" i="4448"/>
  <c r="FZ91" i="4448"/>
  <c r="FZ92" i="4448"/>
  <c r="FZ93" i="4448"/>
  <c r="FZ94" i="4448"/>
  <c r="FZ95" i="4448"/>
  <c r="FZ96" i="4448"/>
  <c r="FZ97" i="4448"/>
  <c r="FZ98" i="4448"/>
  <c r="FZ99" i="4448"/>
  <c r="FZ100" i="4448"/>
  <c r="DB102" i="4448"/>
  <c r="EB105" i="4448"/>
  <c r="GF101" i="4448" l="1"/>
  <c r="F106" i="4452"/>
  <c r="GC101" i="4448"/>
  <c r="FA101" i="4448"/>
  <c r="DN105" i="4448"/>
  <c r="FM102" i="4448"/>
  <c r="FM5" i="4448"/>
  <c r="FM6" i="4448"/>
  <c r="FM7" i="4448"/>
  <c r="FM8" i="4448"/>
  <c r="FM9" i="4448"/>
  <c r="FM10" i="4448"/>
  <c r="FM11" i="4448"/>
  <c r="FM12" i="4448"/>
  <c r="FM13" i="4448"/>
  <c r="FM14" i="4448"/>
  <c r="FM15" i="4448"/>
  <c r="FM16" i="4448"/>
  <c r="FM17" i="4448"/>
  <c r="FM18" i="4448"/>
  <c r="FM19" i="4448"/>
  <c r="FM20" i="4448"/>
  <c r="FM21" i="4448"/>
  <c r="FM22" i="4448"/>
  <c r="FM23" i="4448"/>
  <c r="FM24" i="4448"/>
  <c r="FM25" i="4448"/>
  <c r="FM26" i="4448"/>
  <c r="FM27" i="4448"/>
  <c r="FM28" i="4448"/>
  <c r="FM29" i="4448"/>
  <c r="FM30" i="4448"/>
  <c r="FM31" i="4448"/>
  <c r="FM32" i="4448"/>
  <c r="FM33" i="4448"/>
  <c r="FM34" i="4448"/>
  <c r="FM35" i="4448"/>
  <c r="FM36" i="4448"/>
  <c r="FM37" i="4448"/>
  <c r="FM38" i="4448"/>
  <c r="FM39" i="4448"/>
  <c r="FM40" i="4448"/>
  <c r="FM41" i="4448"/>
  <c r="FM42" i="4448"/>
  <c r="FM43" i="4448"/>
  <c r="FM44" i="4448"/>
  <c r="FM45" i="4448"/>
  <c r="FM46" i="4448"/>
  <c r="FM47" i="4448"/>
  <c r="FM48" i="4448"/>
  <c r="FM49" i="4448"/>
  <c r="FM50" i="4448"/>
  <c r="FM51" i="4448"/>
  <c r="FM52" i="4448"/>
  <c r="FM53" i="4448"/>
  <c r="FM54" i="4448"/>
  <c r="FM55" i="4448"/>
  <c r="FM56" i="4448"/>
  <c r="FM57" i="4448"/>
  <c r="FM58" i="4448"/>
  <c r="FM59" i="4448"/>
  <c r="FM60" i="4448"/>
  <c r="FM61" i="4448"/>
  <c r="FM62" i="4448"/>
  <c r="FM63" i="4448"/>
  <c r="FM64" i="4448"/>
  <c r="FM65" i="4448"/>
  <c r="FM66" i="4448"/>
  <c r="FM67" i="4448"/>
  <c r="FM68" i="4448"/>
  <c r="FM69" i="4448"/>
  <c r="FM70" i="4448"/>
  <c r="FM71" i="4448"/>
  <c r="FM72" i="4448"/>
  <c r="FM73" i="4448"/>
  <c r="FM74" i="4448"/>
  <c r="FM75" i="4448"/>
  <c r="FM76" i="4448"/>
  <c r="FM77" i="4448"/>
  <c r="FM78" i="4448"/>
  <c r="FM79" i="4448"/>
  <c r="FM80" i="4448"/>
  <c r="FM81" i="4448"/>
  <c r="FM82" i="4448"/>
  <c r="FM83" i="4448"/>
  <c r="FM84" i="4448"/>
  <c r="FM85" i="4448"/>
  <c r="FM86" i="4448"/>
  <c r="FM87" i="4448"/>
  <c r="FM88" i="4448"/>
  <c r="FM89" i="4448"/>
  <c r="FM90" i="4448"/>
  <c r="FM91" i="4448"/>
  <c r="FM92" i="4448"/>
  <c r="FM93" i="4448"/>
  <c r="FM94" i="4448"/>
  <c r="FM95" i="4448"/>
  <c r="FM96" i="4448"/>
  <c r="FM97" i="4448"/>
  <c r="FM98" i="4448"/>
  <c r="FM99" i="4448"/>
  <c r="FM100" i="4448"/>
  <c r="DP105" i="4448"/>
  <c r="FO102" i="4448"/>
  <c r="FO5" i="4448"/>
  <c r="FO6" i="4448"/>
  <c r="FO7" i="4448"/>
  <c r="FO8" i="4448"/>
  <c r="FO9" i="4448"/>
  <c r="FO10" i="4448"/>
  <c r="FO11" i="4448"/>
  <c r="FO12" i="4448"/>
  <c r="FO13" i="4448"/>
  <c r="FO14" i="4448"/>
  <c r="FO15" i="4448"/>
  <c r="FO16" i="4448"/>
  <c r="FO17" i="4448"/>
  <c r="FO18" i="4448"/>
  <c r="FO19" i="4448"/>
  <c r="FO20" i="4448"/>
  <c r="FO21" i="4448"/>
  <c r="FO22" i="4448"/>
  <c r="FO23" i="4448"/>
  <c r="FO24" i="4448"/>
  <c r="FO25" i="4448"/>
  <c r="FO26" i="4448"/>
  <c r="FO27" i="4448"/>
  <c r="FO28" i="4448"/>
  <c r="FO29" i="4448"/>
  <c r="FO30" i="4448"/>
  <c r="FO31" i="4448"/>
  <c r="FO32" i="4448"/>
  <c r="FO33" i="4448"/>
  <c r="FO34" i="4448"/>
  <c r="FO35" i="4448"/>
  <c r="FO36" i="4448"/>
  <c r="FO37" i="4448"/>
  <c r="FO38" i="4448"/>
  <c r="FO39" i="4448"/>
  <c r="FO40" i="4448"/>
  <c r="FO41" i="4448"/>
  <c r="FO42" i="4448"/>
  <c r="FO43" i="4448"/>
  <c r="FO44" i="4448"/>
  <c r="FO45" i="4448"/>
  <c r="FO46" i="4448"/>
  <c r="FO47" i="4448"/>
  <c r="FO48" i="4448"/>
  <c r="FO49" i="4448"/>
  <c r="FO50" i="4448"/>
  <c r="FO51" i="4448"/>
  <c r="FO52" i="4448"/>
  <c r="FO53" i="4448"/>
  <c r="FO54" i="4448"/>
  <c r="FO55" i="4448"/>
  <c r="FO56" i="4448"/>
  <c r="FO57" i="4448"/>
  <c r="FO58" i="4448"/>
  <c r="FO59" i="4448"/>
  <c r="FO60" i="4448"/>
  <c r="FO61" i="4448"/>
  <c r="FO62" i="4448"/>
  <c r="FO63" i="4448"/>
  <c r="FO64" i="4448"/>
  <c r="FO65" i="4448"/>
  <c r="FO66" i="4448"/>
  <c r="FO67" i="4448"/>
  <c r="FO68" i="4448"/>
  <c r="FO69" i="4448"/>
  <c r="FO70" i="4448"/>
  <c r="FO71" i="4448"/>
  <c r="FO72" i="4448"/>
  <c r="FO73" i="4448"/>
  <c r="FO74" i="4448"/>
  <c r="FO75" i="4448"/>
  <c r="FO76" i="4448"/>
  <c r="FO77" i="4448"/>
  <c r="FO78" i="4448"/>
  <c r="FO79" i="4448"/>
  <c r="FO80" i="4448"/>
  <c r="FO81" i="4448"/>
  <c r="FO82" i="4448"/>
  <c r="FO83" i="4448"/>
  <c r="FO84" i="4448"/>
  <c r="FO85" i="4448"/>
  <c r="FO86" i="4448"/>
  <c r="FO87" i="4448"/>
  <c r="FO88" i="4448"/>
  <c r="FO89" i="4448"/>
  <c r="FO90" i="4448"/>
  <c r="FO91" i="4448"/>
  <c r="FO92" i="4448"/>
  <c r="FO93" i="4448"/>
  <c r="FO94" i="4448"/>
  <c r="FO95" i="4448"/>
  <c r="FO96" i="4448"/>
  <c r="FO97" i="4448"/>
  <c r="FO98" i="4448"/>
  <c r="FO99" i="4448"/>
  <c r="FO100" i="4448"/>
  <c r="DS105" i="4448"/>
  <c r="FR102" i="4448"/>
  <c r="FR5" i="4448"/>
  <c r="FR6" i="4448"/>
  <c r="FR7" i="4448"/>
  <c r="FR8" i="4448"/>
  <c r="FR9" i="4448"/>
  <c r="FR10" i="4448"/>
  <c r="FR11" i="4448"/>
  <c r="FR12" i="4448"/>
  <c r="FR13" i="4448"/>
  <c r="FR14" i="4448"/>
  <c r="FR15" i="4448"/>
  <c r="FR16" i="4448"/>
  <c r="FR17" i="4448"/>
  <c r="FR18" i="4448"/>
  <c r="FR19" i="4448"/>
  <c r="FR20" i="4448"/>
  <c r="FR21" i="4448"/>
  <c r="FR22" i="4448"/>
  <c r="FR23" i="4448"/>
  <c r="FR24" i="4448"/>
  <c r="FR25" i="4448"/>
  <c r="FR26" i="4448"/>
  <c r="FR27" i="4448"/>
  <c r="FR28" i="4448"/>
  <c r="FR29" i="4448"/>
  <c r="FR30" i="4448"/>
  <c r="FR31" i="4448"/>
  <c r="FR32" i="4448"/>
  <c r="FR33" i="4448"/>
  <c r="FR34" i="4448"/>
  <c r="FR35" i="4448"/>
  <c r="FR36" i="4448"/>
  <c r="FR37" i="4448"/>
  <c r="FR38" i="4448"/>
  <c r="FR39" i="4448"/>
  <c r="FR40" i="4448"/>
  <c r="FR41" i="4448"/>
  <c r="FR42" i="4448"/>
  <c r="FR43" i="4448"/>
  <c r="FR44" i="4448"/>
  <c r="FR45" i="4448"/>
  <c r="FR46" i="4448"/>
  <c r="FR47" i="4448"/>
  <c r="FR48" i="4448"/>
  <c r="FR49" i="4448"/>
  <c r="FR50" i="4448"/>
  <c r="FR51" i="4448"/>
  <c r="FR52" i="4448"/>
  <c r="FR53" i="4448"/>
  <c r="FR54" i="4448"/>
  <c r="FR55" i="4448"/>
  <c r="FR56" i="4448"/>
  <c r="FR57" i="4448"/>
  <c r="FR58" i="4448"/>
  <c r="FR59" i="4448"/>
  <c r="FR60" i="4448"/>
  <c r="FR61" i="4448"/>
  <c r="FR62" i="4448"/>
  <c r="FR63" i="4448"/>
  <c r="FR64" i="4448"/>
  <c r="FR65" i="4448"/>
  <c r="FR66" i="4448"/>
  <c r="FR67" i="4448"/>
  <c r="FR68" i="4448"/>
  <c r="FR69" i="4448"/>
  <c r="FR70" i="4448"/>
  <c r="FR71" i="4448"/>
  <c r="FR72" i="4448"/>
  <c r="FR73" i="4448"/>
  <c r="FR74" i="4448"/>
  <c r="FR75" i="4448"/>
  <c r="FR76" i="4448"/>
  <c r="FR77" i="4448"/>
  <c r="FR78" i="4448"/>
  <c r="FR79" i="4448"/>
  <c r="FR80" i="4448"/>
  <c r="FR81" i="4448"/>
  <c r="FR82" i="4448"/>
  <c r="FR83" i="4448"/>
  <c r="FR84" i="4448"/>
  <c r="FR85" i="4448"/>
  <c r="FR86" i="4448"/>
  <c r="FR87" i="4448"/>
  <c r="FR88" i="4448"/>
  <c r="FR89" i="4448"/>
  <c r="FR90" i="4448"/>
  <c r="FR91" i="4448"/>
  <c r="FR92" i="4448"/>
  <c r="FR93" i="4448"/>
  <c r="FR94" i="4448"/>
  <c r="FR95" i="4448"/>
  <c r="FR96" i="4448"/>
  <c r="FR97" i="4448"/>
  <c r="FR98" i="4448"/>
  <c r="FR99" i="4448"/>
  <c r="FR100" i="4448"/>
  <c r="DD105" i="4448"/>
  <c r="FC102" i="4448"/>
  <c r="FC5" i="4448"/>
  <c r="FC6" i="4448"/>
  <c r="FC7" i="4448"/>
  <c r="FC8" i="4448"/>
  <c r="FC9" i="4448"/>
  <c r="FC10" i="4448"/>
  <c r="FC11" i="4448"/>
  <c r="FC12" i="4448"/>
  <c r="FC13" i="4448"/>
  <c r="FC14" i="4448"/>
  <c r="FC15" i="4448"/>
  <c r="FC16" i="4448"/>
  <c r="FC17" i="4448"/>
  <c r="FC18" i="4448"/>
  <c r="FC19" i="4448"/>
  <c r="FC20" i="4448"/>
  <c r="FC21" i="4448"/>
  <c r="FC22" i="4448"/>
  <c r="FC23" i="4448"/>
  <c r="FC24" i="4448"/>
  <c r="FC25" i="4448"/>
  <c r="FC26" i="4448"/>
  <c r="FC27" i="4448"/>
  <c r="FC28" i="4448"/>
  <c r="FC29" i="4448"/>
  <c r="FC30" i="4448"/>
  <c r="FC31" i="4448"/>
  <c r="FC32" i="4448"/>
  <c r="FC33" i="4448"/>
  <c r="FC34" i="4448"/>
  <c r="FC35" i="4448"/>
  <c r="FC36" i="4448"/>
  <c r="FC37" i="4448"/>
  <c r="FC38" i="4448"/>
  <c r="FC39" i="4448"/>
  <c r="FC40" i="4448"/>
  <c r="FC41" i="4448"/>
  <c r="FC42" i="4448"/>
  <c r="FC43" i="4448"/>
  <c r="FC44" i="4448"/>
  <c r="FC45" i="4448"/>
  <c r="FC46" i="4448"/>
  <c r="FC47" i="4448"/>
  <c r="FC48" i="4448"/>
  <c r="FC49" i="4448"/>
  <c r="FC50" i="4448"/>
  <c r="FC51" i="4448"/>
  <c r="FC52" i="4448"/>
  <c r="FC53" i="4448"/>
  <c r="FC54" i="4448"/>
  <c r="FC55" i="4448"/>
  <c r="FC56" i="4448"/>
  <c r="FC57" i="4448"/>
  <c r="FC58" i="4448"/>
  <c r="FC59" i="4448"/>
  <c r="FC60" i="4448"/>
  <c r="FC61" i="4448"/>
  <c r="FC62" i="4448"/>
  <c r="FC63" i="4448"/>
  <c r="FC64" i="4448"/>
  <c r="FC65" i="4448"/>
  <c r="FC66" i="4448"/>
  <c r="FC67" i="4448"/>
  <c r="FC68" i="4448"/>
  <c r="FC69" i="4448"/>
  <c r="FC70" i="4448"/>
  <c r="FC71" i="4448"/>
  <c r="FC72" i="4448"/>
  <c r="FC73" i="4448"/>
  <c r="FC74" i="4448"/>
  <c r="FC75" i="4448"/>
  <c r="FC76" i="4448"/>
  <c r="FC77" i="4448"/>
  <c r="FC78" i="4448"/>
  <c r="FC79" i="4448"/>
  <c r="FC80" i="4448"/>
  <c r="FC81" i="4448"/>
  <c r="FC82" i="4448"/>
  <c r="FC83" i="4448"/>
  <c r="FC84" i="4448"/>
  <c r="FC85" i="4448"/>
  <c r="FC86" i="4448"/>
  <c r="FC87" i="4448"/>
  <c r="FC88" i="4448"/>
  <c r="FC89" i="4448"/>
  <c r="FC90" i="4448"/>
  <c r="FC91" i="4448"/>
  <c r="FC92" i="4448"/>
  <c r="FC93" i="4448"/>
  <c r="FC94" i="4448"/>
  <c r="FC95" i="4448"/>
  <c r="FC96" i="4448"/>
  <c r="FC97" i="4448"/>
  <c r="FC98" i="4448"/>
  <c r="FC99" i="4448"/>
  <c r="FC100" i="4448"/>
  <c r="ED105" i="4448"/>
  <c r="GC102" i="4448"/>
  <c r="GC5" i="4448"/>
  <c r="GC6" i="4448"/>
  <c r="GC7" i="4448"/>
  <c r="GC8" i="4448"/>
  <c r="GC9" i="4448"/>
  <c r="GC10" i="4448"/>
  <c r="GC11" i="4448"/>
  <c r="GC12" i="4448"/>
  <c r="GC13" i="4448"/>
  <c r="GC14" i="4448"/>
  <c r="GC15" i="4448"/>
  <c r="GC16" i="4448"/>
  <c r="GC17" i="4448"/>
  <c r="GC18" i="4448"/>
  <c r="GC19" i="4448"/>
  <c r="GC20" i="4448"/>
  <c r="GC21" i="4448"/>
  <c r="GC22" i="4448"/>
  <c r="GC23" i="4448"/>
  <c r="GC24" i="4448"/>
  <c r="GC25" i="4448"/>
  <c r="GC26" i="4448"/>
  <c r="GC27" i="4448"/>
  <c r="GC28" i="4448"/>
  <c r="GC29" i="4448"/>
  <c r="GC30" i="4448"/>
  <c r="GC31" i="4448"/>
  <c r="GC32" i="4448"/>
  <c r="GC33" i="4448"/>
  <c r="GC34" i="4448"/>
  <c r="GC35" i="4448"/>
  <c r="GC36" i="4448"/>
  <c r="GC37" i="4448"/>
  <c r="GC38" i="4448"/>
  <c r="GC39" i="4448"/>
  <c r="GC40" i="4448"/>
  <c r="GC41" i="4448"/>
  <c r="GC42" i="4448"/>
  <c r="GC43" i="4448"/>
  <c r="GC44" i="4448"/>
  <c r="GC45" i="4448"/>
  <c r="GC46" i="4448"/>
  <c r="GC47" i="4448"/>
  <c r="GC48" i="4448"/>
  <c r="GC49" i="4448"/>
  <c r="GC50" i="4448"/>
  <c r="GC51" i="4448"/>
  <c r="GC52" i="4448"/>
  <c r="GC53" i="4448"/>
  <c r="GC54" i="4448"/>
  <c r="GC55" i="4448"/>
  <c r="GC56" i="4448"/>
  <c r="GC57" i="4448"/>
  <c r="GC58" i="4448"/>
  <c r="GC59" i="4448"/>
  <c r="GC60" i="4448"/>
  <c r="GC61" i="4448"/>
  <c r="GC62" i="4448"/>
  <c r="GC63" i="4448"/>
  <c r="GC64" i="4448"/>
  <c r="GC65" i="4448"/>
  <c r="GC66" i="4448"/>
  <c r="GC67" i="4448"/>
  <c r="GC68" i="4448"/>
  <c r="GC69" i="4448"/>
  <c r="GC70" i="4448"/>
  <c r="GC71" i="4448"/>
  <c r="GC72" i="4448"/>
  <c r="GC73" i="4448"/>
  <c r="GC74" i="4448"/>
  <c r="GC75" i="4448"/>
  <c r="GC76" i="4448"/>
  <c r="GC77" i="4448"/>
  <c r="GC78" i="4448"/>
  <c r="GC79" i="4448"/>
  <c r="GC80" i="4448"/>
  <c r="GC81" i="4448"/>
  <c r="GC82" i="4448"/>
  <c r="GC83" i="4448"/>
  <c r="GC84" i="4448"/>
  <c r="GC85" i="4448"/>
  <c r="GC86" i="4448"/>
  <c r="GC87" i="4448"/>
  <c r="GC88" i="4448"/>
  <c r="GC89" i="4448"/>
  <c r="GC90" i="4448"/>
  <c r="GC91" i="4448"/>
  <c r="GC92" i="4448"/>
  <c r="GC93" i="4448"/>
  <c r="GC94" i="4448"/>
  <c r="GC95" i="4448"/>
  <c r="GC96" i="4448"/>
  <c r="GC97" i="4448"/>
  <c r="GC98" i="4448"/>
  <c r="GC99" i="4448"/>
  <c r="GC100" i="4448"/>
  <c r="EH105" i="4448"/>
  <c r="GG102" i="4448"/>
  <c r="GG5" i="4448"/>
  <c r="GG6" i="4448"/>
  <c r="GG7" i="4448"/>
  <c r="GG8" i="4448"/>
  <c r="GG9" i="4448"/>
  <c r="GG10" i="4448"/>
  <c r="GG11" i="4448"/>
  <c r="GG12" i="4448"/>
  <c r="GG13" i="4448"/>
  <c r="GG14" i="4448"/>
  <c r="GG15" i="4448"/>
  <c r="GG16" i="4448"/>
  <c r="GG17" i="4448"/>
  <c r="GG18" i="4448"/>
  <c r="GG19" i="4448"/>
  <c r="GG20" i="4448"/>
  <c r="GG21" i="4448"/>
  <c r="GG22" i="4448"/>
  <c r="GG23" i="4448"/>
  <c r="GG24" i="4448"/>
  <c r="GG25" i="4448"/>
  <c r="GG26" i="4448"/>
  <c r="GG27" i="4448"/>
  <c r="GG28" i="4448"/>
  <c r="GG29" i="4448"/>
  <c r="GG30" i="4448"/>
  <c r="GG31" i="4448"/>
  <c r="GG32" i="4448"/>
  <c r="GG33" i="4448"/>
  <c r="GG34" i="4448"/>
  <c r="GG35" i="4448"/>
  <c r="GG36" i="4448"/>
  <c r="GG37" i="4448"/>
  <c r="GG38" i="4448"/>
  <c r="GG39" i="4448"/>
  <c r="GG40" i="4448"/>
  <c r="GG41" i="4448"/>
  <c r="GG42" i="4448"/>
  <c r="GG43" i="4448"/>
  <c r="GG44" i="4448"/>
  <c r="GG45" i="4448"/>
  <c r="GG46" i="4448"/>
  <c r="GG47" i="4448"/>
  <c r="GG48" i="4448"/>
  <c r="GG49" i="4448"/>
  <c r="GG50" i="4448"/>
  <c r="GG51" i="4448"/>
  <c r="GG52" i="4448"/>
  <c r="GG53" i="4448"/>
  <c r="GG54" i="4448"/>
  <c r="GG55" i="4448"/>
  <c r="GG56" i="4448"/>
  <c r="GG57" i="4448"/>
  <c r="GG58" i="4448"/>
  <c r="GG59" i="4448"/>
  <c r="GG60" i="4448"/>
  <c r="GG61" i="4448"/>
  <c r="GG62" i="4448"/>
  <c r="GG63" i="4448"/>
  <c r="GG64" i="4448"/>
  <c r="GG65" i="4448"/>
  <c r="GG66" i="4448"/>
  <c r="GG67" i="4448"/>
  <c r="GG68" i="4448"/>
  <c r="GG69" i="4448"/>
  <c r="GG70" i="4448"/>
  <c r="GG71" i="4448"/>
  <c r="GG72" i="4448"/>
  <c r="GG73" i="4448"/>
  <c r="GG74" i="4448"/>
  <c r="GG75" i="4448"/>
  <c r="GG76" i="4448"/>
  <c r="GG77" i="4448"/>
  <c r="GG78" i="4448"/>
  <c r="GG79" i="4448"/>
  <c r="GG80" i="4448"/>
  <c r="GG81" i="4448"/>
  <c r="GG82" i="4448"/>
  <c r="GG83" i="4448"/>
  <c r="GG84" i="4448"/>
  <c r="GG85" i="4448"/>
  <c r="GG86" i="4448"/>
  <c r="GG87" i="4448"/>
  <c r="GG88" i="4448"/>
  <c r="GG89" i="4448"/>
  <c r="GG90" i="4448"/>
  <c r="GG91" i="4448"/>
  <c r="GG92" i="4448"/>
  <c r="GG93" i="4448"/>
  <c r="GG94" i="4448"/>
  <c r="GG95" i="4448"/>
  <c r="GG96" i="4448"/>
  <c r="GG97" i="4448"/>
  <c r="GG98" i="4448"/>
  <c r="GG99" i="4448"/>
  <c r="GG100" i="4448"/>
  <c r="DU105" i="4448"/>
  <c r="FT102" i="4448"/>
  <c r="FT5" i="4448"/>
  <c r="FT6" i="4448"/>
  <c r="FT7" i="4448"/>
  <c r="FT8" i="4448"/>
  <c r="FT9" i="4448"/>
  <c r="FT10" i="4448"/>
  <c r="FT11" i="4448"/>
  <c r="FT12" i="4448"/>
  <c r="FT13" i="4448"/>
  <c r="FT14" i="4448"/>
  <c r="FT15" i="4448"/>
  <c r="FT16" i="4448"/>
  <c r="FT17" i="4448"/>
  <c r="FT18" i="4448"/>
  <c r="FT19" i="4448"/>
  <c r="FT20" i="4448"/>
  <c r="FT21" i="4448"/>
  <c r="FT22" i="4448"/>
  <c r="FT23" i="4448"/>
  <c r="FT24" i="4448"/>
  <c r="FT25" i="4448"/>
  <c r="FT26" i="4448"/>
  <c r="FT27" i="4448"/>
  <c r="FT28" i="4448"/>
  <c r="FT29" i="4448"/>
  <c r="FT30" i="4448"/>
  <c r="FT31" i="4448"/>
  <c r="FT32" i="4448"/>
  <c r="FT33" i="4448"/>
  <c r="FT34" i="4448"/>
  <c r="FT35" i="4448"/>
  <c r="FT36" i="4448"/>
  <c r="FT37" i="4448"/>
  <c r="FT38" i="4448"/>
  <c r="FT39" i="4448"/>
  <c r="FT40" i="4448"/>
  <c r="FT41" i="4448"/>
  <c r="FT42" i="4448"/>
  <c r="FT43" i="4448"/>
  <c r="FT44" i="4448"/>
  <c r="FT45" i="4448"/>
  <c r="FT46" i="4448"/>
  <c r="FT47" i="4448"/>
  <c r="FT48" i="4448"/>
  <c r="FT49" i="4448"/>
  <c r="FT50" i="4448"/>
  <c r="FT51" i="4448"/>
  <c r="FT52" i="4448"/>
  <c r="FT53" i="4448"/>
  <c r="FT54" i="4448"/>
  <c r="FT55" i="4448"/>
  <c r="FT56" i="4448"/>
  <c r="FT57" i="4448"/>
  <c r="FT58" i="4448"/>
  <c r="FT59" i="4448"/>
  <c r="FT60" i="4448"/>
  <c r="FT61" i="4448"/>
  <c r="FT62" i="4448"/>
  <c r="FT63" i="4448"/>
  <c r="FT64" i="4448"/>
  <c r="FT65" i="4448"/>
  <c r="FT66" i="4448"/>
  <c r="FT67" i="4448"/>
  <c r="FT68" i="4448"/>
  <c r="FT69" i="4448"/>
  <c r="FT70" i="4448"/>
  <c r="FT71" i="4448"/>
  <c r="FT72" i="4448"/>
  <c r="FT73" i="4448"/>
  <c r="FT74" i="4448"/>
  <c r="FT75" i="4448"/>
  <c r="FT76" i="4448"/>
  <c r="FT77" i="4448"/>
  <c r="FT78" i="4448"/>
  <c r="FT79" i="4448"/>
  <c r="FT80" i="4448"/>
  <c r="FT81" i="4448"/>
  <c r="FT82" i="4448"/>
  <c r="FT83" i="4448"/>
  <c r="FT84" i="4448"/>
  <c r="FT85" i="4448"/>
  <c r="FT86" i="4448"/>
  <c r="FT87" i="4448"/>
  <c r="FT88" i="4448"/>
  <c r="FT89" i="4448"/>
  <c r="FT90" i="4448"/>
  <c r="FT91" i="4448"/>
  <c r="FT92" i="4448"/>
  <c r="FT93" i="4448"/>
  <c r="FT94" i="4448"/>
  <c r="FT95" i="4448"/>
  <c r="FT96" i="4448"/>
  <c r="FT97" i="4448"/>
  <c r="FT98" i="4448"/>
  <c r="FT99" i="4448"/>
  <c r="FT100" i="4448"/>
  <c r="EC105" i="4448"/>
  <c r="GB102" i="4448"/>
  <c r="GB5" i="4448"/>
  <c r="GB6" i="4448"/>
  <c r="GB7" i="4448"/>
  <c r="GB8" i="4448"/>
  <c r="GB9" i="4448"/>
  <c r="GB10" i="4448"/>
  <c r="GB11" i="4448"/>
  <c r="GB12" i="4448"/>
  <c r="GB13" i="4448"/>
  <c r="GB14" i="4448"/>
  <c r="GB15" i="4448"/>
  <c r="GB16" i="4448"/>
  <c r="GB17" i="4448"/>
  <c r="GB18" i="4448"/>
  <c r="GB19" i="4448"/>
  <c r="GB20" i="4448"/>
  <c r="GB21" i="4448"/>
  <c r="GB22" i="4448"/>
  <c r="GB23" i="4448"/>
  <c r="GB24" i="4448"/>
  <c r="GB25" i="4448"/>
  <c r="GB26" i="4448"/>
  <c r="GB27" i="4448"/>
  <c r="GB28" i="4448"/>
  <c r="GB29" i="4448"/>
  <c r="GB30" i="4448"/>
  <c r="GB31" i="4448"/>
  <c r="GB32" i="4448"/>
  <c r="GB33" i="4448"/>
  <c r="GB34" i="4448"/>
  <c r="GB35" i="4448"/>
  <c r="GB36" i="4448"/>
  <c r="GB37" i="4448"/>
  <c r="GB38" i="4448"/>
  <c r="GB39" i="4448"/>
  <c r="GB40" i="4448"/>
  <c r="GB41" i="4448"/>
  <c r="GB42" i="4448"/>
  <c r="GB43" i="4448"/>
  <c r="GB44" i="4448"/>
  <c r="GB45" i="4448"/>
  <c r="GB46" i="4448"/>
  <c r="GB47" i="4448"/>
  <c r="GB48" i="4448"/>
  <c r="GB49" i="4448"/>
  <c r="GB50" i="4448"/>
  <c r="GB51" i="4448"/>
  <c r="GB52" i="4448"/>
  <c r="GB53" i="4448"/>
  <c r="GB54" i="4448"/>
  <c r="GB55" i="4448"/>
  <c r="GB56" i="4448"/>
  <c r="GB57" i="4448"/>
  <c r="GB58" i="4448"/>
  <c r="GB59" i="4448"/>
  <c r="GB60" i="4448"/>
  <c r="GB61" i="4448"/>
  <c r="GB62" i="4448"/>
  <c r="GB63" i="4448"/>
  <c r="GB64" i="4448"/>
  <c r="GB65" i="4448"/>
  <c r="GB66" i="4448"/>
  <c r="GB67" i="4448"/>
  <c r="GB68" i="4448"/>
  <c r="GB69" i="4448"/>
  <c r="GB70" i="4448"/>
  <c r="GB71" i="4448"/>
  <c r="GB72" i="4448"/>
  <c r="GB73" i="4448"/>
  <c r="GB74" i="4448"/>
  <c r="GB75" i="4448"/>
  <c r="GB76" i="4448"/>
  <c r="GB77" i="4448"/>
  <c r="GB78" i="4448"/>
  <c r="GB79" i="4448"/>
  <c r="GB80" i="4448"/>
  <c r="GB81" i="4448"/>
  <c r="GB82" i="4448"/>
  <c r="GB83" i="4448"/>
  <c r="GB84" i="4448"/>
  <c r="GB85" i="4448"/>
  <c r="GB86" i="4448"/>
  <c r="GB87" i="4448"/>
  <c r="GB88" i="4448"/>
  <c r="GB89" i="4448"/>
  <c r="GB90" i="4448"/>
  <c r="GB91" i="4448"/>
  <c r="GB92" i="4448"/>
  <c r="GB93" i="4448"/>
  <c r="GB94" i="4448"/>
  <c r="GB95" i="4448"/>
  <c r="GB96" i="4448"/>
  <c r="GB97" i="4448"/>
  <c r="GB98" i="4448"/>
  <c r="GB99" i="4448"/>
  <c r="GB100" i="4448"/>
  <c r="EG105" i="4448"/>
  <c r="GF102" i="4448"/>
  <c r="GF5" i="4448"/>
  <c r="GF6" i="4448"/>
  <c r="GF7" i="4448"/>
  <c r="GF8" i="4448"/>
  <c r="GF9" i="4448"/>
  <c r="GF10" i="4448"/>
  <c r="GF11" i="4448"/>
  <c r="GF12" i="4448"/>
  <c r="GF13" i="4448"/>
  <c r="GF14" i="4448"/>
  <c r="GF15" i="4448"/>
  <c r="GF16" i="4448"/>
  <c r="GF17" i="4448"/>
  <c r="GF18" i="4448"/>
  <c r="GF19" i="4448"/>
  <c r="GF20" i="4448"/>
  <c r="GF21" i="4448"/>
  <c r="GF22" i="4448"/>
  <c r="GF23" i="4448"/>
  <c r="GF24" i="4448"/>
  <c r="GF25" i="4448"/>
  <c r="GF26" i="4448"/>
  <c r="GF27" i="4448"/>
  <c r="GF28" i="4448"/>
  <c r="GF29" i="4448"/>
  <c r="GF30" i="4448"/>
  <c r="GF31" i="4448"/>
  <c r="GF32" i="4448"/>
  <c r="GF33" i="4448"/>
  <c r="GF34" i="4448"/>
  <c r="GF35" i="4448"/>
  <c r="GF36" i="4448"/>
  <c r="GF37" i="4448"/>
  <c r="GF38" i="4448"/>
  <c r="GF39" i="4448"/>
  <c r="GF40" i="4448"/>
  <c r="GF41" i="4448"/>
  <c r="GF42" i="4448"/>
  <c r="GF43" i="4448"/>
  <c r="GF44" i="4448"/>
  <c r="GF45" i="4448"/>
  <c r="GF46" i="4448"/>
  <c r="GF47" i="4448"/>
  <c r="GF48" i="4448"/>
  <c r="GF49" i="4448"/>
  <c r="GF50" i="4448"/>
  <c r="GF51" i="4448"/>
  <c r="GF52" i="4448"/>
  <c r="GF53" i="4448"/>
  <c r="GF54" i="4448"/>
  <c r="GF55" i="4448"/>
  <c r="GF56" i="4448"/>
  <c r="GF57" i="4448"/>
  <c r="GF58" i="4448"/>
  <c r="GF59" i="4448"/>
  <c r="GF60" i="4448"/>
  <c r="GF61" i="4448"/>
  <c r="GF62" i="4448"/>
  <c r="GF63" i="4448"/>
  <c r="GF64" i="4448"/>
  <c r="GF65" i="4448"/>
  <c r="GF66" i="4448"/>
  <c r="GF67" i="4448"/>
  <c r="GF68" i="4448"/>
  <c r="GF69" i="4448"/>
  <c r="GF70" i="4448"/>
  <c r="GF71" i="4448"/>
  <c r="GF72" i="4448"/>
  <c r="GF73" i="4448"/>
  <c r="GF74" i="4448"/>
  <c r="GF75" i="4448"/>
  <c r="GF76" i="4448"/>
  <c r="GF77" i="4448"/>
  <c r="GF78" i="4448"/>
  <c r="GF79" i="4448"/>
  <c r="GF80" i="4448"/>
  <c r="GF81" i="4448"/>
  <c r="GF82" i="4448"/>
  <c r="GF83" i="4448"/>
  <c r="GF84" i="4448"/>
  <c r="GF85" i="4448"/>
  <c r="GF86" i="4448"/>
  <c r="GF87" i="4448"/>
  <c r="GF88" i="4448"/>
  <c r="GF89" i="4448"/>
  <c r="GF90" i="4448"/>
  <c r="GF91" i="4448"/>
  <c r="GF92" i="4448"/>
  <c r="GF93" i="4448"/>
  <c r="GF94" i="4448"/>
  <c r="GF95" i="4448"/>
  <c r="GF96" i="4448"/>
  <c r="GF97" i="4448"/>
  <c r="GF98" i="4448"/>
  <c r="GF99" i="4448"/>
  <c r="GF100" i="4448"/>
  <c r="FA102" i="4448"/>
  <c r="FA5" i="4448"/>
  <c r="FA6" i="4448"/>
  <c r="FA7" i="4448"/>
  <c r="FA8" i="4448"/>
  <c r="FA9" i="4448"/>
  <c r="FA10" i="4448"/>
  <c r="FA11" i="4448"/>
  <c r="FA12" i="4448"/>
  <c r="FA13" i="4448"/>
  <c r="FA14" i="4448"/>
  <c r="FA15" i="4448"/>
  <c r="FA16" i="4448"/>
  <c r="FA17" i="4448"/>
  <c r="FA18" i="4448"/>
  <c r="FA19" i="4448"/>
  <c r="FA20" i="4448"/>
  <c r="FA21" i="4448"/>
  <c r="FA22" i="4448"/>
  <c r="FA23" i="4448"/>
  <c r="FA24" i="4448"/>
  <c r="FA25" i="4448"/>
  <c r="FA26" i="4448"/>
  <c r="FA27" i="4448"/>
  <c r="FA28" i="4448"/>
  <c r="FA29" i="4448"/>
  <c r="FA30" i="4448"/>
  <c r="FA31" i="4448"/>
  <c r="FA32" i="4448"/>
  <c r="FA33" i="4448"/>
  <c r="FA34" i="4448"/>
  <c r="FA35" i="4448"/>
  <c r="FA36" i="4448"/>
  <c r="FA37" i="4448"/>
  <c r="FA38" i="4448"/>
  <c r="FA39" i="4448"/>
  <c r="FA40" i="4448"/>
  <c r="FA41" i="4448"/>
  <c r="FA42" i="4448"/>
  <c r="FA43" i="4448"/>
  <c r="FA44" i="4448"/>
  <c r="FA45" i="4448"/>
  <c r="FA46" i="4448"/>
  <c r="FA47" i="4448"/>
  <c r="FA48" i="4448"/>
  <c r="FA49" i="4448"/>
  <c r="FA50" i="4448"/>
  <c r="FA51" i="4448"/>
  <c r="FA52" i="4448"/>
  <c r="FA53" i="4448"/>
  <c r="FA54" i="4448"/>
  <c r="FA55" i="4448"/>
  <c r="FA56" i="4448"/>
  <c r="FA57" i="4448"/>
  <c r="FA58" i="4448"/>
  <c r="FA59" i="4448"/>
  <c r="FA60" i="4448"/>
  <c r="FA61" i="4448"/>
  <c r="FA62" i="4448"/>
  <c r="FA63" i="4448"/>
  <c r="FA64" i="4448"/>
  <c r="FA65" i="4448"/>
  <c r="FA66" i="4448"/>
  <c r="FA67" i="4448"/>
  <c r="FA68" i="4448"/>
  <c r="FA69" i="4448"/>
  <c r="FA70" i="4448"/>
  <c r="FA71" i="4448"/>
  <c r="FA72" i="4448"/>
  <c r="FA73" i="4448"/>
  <c r="FA74" i="4448"/>
  <c r="FA75" i="4448"/>
  <c r="FA76" i="4448"/>
  <c r="FA77" i="4448"/>
  <c r="FA78" i="4448"/>
  <c r="FA79" i="4448"/>
  <c r="FA80" i="4448"/>
  <c r="FA81" i="4448"/>
  <c r="FA82" i="4448"/>
  <c r="FA83" i="4448"/>
  <c r="FA84" i="4448"/>
  <c r="FA85" i="4448"/>
  <c r="FA86" i="4448"/>
  <c r="FA87" i="4448"/>
  <c r="FA88" i="4448"/>
  <c r="FA89" i="4448"/>
  <c r="FA90" i="4448"/>
  <c r="FA91" i="4448"/>
  <c r="FA92" i="4448"/>
  <c r="FA93" i="4448"/>
  <c r="FA94" i="4448"/>
  <c r="FA95" i="4448"/>
  <c r="FA96" i="4448"/>
  <c r="FA97" i="4448"/>
  <c r="FA98" i="4448"/>
  <c r="FA99" i="4448"/>
  <c r="FA100" i="4448"/>
  <c r="DO105" i="4448"/>
  <c r="FN102" i="4448"/>
  <c r="FN5" i="4448"/>
  <c r="FN6" i="4448"/>
  <c r="FN7" i="4448"/>
  <c r="FN8" i="4448"/>
  <c r="FN9" i="4448"/>
  <c r="FN10" i="4448"/>
  <c r="FN11" i="4448"/>
  <c r="FN12" i="4448"/>
  <c r="FN13" i="4448"/>
  <c r="FN14" i="4448"/>
  <c r="FN15" i="4448"/>
  <c r="FN16" i="4448"/>
  <c r="FN17" i="4448"/>
  <c r="FN18" i="4448"/>
  <c r="FN19" i="4448"/>
  <c r="FN20" i="4448"/>
  <c r="FN21" i="4448"/>
  <c r="FN22" i="4448"/>
  <c r="FN23" i="4448"/>
  <c r="FN24" i="4448"/>
  <c r="FN25" i="4448"/>
  <c r="FN26" i="4448"/>
  <c r="FN27" i="4448"/>
  <c r="FN28" i="4448"/>
  <c r="FN29" i="4448"/>
  <c r="FN30" i="4448"/>
  <c r="FN31" i="4448"/>
  <c r="FN32" i="4448"/>
  <c r="FN33" i="4448"/>
  <c r="FN34" i="4448"/>
  <c r="FN35" i="4448"/>
  <c r="FN36" i="4448"/>
  <c r="FN37" i="4448"/>
  <c r="FN38" i="4448"/>
  <c r="FN39" i="4448"/>
  <c r="FN40" i="4448"/>
  <c r="FN41" i="4448"/>
  <c r="FN42" i="4448"/>
  <c r="FN43" i="4448"/>
  <c r="FN44" i="4448"/>
  <c r="FN45" i="4448"/>
  <c r="FN46" i="4448"/>
  <c r="FN47" i="4448"/>
  <c r="FN48" i="4448"/>
  <c r="FN49" i="4448"/>
  <c r="FN50" i="4448"/>
  <c r="FN51" i="4448"/>
  <c r="FN52" i="4448"/>
  <c r="FN53" i="4448"/>
  <c r="FN54" i="4448"/>
  <c r="FN55" i="4448"/>
  <c r="FN56" i="4448"/>
  <c r="FN57" i="4448"/>
  <c r="FN58" i="4448"/>
  <c r="FN59" i="4448"/>
  <c r="FN60" i="4448"/>
  <c r="FN61" i="4448"/>
  <c r="FN62" i="4448"/>
  <c r="FN63" i="4448"/>
  <c r="FN64" i="4448"/>
  <c r="FN65" i="4448"/>
  <c r="FN66" i="4448"/>
  <c r="FN67" i="4448"/>
  <c r="FN68" i="4448"/>
  <c r="FN69" i="4448"/>
  <c r="FN70" i="4448"/>
  <c r="FN71" i="4448"/>
  <c r="FN72" i="4448"/>
  <c r="FN73" i="4448"/>
  <c r="FN74" i="4448"/>
  <c r="FN75" i="4448"/>
  <c r="FN76" i="4448"/>
  <c r="FN77" i="4448"/>
  <c r="FN78" i="4448"/>
  <c r="FN79" i="4448"/>
  <c r="FN80" i="4448"/>
  <c r="FN81" i="4448"/>
  <c r="FN82" i="4448"/>
  <c r="FN83" i="4448"/>
  <c r="FN84" i="4448"/>
  <c r="FN85" i="4448"/>
  <c r="FN86" i="4448"/>
  <c r="FN87" i="4448"/>
  <c r="FN88" i="4448"/>
  <c r="FN89" i="4448"/>
  <c r="FN90" i="4448"/>
  <c r="FN91" i="4448"/>
  <c r="FN92" i="4448"/>
  <c r="FN93" i="4448"/>
  <c r="FN94" i="4448"/>
  <c r="FN95" i="4448"/>
  <c r="FN96" i="4448"/>
  <c r="FN97" i="4448"/>
  <c r="FN98" i="4448"/>
  <c r="FN99" i="4448"/>
  <c r="FN100" i="4448"/>
  <c r="DZ105" i="4448"/>
  <c r="FY102" i="4448"/>
  <c r="FY5" i="4448"/>
  <c r="FY6" i="4448"/>
  <c r="FY7" i="4448"/>
  <c r="FY8" i="4448"/>
  <c r="FY9" i="4448"/>
  <c r="FY10" i="4448"/>
  <c r="FY11" i="4448"/>
  <c r="FY12" i="4448"/>
  <c r="FY13" i="4448"/>
  <c r="FY14" i="4448"/>
  <c r="FY15" i="4448"/>
  <c r="FY16" i="4448"/>
  <c r="FY17" i="4448"/>
  <c r="FY18" i="4448"/>
  <c r="FY19" i="4448"/>
  <c r="FY20" i="4448"/>
  <c r="FY21" i="4448"/>
  <c r="FY22" i="4448"/>
  <c r="FY23" i="4448"/>
  <c r="FY24" i="4448"/>
  <c r="FY25" i="4448"/>
  <c r="FY26" i="4448"/>
  <c r="FY27" i="4448"/>
  <c r="FY28" i="4448"/>
  <c r="FY29" i="4448"/>
  <c r="FY30" i="4448"/>
  <c r="FY31" i="4448"/>
  <c r="FY32" i="4448"/>
  <c r="FY33" i="4448"/>
  <c r="FY34" i="4448"/>
  <c r="FY35" i="4448"/>
  <c r="FY36" i="4448"/>
  <c r="FY37" i="4448"/>
  <c r="FY38" i="4448"/>
  <c r="FY39" i="4448"/>
  <c r="FY40" i="4448"/>
  <c r="FY41" i="4448"/>
  <c r="FY42" i="4448"/>
  <c r="FY43" i="4448"/>
  <c r="FY44" i="4448"/>
  <c r="FY45" i="4448"/>
  <c r="FY46" i="4448"/>
  <c r="FY47" i="4448"/>
  <c r="FY48" i="4448"/>
  <c r="FY49" i="4448"/>
  <c r="FY50" i="4448"/>
  <c r="FY51" i="4448"/>
  <c r="FY52" i="4448"/>
  <c r="FY53" i="4448"/>
  <c r="FY54" i="4448"/>
  <c r="FY55" i="4448"/>
  <c r="FY56" i="4448"/>
  <c r="FY57" i="4448"/>
  <c r="FY58" i="4448"/>
  <c r="FY59" i="4448"/>
  <c r="FY60" i="4448"/>
  <c r="FY61" i="4448"/>
  <c r="FY62" i="4448"/>
  <c r="FY63" i="4448"/>
  <c r="FY64" i="4448"/>
  <c r="FY65" i="4448"/>
  <c r="FY66" i="4448"/>
  <c r="FY67" i="4448"/>
  <c r="FY68" i="4448"/>
  <c r="FY69" i="4448"/>
  <c r="FY70" i="4448"/>
  <c r="FY71" i="4448"/>
  <c r="FY72" i="4448"/>
  <c r="FY73" i="4448"/>
  <c r="FY74" i="4448"/>
  <c r="FY75" i="4448"/>
  <c r="FY76" i="4448"/>
  <c r="FY77" i="4448"/>
  <c r="FY78" i="4448"/>
  <c r="FY79" i="4448"/>
  <c r="FY80" i="4448"/>
  <c r="FY81" i="4448"/>
  <c r="FY82" i="4448"/>
  <c r="FY83" i="4448"/>
  <c r="FY84" i="4448"/>
  <c r="FY85" i="4448"/>
  <c r="FY86" i="4448"/>
  <c r="FY87" i="4448"/>
  <c r="FY88" i="4448"/>
  <c r="FY89" i="4448"/>
  <c r="FY90" i="4448"/>
  <c r="FY91" i="4448"/>
  <c r="FY92" i="4448"/>
  <c r="FY93" i="4448"/>
  <c r="FY94" i="4448"/>
  <c r="FY95" i="4448"/>
  <c r="FY96" i="4448"/>
  <c r="FY97" i="4448"/>
  <c r="FY98" i="4448"/>
  <c r="FY99" i="4448"/>
  <c r="FY100" i="4448"/>
  <c r="DY105" i="4448"/>
  <c r="FX102" i="4448"/>
  <c r="FX5" i="4448"/>
  <c r="FX6" i="4448"/>
  <c r="FX7" i="4448"/>
  <c r="FX8" i="4448"/>
  <c r="FX9" i="4448"/>
  <c r="FX10" i="4448"/>
  <c r="FX11" i="4448"/>
  <c r="FX12" i="4448"/>
  <c r="FX13" i="4448"/>
  <c r="FX14" i="4448"/>
  <c r="FX15" i="4448"/>
  <c r="FX16" i="4448"/>
  <c r="FX17" i="4448"/>
  <c r="FX18" i="4448"/>
  <c r="FX19" i="4448"/>
  <c r="FX20" i="4448"/>
  <c r="FX21" i="4448"/>
  <c r="FX22" i="4448"/>
  <c r="FX23" i="4448"/>
  <c r="FX24" i="4448"/>
  <c r="FX25" i="4448"/>
  <c r="FX26" i="4448"/>
  <c r="FX27" i="4448"/>
  <c r="FX28" i="4448"/>
  <c r="FX29" i="4448"/>
  <c r="FX30" i="4448"/>
  <c r="FX31" i="4448"/>
  <c r="FX32" i="4448"/>
  <c r="FX33" i="4448"/>
  <c r="FX34" i="4448"/>
  <c r="FX35" i="4448"/>
  <c r="FX36" i="4448"/>
  <c r="FX37" i="4448"/>
  <c r="FX38" i="4448"/>
  <c r="FX39" i="4448"/>
  <c r="FX40" i="4448"/>
  <c r="FX41" i="4448"/>
  <c r="FX42" i="4448"/>
  <c r="FX43" i="4448"/>
  <c r="FX44" i="4448"/>
  <c r="FX45" i="4448"/>
  <c r="FX46" i="4448"/>
  <c r="FX47" i="4448"/>
  <c r="FX48" i="4448"/>
  <c r="FX49" i="4448"/>
  <c r="FX50" i="4448"/>
  <c r="FX51" i="4448"/>
  <c r="FX52" i="4448"/>
  <c r="FX53" i="4448"/>
  <c r="FX54" i="4448"/>
  <c r="FX55" i="4448"/>
  <c r="FX56" i="4448"/>
  <c r="FX57" i="4448"/>
  <c r="FX58" i="4448"/>
  <c r="FX59" i="4448"/>
  <c r="FX60" i="4448"/>
  <c r="FX61" i="4448"/>
  <c r="FX62" i="4448"/>
  <c r="FX63" i="4448"/>
  <c r="FX64" i="4448"/>
  <c r="FX65" i="4448"/>
  <c r="FX66" i="4448"/>
  <c r="FX67" i="4448"/>
  <c r="FX68" i="4448"/>
  <c r="FX69" i="4448"/>
  <c r="FX70" i="4448"/>
  <c r="FX71" i="4448"/>
  <c r="FX72" i="4448"/>
  <c r="FX73" i="4448"/>
  <c r="FX74" i="4448"/>
  <c r="FX75" i="4448"/>
  <c r="FX76" i="4448"/>
  <c r="FX77" i="4448"/>
  <c r="FX78" i="4448"/>
  <c r="FX79" i="4448"/>
  <c r="FX80" i="4448"/>
  <c r="FX81" i="4448"/>
  <c r="FX82" i="4448"/>
  <c r="FX83" i="4448"/>
  <c r="FX84" i="4448"/>
  <c r="FX85" i="4448"/>
  <c r="FX86" i="4448"/>
  <c r="FX87" i="4448"/>
  <c r="FX88" i="4448"/>
  <c r="FX89" i="4448"/>
  <c r="FX90" i="4448"/>
  <c r="FX91" i="4448"/>
  <c r="FX92" i="4448"/>
  <c r="FX93" i="4448"/>
  <c r="FX94" i="4448"/>
  <c r="FX95" i="4448"/>
  <c r="FX96" i="4448"/>
  <c r="FX97" i="4448"/>
  <c r="FX98" i="4448"/>
  <c r="FX99" i="4448"/>
  <c r="FX100" i="4448"/>
  <c r="DA105" i="4448"/>
  <c r="EZ102" i="4448"/>
  <c r="EZ5" i="4448"/>
  <c r="EZ6" i="4448"/>
  <c r="EZ7" i="4448"/>
  <c r="EZ8" i="4448"/>
  <c r="EZ9" i="4448"/>
  <c r="EZ10" i="4448"/>
  <c r="EZ11" i="4448"/>
  <c r="EZ12" i="4448"/>
  <c r="EZ13" i="4448"/>
  <c r="EZ14" i="4448"/>
  <c r="EZ15" i="4448"/>
  <c r="EZ16" i="4448"/>
  <c r="EZ17" i="4448"/>
  <c r="EZ18" i="4448"/>
  <c r="EZ19" i="4448"/>
  <c r="EZ20" i="4448"/>
  <c r="EZ21" i="4448"/>
  <c r="EZ22" i="4448"/>
  <c r="EZ23" i="4448"/>
  <c r="EZ24" i="4448"/>
  <c r="EZ25" i="4448"/>
  <c r="EZ26" i="4448"/>
  <c r="EZ27" i="4448"/>
  <c r="EZ28" i="4448"/>
  <c r="EZ29" i="4448"/>
  <c r="EZ30" i="4448"/>
  <c r="EZ31" i="4448"/>
  <c r="EZ32" i="4448"/>
  <c r="EZ33" i="4448"/>
  <c r="EZ34" i="4448"/>
  <c r="EZ35" i="4448"/>
  <c r="EZ36" i="4448"/>
  <c r="EZ37" i="4448"/>
  <c r="EZ38" i="4448"/>
  <c r="EZ39" i="4448"/>
  <c r="EZ40" i="4448"/>
  <c r="EZ41" i="4448"/>
  <c r="EZ42" i="4448"/>
  <c r="EZ43" i="4448"/>
  <c r="EZ44" i="4448"/>
  <c r="EZ45" i="4448"/>
  <c r="EZ46" i="4448"/>
  <c r="EZ47" i="4448"/>
  <c r="EZ48" i="4448"/>
  <c r="EZ49" i="4448"/>
  <c r="EZ50" i="4448"/>
  <c r="EZ51" i="4448"/>
  <c r="EZ52" i="4448"/>
  <c r="EZ53" i="4448"/>
  <c r="EZ54" i="4448"/>
  <c r="EZ55" i="4448"/>
  <c r="EZ56" i="4448"/>
  <c r="EZ57" i="4448"/>
  <c r="EZ58" i="4448"/>
  <c r="EZ59" i="4448"/>
  <c r="EZ60" i="4448"/>
  <c r="EZ61" i="4448"/>
  <c r="EZ62" i="4448"/>
  <c r="EZ63" i="4448"/>
  <c r="EZ64" i="4448"/>
  <c r="EZ65" i="4448"/>
  <c r="EZ66" i="4448"/>
  <c r="EZ67" i="4448"/>
  <c r="EZ68" i="4448"/>
  <c r="EZ69" i="4448"/>
  <c r="EZ70" i="4448"/>
  <c r="EZ71" i="4448"/>
  <c r="EZ72" i="4448"/>
  <c r="EZ73" i="4448"/>
  <c r="EZ74" i="4448"/>
  <c r="EZ75" i="4448"/>
  <c r="EZ76" i="4448"/>
  <c r="EZ77" i="4448"/>
  <c r="EZ78" i="4448"/>
  <c r="EZ79" i="4448"/>
  <c r="EZ80" i="4448"/>
  <c r="EZ81" i="4448"/>
  <c r="EZ82" i="4448"/>
  <c r="EZ83" i="4448"/>
  <c r="EZ84" i="4448"/>
  <c r="EZ85" i="4448"/>
  <c r="EZ86" i="4448"/>
  <c r="EZ87" i="4448"/>
  <c r="EZ88" i="4448"/>
  <c r="EZ89" i="4448"/>
  <c r="EZ90" i="4448"/>
  <c r="EZ91" i="4448"/>
  <c r="EZ92" i="4448"/>
  <c r="EZ93" i="4448"/>
  <c r="EZ94" i="4448"/>
  <c r="EZ95" i="4448"/>
  <c r="EZ96" i="4448"/>
  <c r="EZ97" i="4448"/>
  <c r="EZ98" i="4448"/>
  <c r="EZ99" i="4448"/>
  <c r="EZ100" i="4448"/>
  <c r="DR105" i="4448"/>
  <c r="FQ102" i="4448"/>
  <c r="FQ5" i="4448"/>
  <c r="FQ6" i="4448"/>
  <c r="FQ7" i="4448"/>
  <c r="FQ8" i="4448"/>
  <c r="FQ9" i="4448"/>
  <c r="FQ10" i="4448"/>
  <c r="FQ11" i="4448"/>
  <c r="FQ12" i="4448"/>
  <c r="FQ13" i="4448"/>
  <c r="FQ14" i="4448"/>
  <c r="FQ15" i="4448"/>
  <c r="FQ16" i="4448"/>
  <c r="FQ17" i="4448"/>
  <c r="FQ18" i="4448"/>
  <c r="FQ19" i="4448"/>
  <c r="FQ20" i="4448"/>
  <c r="FQ21" i="4448"/>
  <c r="FQ22" i="4448"/>
  <c r="FQ23" i="4448"/>
  <c r="FQ24" i="4448"/>
  <c r="FQ25" i="4448"/>
  <c r="FQ26" i="4448"/>
  <c r="FQ27" i="4448"/>
  <c r="FQ28" i="4448"/>
  <c r="FQ29" i="4448"/>
  <c r="FQ30" i="4448"/>
  <c r="FQ31" i="4448"/>
  <c r="FQ32" i="4448"/>
  <c r="FQ33" i="4448"/>
  <c r="FQ34" i="4448"/>
  <c r="FQ35" i="4448"/>
  <c r="FQ36" i="4448"/>
  <c r="FQ37" i="4448"/>
  <c r="FQ38" i="4448"/>
  <c r="FQ39" i="4448"/>
  <c r="FQ40" i="4448"/>
  <c r="FQ41" i="4448"/>
  <c r="FQ42" i="4448"/>
  <c r="FQ43" i="4448"/>
  <c r="FQ44" i="4448"/>
  <c r="FQ45" i="4448"/>
  <c r="FQ46" i="4448"/>
  <c r="FQ47" i="4448"/>
  <c r="FQ48" i="4448"/>
  <c r="FQ49" i="4448"/>
  <c r="FQ50" i="4448"/>
  <c r="FQ51" i="4448"/>
  <c r="FQ52" i="4448"/>
  <c r="FQ53" i="4448"/>
  <c r="FQ54" i="4448"/>
  <c r="FQ55" i="4448"/>
  <c r="FQ56" i="4448"/>
  <c r="FQ57" i="4448"/>
  <c r="FQ58" i="4448"/>
  <c r="FQ59" i="4448"/>
  <c r="FQ60" i="4448"/>
  <c r="FQ61" i="4448"/>
  <c r="FQ62" i="4448"/>
  <c r="FQ63" i="4448"/>
  <c r="FQ64" i="4448"/>
  <c r="FQ65" i="4448"/>
  <c r="FQ66" i="4448"/>
  <c r="FQ67" i="4448"/>
  <c r="FQ68" i="4448"/>
  <c r="FQ69" i="4448"/>
  <c r="FQ70" i="4448"/>
  <c r="FQ71" i="4448"/>
  <c r="FQ72" i="4448"/>
  <c r="FQ73" i="4448"/>
  <c r="FQ74" i="4448"/>
  <c r="FQ75" i="4448"/>
  <c r="FQ76" i="4448"/>
  <c r="FQ77" i="4448"/>
  <c r="FQ78" i="4448"/>
  <c r="FQ79" i="4448"/>
  <c r="FQ80" i="4448"/>
  <c r="FQ81" i="4448"/>
  <c r="FQ82" i="4448"/>
  <c r="FQ83" i="4448"/>
  <c r="FQ84" i="4448"/>
  <c r="FQ85" i="4448"/>
  <c r="FQ86" i="4448"/>
  <c r="FQ87" i="4448"/>
  <c r="FQ88" i="4448"/>
  <c r="FQ89" i="4448"/>
  <c r="FQ90" i="4448"/>
  <c r="FQ91" i="4448"/>
  <c r="FQ92" i="4448"/>
  <c r="FQ93" i="4448"/>
  <c r="FQ94" i="4448"/>
  <c r="FQ95" i="4448"/>
  <c r="FQ96" i="4448"/>
  <c r="FQ97" i="4448"/>
  <c r="FQ98" i="4448"/>
  <c r="FQ99" i="4448"/>
  <c r="FQ100" i="4448"/>
  <c r="DC105" i="4448"/>
  <c r="FB102" i="4448"/>
  <c r="FB5" i="4448"/>
  <c r="FB6" i="4448"/>
  <c r="FB7" i="4448"/>
  <c r="FB8" i="4448"/>
  <c r="FB9" i="4448"/>
  <c r="FB10" i="4448"/>
  <c r="FB11" i="4448"/>
  <c r="FB12" i="4448"/>
  <c r="FB13" i="4448"/>
  <c r="FB14" i="4448"/>
  <c r="FB15" i="4448"/>
  <c r="FB16" i="4448"/>
  <c r="FB17" i="4448"/>
  <c r="FB18" i="4448"/>
  <c r="FB19" i="4448"/>
  <c r="FB20" i="4448"/>
  <c r="FB21" i="4448"/>
  <c r="FB22" i="4448"/>
  <c r="FB23" i="4448"/>
  <c r="FB24" i="4448"/>
  <c r="FB25" i="4448"/>
  <c r="FB26" i="4448"/>
  <c r="FB27" i="4448"/>
  <c r="FB28" i="4448"/>
  <c r="FB29" i="4448"/>
  <c r="FB30" i="4448"/>
  <c r="FB31" i="4448"/>
  <c r="FB32" i="4448"/>
  <c r="FB33" i="4448"/>
  <c r="FB34" i="4448"/>
  <c r="FB35" i="4448"/>
  <c r="FB36" i="4448"/>
  <c r="FB37" i="4448"/>
  <c r="FB38" i="4448"/>
  <c r="FB39" i="4448"/>
  <c r="FB40" i="4448"/>
  <c r="FB41" i="4448"/>
  <c r="FB42" i="4448"/>
  <c r="FB43" i="4448"/>
  <c r="FB44" i="4448"/>
  <c r="FB45" i="4448"/>
  <c r="FB46" i="4448"/>
  <c r="FB47" i="4448"/>
  <c r="FB48" i="4448"/>
  <c r="FB49" i="4448"/>
  <c r="FB50" i="4448"/>
  <c r="FB51" i="4448"/>
  <c r="FB52" i="4448"/>
  <c r="FB53" i="4448"/>
  <c r="FB54" i="4448"/>
  <c r="FB55" i="4448"/>
  <c r="FB56" i="4448"/>
  <c r="FB57" i="4448"/>
  <c r="FB58" i="4448"/>
  <c r="FB59" i="4448"/>
  <c r="FB60" i="4448"/>
  <c r="FB61" i="4448"/>
  <c r="FB62" i="4448"/>
  <c r="FB63" i="4448"/>
  <c r="FB64" i="4448"/>
  <c r="FB65" i="4448"/>
  <c r="FB66" i="4448"/>
  <c r="FB67" i="4448"/>
  <c r="FB68" i="4448"/>
  <c r="FB69" i="4448"/>
  <c r="FB70" i="4448"/>
  <c r="FB71" i="4448"/>
  <c r="FB72" i="4448"/>
  <c r="FB73" i="4448"/>
  <c r="FB74" i="4448"/>
  <c r="FB75" i="4448"/>
  <c r="FB76" i="4448"/>
  <c r="FB77" i="4448"/>
  <c r="FB78" i="4448"/>
  <c r="FB79" i="4448"/>
  <c r="FB80" i="4448"/>
  <c r="FB81" i="4448"/>
  <c r="FB82" i="4448"/>
  <c r="FB83" i="4448"/>
  <c r="FB84" i="4448"/>
  <c r="FB85" i="4448"/>
  <c r="FB86" i="4448"/>
  <c r="FB87" i="4448"/>
  <c r="FB88" i="4448"/>
  <c r="FB89" i="4448"/>
  <c r="FB90" i="4448"/>
  <c r="FB91" i="4448"/>
  <c r="FB92" i="4448"/>
  <c r="FB93" i="4448"/>
  <c r="FB94" i="4448"/>
  <c r="FB95" i="4448"/>
  <c r="FB96" i="4448"/>
  <c r="FB97" i="4448"/>
  <c r="FB98" i="4448"/>
  <c r="FB99" i="4448"/>
  <c r="FB100" i="4448"/>
  <c r="DI105" i="4448"/>
  <c r="FH102" i="4448"/>
  <c r="FH5" i="4448"/>
  <c r="FH6" i="4448"/>
  <c r="FH7" i="4448"/>
  <c r="FH8" i="4448"/>
  <c r="FH9" i="4448"/>
  <c r="FH10" i="4448"/>
  <c r="FH11" i="4448"/>
  <c r="FH12" i="4448"/>
  <c r="FH13" i="4448"/>
  <c r="FH14" i="4448"/>
  <c r="FH15" i="4448"/>
  <c r="FH16" i="4448"/>
  <c r="FH17" i="4448"/>
  <c r="FH18" i="4448"/>
  <c r="FH19" i="4448"/>
  <c r="FH20" i="4448"/>
  <c r="FH21" i="4448"/>
  <c r="FH22" i="4448"/>
  <c r="FH23" i="4448"/>
  <c r="FH24" i="4448"/>
  <c r="FH25" i="4448"/>
  <c r="FH26" i="4448"/>
  <c r="FH27" i="4448"/>
  <c r="FH28" i="4448"/>
  <c r="FH29" i="4448"/>
  <c r="FH30" i="4448"/>
  <c r="FH31" i="4448"/>
  <c r="FH32" i="4448"/>
  <c r="FH33" i="4448"/>
  <c r="FH34" i="4448"/>
  <c r="FH35" i="4448"/>
  <c r="FH36" i="4448"/>
  <c r="FH37" i="4448"/>
  <c r="FH38" i="4448"/>
  <c r="FH39" i="4448"/>
  <c r="FH40" i="4448"/>
  <c r="FH41" i="4448"/>
  <c r="FH42" i="4448"/>
  <c r="FH43" i="4448"/>
  <c r="FH44" i="4448"/>
  <c r="FH45" i="4448"/>
  <c r="FH46" i="4448"/>
  <c r="FH47" i="4448"/>
  <c r="FH48" i="4448"/>
  <c r="FH49" i="4448"/>
  <c r="FH50" i="4448"/>
  <c r="FH51" i="4448"/>
  <c r="FH52" i="4448"/>
  <c r="FH53" i="4448"/>
  <c r="FH54" i="4448"/>
  <c r="FH55" i="4448"/>
  <c r="FH56" i="4448"/>
  <c r="FH57" i="4448"/>
  <c r="FH58" i="4448"/>
  <c r="FH59" i="4448"/>
  <c r="FH60" i="4448"/>
  <c r="FH61" i="4448"/>
  <c r="FH62" i="4448"/>
  <c r="FH63" i="4448"/>
  <c r="FH64" i="4448"/>
  <c r="FH65" i="4448"/>
  <c r="FH66" i="4448"/>
  <c r="FH67" i="4448"/>
  <c r="FH68" i="4448"/>
  <c r="FH69" i="4448"/>
  <c r="FH70" i="4448"/>
  <c r="FH71" i="4448"/>
  <c r="FH72" i="4448"/>
  <c r="FH73" i="4448"/>
  <c r="FH74" i="4448"/>
  <c r="FH75" i="4448"/>
  <c r="FH76" i="4448"/>
  <c r="FH77" i="4448"/>
  <c r="FH78" i="4448"/>
  <c r="FH79" i="4448"/>
  <c r="FH80" i="4448"/>
  <c r="FH81" i="4448"/>
  <c r="FH82" i="4448"/>
  <c r="FH83" i="4448"/>
  <c r="FH84" i="4448"/>
  <c r="FH85" i="4448"/>
  <c r="FH86" i="4448"/>
  <c r="FH87" i="4448"/>
  <c r="FH88" i="4448"/>
  <c r="FH89" i="4448"/>
  <c r="FH90" i="4448"/>
  <c r="FH91" i="4448"/>
  <c r="FH92" i="4448"/>
  <c r="FH93" i="4448"/>
  <c r="FH94" i="4448"/>
  <c r="FH95" i="4448"/>
  <c r="FH96" i="4448"/>
  <c r="FH97" i="4448"/>
  <c r="FH98" i="4448"/>
  <c r="FH99" i="4448"/>
  <c r="FH100" i="4448"/>
  <c r="EI105" i="4448"/>
  <c r="GH102" i="4448"/>
  <c r="GH5" i="4448"/>
  <c r="GH6" i="4448"/>
  <c r="GH7" i="4448"/>
  <c r="GH8" i="4448"/>
  <c r="GH9" i="4448"/>
  <c r="GH10" i="4448"/>
  <c r="GH11" i="4448"/>
  <c r="GH12" i="4448"/>
  <c r="GH13" i="4448"/>
  <c r="GH14" i="4448"/>
  <c r="GH15" i="4448"/>
  <c r="GH16" i="4448"/>
  <c r="GH17" i="4448"/>
  <c r="GH18" i="4448"/>
  <c r="GH19" i="4448"/>
  <c r="GH20" i="4448"/>
  <c r="GH21" i="4448"/>
  <c r="GH22" i="4448"/>
  <c r="GH23" i="4448"/>
  <c r="GH24" i="4448"/>
  <c r="GH25" i="4448"/>
  <c r="GH26" i="4448"/>
  <c r="GH27" i="4448"/>
  <c r="GH28" i="4448"/>
  <c r="GH29" i="4448"/>
  <c r="GH30" i="4448"/>
  <c r="GH31" i="4448"/>
  <c r="GH32" i="4448"/>
  <c r="GH33" i="4448"/>
  <c r="GH34" i="4448"/>
  <c r="GH35" i="4448"/>
  <c r="GH36" i="4448"/>
  <c r="GH37" i="4448"/>
  <c r="GH38" i="4448"/>
  <c r="GH39" i="4448"/>
  <c r="GH40" i="4448"/>
  <c r="GH41" i="4448"/>
  <c r="GH42" i="4448"/>
  <c r="GH43" i="4448"/>
  <c r="GH44" i="4448"/>
  <c r="GH45" i="4448"/>
  <c r="GH46" i="4448"/>
  <c r="GH47" i="4448"/>
  <c r="GH48" i="4448"/>
  <c r="GH49" i="4448"/>
  <c r="GH50" i="4448"/>
  <c r="GH51" i="4448"/>
  <c r="GH52" i="4448"/>
  <c r="GH53" i="4448"/>
  <c r="GH54" i="4448"/>
  <c r="GH55" i="4448"/>
  <c r="GH56" i="4448"/>
  <c r="GH57" i="4448"/>
  <c r="GH58" i="4448"/>
  <c r="GH59" i="4448"/>
  <c r="GH60" i="4448"/>
  <c r="GH61" i="4448"/>
  <c r="GH62" i="4448"/>
  <c r="GH63" i="4448"/>
  <c r="GH64" i="4448"/>
  <c r="GH65" i="4448"/>
  <c r="GH66" i="4448"/>
  <c r="GH67" i="4448"/>
  <c r="GH68" i="4448"/>
  <c r="GH69" i="4448"/>
  <c r="GH70" i="4448"/>
  <c r="GH71" i="4448"/>
  <c r="GH72" i="4448"/>
  <c r="GH73" i="4448"/>
  <c r="GH74" i="4448"/>
  <c r="GH75" i="4448"/>
  <c r="GH76" i="4448"/>
  <c r="GH77" i="4448"/>
  <c r="GH78" i="4448"/>
  <c r="GH79" i="4448"/>
  <c r="GH80" i="4448"/>
  <c r="GH81" i="4448"/>
  <c r="GH82" i="4448"/>
  <c r="GH83" i="4448"/>
  <c r="GH84" i="4448"/>
  <c r="GH85" i="4448"/>
  <c r="GH86" i="4448"/>
  <c r="GH87" i="4448"/>
  <c r="GH88" i="4448"/>
  <c r="GH89" i="4448"/>
  <c r="GH90" i="4448"/>
  <c r="GH91" i="4448"/>
  <c r="GH92" i="4448"/>
  <c r="GH93" i="4448"/>
  <c r="GH94" i="4448"/>
  <c r="GH95" i="4448"/>
  <c r="GH96" i="4448"/>
  <c r="GH97" i="4448"/>
  <c r="GH98" i="4448"/>
  <c r="GH99" i="4448"/>
  <c r="GH100" i="4448"/>
  <c r="DM105" i="4448"/>
  <c r="FL102" i="4448"/>
  <c r="FL5" i="4448"/>
  <c r="FL6" i="4448"/>
  <c r="FL7" i="4448"/>
  <c r="FL8" i="4448"/>
  <c r="FL9" i="4448"/>
  <c r="FL10" i="4448"/>
  <c r="FL11" i="4448"/>
  <c r="FL12" i="4448"/>
  <c r="FL13" i="4448"/>
  <c r="FL14" i="4448"/>
  <c r="FL15" i="4448"/>
  <c r="FL16" i="4448"/>
  <c r="FL17" i="4448"/>
  <c r="FL18" i="4448"/>
  <c r="FL19" i="4448"/>
  <c r="FL20" i="4448"/>
  <c r="FL21" i="4448"/>
  <c r="FL22" i="4448"/>
  <c r="FL23" i="4448"/>
  <c r="FL24" i="4448"/>
  <c r="FL25" i="4448"/>
  <c r="FL26" i="4448"/>
  <c r="FL27" i="4448"/>
  <c r="FL28" i="4448"/>
  <c r="FL29" i="4448"/>
  <c r="FL30" i="4448"/>
  <c r="FL31" i="4448"/>
  <c r="FL32" i="4448"/>
  <c r="FL33" i="4448"/>
  <c r="FL34" i="4448"/>
  <c r="FL35" i="4448"/>
  <c r="FL36" i="4448"/>
  <c r="FL37" i="4448"/>
  <c r="FL38" i="4448"/>
  <c r="FL39" i="4448"/>
  <c r="FL40" i="4448"/>
  <c r="FL41" i="4448"/>
  <c r="FL42" i="4448"/>
  <c r="FL43" i="4448"/>
  <c r="FL44" i="4448"/>
  <c r="FL45" i="4448"/>
  <c r="FL46" i="4448"/>
  <c r="FL47" i="4448"/>
  <c r="FL48" i="4448"/>
  <c r="FL49" i="4448"/>
  <c r="FL50" i="4448"/>
  <c r="FL51" i="4448"/>
  <c r="FL52" i="4448"/>
  <c r="FL53" i="4448"/>
  <c r="FL54" i="4448"/>
  <c r="FL55" i="4448"/>
  <c r="FL56" i="4448"/>
  <c r="FL57" i="4448"/>
  <c r="FL58" i="4448"/>
  <c r="FL59" i="4448"/>
  <c r="FL60" i="4448"/>
  <c r="FL61" i="4448"/>
  <c r="FL62" i="4448"/>
  <c r="FL63" i="4448"/>
  <c r="FL64" i="4448"/>
  <c r="FL65" i="4448"/>
  <c r="FL66" i="4448"/>
  <c r="FL67" i="4448"/>
  <c r="FL68" i="4448"/>
  <c r="FL69" i="4448"/>
  <c r="FL70" i="4448"/>
  <c r="FL71" i="4448"/>
  <c r="FL72" i="4448"/>
  <c r="FL73" i="4448"/>
  <c r="FL74" i="4448"/>
  <c r="FL75" i="4448"/>
  <c r="FL76" i="4448"/>
  <c r="FL77" i="4448"/>
  <c r="FL78" i="4448"/>
  <c r="FL79" i="4448"/>
  <c r="FL80" i="4448"/>
  <c r="FL81" i="4448"/>
  <c r="FL82" i="4448"/>
  <c r="FL83" i="4448"/>
  <c r="FL84" i="4448"/>
  <c r="FL85" i="4448"/>
  <c r="FL86" i="4448"/>
  <c r="FL87" i="4448"/>
  <c r="FL88" i="4448"/>
  <c r="FL89" i="4448"/>
  <c r="FL90" i="4448"/>
  <c r="FL91" i="4448"/>
  <c r="FL92" i="4448"/>
  <c r="FL93" i="4448"/>
  <c r="FL94" i="4448"/>
  <c r="FL95" i="4448"/>
  <c r="FL96" i="4448"/>
  <c r="FL97" i="4448"/>
  <c r="FL98" i="4448"/>
  <c r="FL99" i="4448"/>
  <c r="FL100" i="4448"/>
  <c r="EJ105" i="4448"/>
  <c r="GI102" i="4448"/>
  <c r="GI5" i="4448"/>
  <c r="GI6" i="4448"/>
  <c r="GI7" i="4448"/>
  <c r="GI8" i="4448"/>
  <c r="GI9" i="4448"/>
  <c r="GI10" i="4448"/>
  <c r="GI11" i="4448"/>
  <c r="GI12" i="4448"/>
  <c r="GI13" i="4448"/>
  <c r="GI14" i="4448"/>
  <c r="GI15" i="4448"/>
  <c r="GI16" i="4448"/>
  <c r="GI17" i="4448"/>
  <c r="GI18" i="4448"/>
  <c r="GI19" i="4448"/>
  <c r="GI20" i="4448"/>
  <c r="GI21" i="4448"/>
  <c r="GI22" i="4448"/>
  <c r="GI23" i="4448"/>
  <c r="GI24" i="4448"/>
  <c r="GI25" i="4448"/>
  <c r="GI26" i="4448"/>
  <c r="GI27" i="4448"/>
  <c r="GI28" i="4448"/>
  <c r="GI29" i="4448"/>
  <c r="GI30" i="4448"/>
  <c r="GI31" i="4448"/>
  <c r="GI32" i="4448"/>
  <c r="GI33" i="4448"/>
  <c r="GI34" i="4448"/>
  <c r="GI35" i="4448"/>
  <c r="GI36" i="4448"/>
  <c r="GI37" i="4448"/>
  <c r="GI38" i="4448"/>
  <c r="GI39" i="4448"/>
  <c r="GI40" i="4448"/>
  <c r="GI41" i="4448"/>
  <c r="GI42" i="4448"/>
  <c r="GI43" i="4448"/>
  <c r="GI44" i="4448"/>
  <c r="GI45" i="4448"/>
  <c r="GI46" i="4448"/>
  <c r="GI47" i="4448"/>
  <c r="GI48" i="4448"/>
  <c r="GI49" i="4448"/>
  <c r="GI50" i="4448"/>
  <c r="GI51" i="4448"/>
  <c r="GI52" i="4448"/>
  <c r="GI53" i="4448"/>
  <c r="GI54" i="4448"/>
  <c r="GI55" i="4448"/>
  <c r="GI56" i="4448"/>
  <c r="GI57" i="4448"/>
  <c r="GI58" i="4448"/>
  <c r="GI59" i="4448"/>
  <c r="GI60" i="4448"/>
  <c r="GI61" i="4448"/>
  <c r="GI62" i="4448"/>
  <c r="GI63" i="4448"/>
  <c r="GI64" i="4448"/>
  <c r="GI65" i="4448"/>
  <c r="GI66" i="4448"/>
  <c r="GI67" i="4448"/>
  <c r="GI68" i="4448"/>
  <c r="GI69" i="4448"/>
  <c r="GI70" i="4448"/>
  <c r="GI71" i="4448"/>
  <c r="GI72" i="4448"/>
  <c r="GI73" i="4448"/>
  <c r="GI74" i="4448"/>
  <c r="GI75" i="4448"/>
  <c r="GI76" i="4448"/>
  <c r="GI77" i="4448"/>
  <c r="GI78" i="4448"/>
  <c r="GI79" i="4448"/>
  <c r="GI80" i="4448"/>
  <c r="GI81" i="4448"/>
  <c r="GI82" i="4448"/>
  <c r="GI83" i="4448"/>
  <c r="GI84" i="4448"/>
  <c r="GI85" i="4448"/>
  <c r="GI86" i="4448"/>
  <c r="GI87" i="4448"/>
  <c r="GI88" i="4448"/>
  <c r="GI89" i="4448"/>
  <c r="GI90" i="4448"/>
  <c r="GI91" i="4448"/>
  <c r="GI92" i="4448"/>
  <c r="GI93" i="4448"/>
  <c r="GI94" i="4448"/>
  <c r="GI95" i="4448"/>
  <c r="GI96" i="4448"/>
  <c r="GI97" i="4448"/>
  <c r="GI98" i="4448"/>
  <c r="GI99" i="4448"/>
  <c r="GI100" i="4448"/>
  <c r="DE105" i="4448"/>
  <c r="FD102" i="4448"/>
  <c r="FD5" i="4448"/>
  <c r="FD6" i="4448"/>
  <c r="FD7" i="4448"/>
  <c r="FD8" i="4448"/>
  <c r="FD9" i="4448"/>
  <c r="FD10" i="4448"/>
  <c r="FD11" i="4448"/>
  <c r="FD12" i="4448"/>
  <c r="FD13" i="4448"/>
  <c r="FD14" i="4448"/>
  <c r="FD15" i="4448"/>
  <c r="FD16" i="4448"/>
  <c r="FD17" i="4448"/>
  <c r="FD18" i="4448"/>
  <c r="FD19" i="4448"/>
  <c r="FD20" i="4448"/>
  <c r="FD21" i="4448"/>
  <c r="FD22" i="4448"/>
  <c r="FD23" i="4448"/>
  <c r="FD24" i="4448"/>
  <c r="FD25" i="4448"/>
  <c r="FD26" i="4448"/>
  <c r="FD27" i="4448"/>
  <c r="FD28" i="4448"/>
  <c r="FD29" i="4448"/>
  <c r="FD30" i="4448"/>
  <c r="FD31" i="4448"/>
  <c r="FD32" i="4448"/>
  <c r="FD33" i="4448"/>
  <c r="FD34" i="4448"/>
  <c r="FD35" i="4448"/>
  <c r="FD36" i="4448"/>
  <c r="FD37" i="4448"/>
  <c r="FD38" i="4448"/>
  <c r="FD39" i="4448"/>
  <c r="FD40" i="4448"/>
  <c r="FD41" i="4448"/>
  <c r="FD42" i="4448"/>
  <c r="FD43" i="4448"/>
  <c r="FD44" i="4448"/>
  <c r="FD45" i="4448"/>
  <c r="FD46" i="4448"/>
  <c r="FD47" i="4448"/>
  <c r="FD48" i="4448"/>
  <c r="FD49" i="4448"/>
  <c r="FD50" i="4448"/>
  <c r="FD51" i="4448"/>
  <c r="FD52" i="4448"/>
  <c r="FD53" i="4448"/>
  <c r="FD54" i="4448"/>
  <c r="FD55" i="4448"/>
  <c r="FD56" i="4448"/>
  <c r="FD57" i="4448"/>
  <c r="FD58" i="4448"/>
  <c r="FD59" i="4448"/>
  <c r="FD60" i="4448"/>
  <c r="FD61" i="4448"/>
  <c r="FD62" i="4448"/>
  <c r="FD63" i="4448"/>
  <c r="FD64" i="4448"/>
  <c r="FD65" i="4448"/>
  <c r="FD66" i="4448"/>
  <c r="FD67" i="4448"/>
  <c r="FD68" i="4448"/>
  <c r="FD69" i="4448"/>
  <c r="FD70" i="4448"/>
  <c r="FD71" i="4448"/>
  <c r="FD72" i="4448"/>
  <c r="FD73" i="4448"/>
  <c r="FD74" i="4448"/>
  <c r="FD75" i="4448"/>
  <c r="FD76" i="4448"/>
  <c r="FD77" i="4448"/>
  <c r="FD78" i="4448"/>
  <c r="FD79" i="4448"/>
  <c r="FD80" i="4448"/>
  <c r="FD81" i="4448"/>
  <c r="FD82" i="4448"/>
  <c r="FD83" i="4448"/>
  <c r="FD84" i="4448"/>
  <c r="FD85" i="4448"/>
  <c r="FD86" i="4448"/>
  <c r="FD87" i="4448"/>
  <c r="FD88" i="4448"/>
  <c r="FD89" i="4448"/>
  <c r="FD90" i="4448"/>
  <c r="FD91" i="4448"/>
  <c r="FD92" i="4448"/>
  <c r="FD93" i="4448"/>
  <c r="FD94" i="4448"/>
  <c r="FD95" i="4448"/>
  <c r="FD96" i="4448"/>
  <c r="FD97" i="4448"/>
  <c r="FD98" i="4448"/>
  <c r="FD99" i="4448"/>
  <c r="FD100" i="4448"/>
  <c r="DT105" i="4448"/>
  <c r="FS102" i="4448"/>
  <c r="FS5" i="4448"/>
  <c r="FS6" i="4448"/>
  <c r="FS7" i="4448"/>
  <c r="FS8" i="4448"/>
  <c r="FS9" i="4448"/>
  <c r="FS10" i="4448"/>
  <c r="FS11" i="4448"/>
  <c r="FS12" i="4448"/>
  <c r="FS13" i="4448"/>
  <c r="FS14" i="4448"/>
  <c r="FS15" i="4448"/>
  <c r="FS16" i="4448"/>
  <c r="FS17" i="4448"/>
  <c r="FS18" i="4448"/>
  <c r="FS19" i="4448"/>
  <c r="FS20" i="4448"/>
  <c r="FS21" i="4448"/>
  <c r="FS22" i="4448"/>
  <c r="FS23" i="4448"/>
  <c r="FS24" i="4448"/>
  <c r="FS25" i="4448"/>
  <c r="FS26" i="4448"/>
  <c r="FS27" i="4448"/>
  <c r="FS28" i="4448"/>
  <c r="FS29" i="4448"/>
  <c r="FS30" i="4448"/>
  <c r="FS31" i="4448"/>
  <c r="FS32" i="4448"/>
  <c r="FS33" i="4448"/>
  <c r="FS34" i="4448"/>
  <c r="FS35" i="4448"/>
  <c r="FS36" i="4448"/>
  <c r="FS37" i="4448"/>
  <c r="FS38" i="4448"/>
  <c r="FS39" i="4448"/>
  <c r="FS40" i="4448"/>
  <c r="FS41" i="4448"/>
  <c r="FS42" i="4448"/>
  <c r="FS43" i="4448"/>
  <c r="FS44" i="4448"/>
  <c r="FS45" i="4448"/>
  <c r="FS46" i="4448"/>
  <c r="FS47" i="4448"/>
  <c r="FS48" i="4448"/>
  <c r="FS49" i="4448"/>
  <c r="FS50" i="4448"/>
  <c r="FS51" i="4448"/>
  <c r="FS52" i="4448"/>
  <c r="FS53" i="4448"/>
  <c r="FS54" i="4448"/>
  <c r="FS55" i="4448"/>
  <c r="FS56" i="4448"/>
  <c r="FS57" i="4448"/>
  <c r="FS58" i="4448"/>
  <c r="FS59" i="4448"/>
  <c r="FS60" i="4448"/>
  <c r="FS61" i="4448"/>
  <c r="FS62" i="4448"/>
  <c r="FS63" i="4448"/>
  <c r="FS64" i="4448"/>
  <c r="FS65" i="4448"/>
  <c r="FS66" i="4448"/>
  <c r="FS67" i="4448"/>
  <c r="FS68" i="4448"/>
  <c r="FS69" i="4448"/>
  <c r="FS70" i="4448"/>
  <c r="FS71" i="4448"/>
  <c r="FS72" i="4448"/>
  <c r="FS73" i="4448"/>
  <c r="FS74" i="4448"/>
  <c r="FS75" i="4448"/>
  <c r="FS76" i="4448"/>
  <c r="FS77" i="4448"/>
  <c r="FS78" i="4448"/>
  <c r="FS79" i="4448"/>
  <c r="FS80" i="4448"/>
  <c r="FS81" i="4448"/>
  <c r="FS82" i="4448"/>
  <c r="FS83" i="4448"/>
  <c r="FS84" i="4448"/>
  <c r="FS85" i="4448"/>
  <c r="FS86" i="4448"/>
  <c r="FS87" i="4448"/>
  <c r="FS88" i="4448"/>
  <c r="FS89" i="4448"/>
  <c r="FS90" i="4448"/>
  <c r="FS91" i="4448"/>
  <c r="FS92" i="4448"/>
  <c r="FS93" i="4448"/>
  <c r="FS94" i="4448"/>
  <c r="FS95" i="4448"/>
  <c r="FS96" i="4448"/>
  <c r="FS97" i="4448"/>
  <c r="FS98" i="4448"/>
  <c r="FS99" i="4448"/>
  <c r="FS100" i="4448"/>
  <c r="DB105" i="4448"/>
  <c r="F87" i="4452" l="1"/>
  <c r="L90" i="4452" s="1"/>
  <c r="F43" i="4452"/>
  <c r="K43" i="4452" s="1"/>
  <c r="F96" i="4452"/>
  <c r="E96" i="4452" s="1"/>
  <c r="F69" i="4452"/>
  <c r="D69" i="4452" s="1"/>
  <c r="F46" i="4452"/>
  <c r="F23" i="4452"/>
  <c r="F88" i="4452"/>
  <c r="F86" i="4452"/>
  <c r="F64" i="4452"/>
  <c r="D64" i="4452" s="1"/>
  <c r="F42" i="4452"/>
  <c r="D42" i="4452" s="1"/>
  <c r="F20" i="4452"/>
  <c r="K20" i="4452" s="1"/>
  <c r="F91" i="4452"/>
  <c r="J88" i="4452" s="1"/>
  <c r="F45" i="4452"/>
  <c r="F62" i="4452"/>
  <c r="E62" i="4452" s="1"/>
  <c r="F18" i="4452"/>
  <c r="D18" i="4452" s="1"/>
  <c r="F28" i="4452"/>
  <c r="F71" i="4452"/>
  <c r="E71" i="4452" s="1"/>
  <c r="F47" i="4452"/>
  <c r="F68" i="4452"/>
  <c r="K68" i="4452" s="1"/>
  <c r="F39" i="4452"/>
  <c r="D39" i="4452" s="1"/>
  <c r="F95" i="4452"/>
  <c r="D95" i="4452" s="1"/>
  <c r="F93" i="4452"/>
  <c r="E93" i="4452" s="1"/>
  <c r="F90" i="4452"/>
  <c r="F89" i="4452"/>
  <c r="E89" i="4452" s="1"/>
  <c r="F104" i="4452"/>
  <c r="F82" i="4452"/>
  <c r="F60" i="4452"/>
  <c r="E60" i="4452" s="1"/>
  <c r="F103" i="4452"/>
  <c r="E103" i="4452" s="1"/>
  <c r="F81" i="4452"/>
  <c r="F59" i="4452"/>
  <c r="J56" i="4452" s="1"/>
  <c r="F37" i="4452"/>
  <c r="E37" i="4452" s="1"/>
  <c r="F15" i="4452"/>
  <c r="K15" i="4452" s="1"/>
  <c r="F30" i="4452"/>
  <c r="E30" i="4452" s="1"/>
  <c r="F50" i="4452"/>
  <c r="E50" i="4452" s="1"/>
  <c r="F26" i="4452"/>
  <c r="E26" i="4452" s="1"/>
  <c r="F102" i="4452"/>
  <c r="F51" i="4452"/>
  <c r="F72" i="4452"/>
  <c r="F27" i="4452"/>
  <c r="F25" i="4452"/>
  <c r="F101" i="4452"/>
  <c r="E101" i="4452" s="1"/>
  <c r="F49" i="4452"/>
  <c r="F67" i="4452"/>
  <c r="D67" i="4452" s="1"/>
  <c r="F100" i="4452"/>
  <c r="D100" i="4452" s="1"/>
  <c r="F78" i="4452"/>
  <c r="F56" i="4452"/>
  <c r="J53" i="4452" s="1"/>
  <c r="F34" i="4452"/>
  <c r="F12" i="4452"/>
  <c r="F74" i="4452"/>
  <c r="J71" i="4452" s="1"/>
  <c r="F73" i="4452"/>
  <c r="J70" i="4452" s="1"/>
  <c r="F99" i="4452"/>
  <c r="E99" i="4452" s="1"/>
  <c r="F77" i="4452"/>
  <c r="F55" i="4452"/>
  <c r="K55" i="4452" s="1"/>
  <c r="F33" i="4452"/>
  <c r="J30" i="4452" s="1"/>
  <c r="F11" i="4452"/>
  <c r="D11" i="4452" s="1"/>
  <c r="F52" i="4452"/>
  <c r="F29" i="4452"/>
  <c r="F94" i="4452"/>
  <c r="D94" i="4452" s="1"/>
  <c r="F70" i="4452"/>
  <c r="F98" i="4452"/>
  <c r="E98" i="4452" s="1"/>
  <c r="F76" i="4452"/>
  <c r="J73" i="4452" s="1"/>
  <c r="F54" i="4452"/>
  <c r="F32" i="4452"/>
  <c r="F10" i="4452"/>
  <c r="E10" i="4452" s="1"/>
  <c r="F65" i="4452"/>
  <c r="E65" i="4452" s="1"/>
  <c r="F92" i="4452"/>
  <c r="D92" i="4452" s="1"/>
  <c r="F97" i="4452"/>
  <c r="E97" i="4452" s="1"/>
  <c r="F84" i="4452"/>
  <c r="D84" i="4452" s="1"/>
  <c r="F48" i="4452"/>
  <c r="K48" i="4452" s="1"/>
  <c r="F36" i="4452"/>
  <c r="E36" i="4452" s="1"/>
  <c r="F24" i="4452"/>
  <c r="K24" i="4452" s="1"/>
  <c r="F85" i="4452"/>
  <c r="K85" i="4452" s="1"/>
  <c r="F58" i="4452"/>
  <c r="L61" i="4452" s="1"/>
  <c r="F22" i="4452"/>
  <c r="K22" i="4452" s="1"/>
  <c r="F61" i="4452"/>
  <c r="L64" i="4452" s="1"/>
  <c r="F13" i="4452"/>
  <c r="E13" i="4452" s="1"/>
  <c r="F83" i="4452"/>
  <c r="K83" i="4452" s="1"/>
  <c r="F35" i="4452"/>
  <c r="J32" i="4452" s="1"/>
  <c r="K23" i="4452"/>
  <c r="F40" i="4452"/>
  <c r="J37" i="4452" s="1"/>
  <c r="F105" i="4452"/>
  <c r="E105" i="4452" s="1"/>
  <c r="F57" i="4452"/>
  <c r="K57" i="4452" s="1"/>
  <c r="F21" i="4452"/>
  <c r="D21" i="4452" s="1"/>
  <c r="F107" i="4452"/>
  <c r="F80" i="4452"/>
  <c r="L83" i="4452" s="1"/>
  <c r="F44" i="4452"/>
  <c r="K44" i="4452" s="1"/>
  <c r="F79" i="4452"/>
  <c r="K79" i="4452" s="1"/>
  <c r="F31" i="4452"/>
  <c r="K31" i="4452" s="1"/>
  <c r="F19" i="4452"/>
  <c r="K19" i="4452" s="1"/>
  <c r="F66" i="4452"/>
  <c r="L69" i="4452" s="1"/>
  <c r="F53" i="4452"/>
  <c r="L56" i="4452" s="1"/>
  <c r="F41" i="4452"/>
  <c r="E41" i="4452" s="1"/>
  <c r="F17" i="4452"/>
  <c r="E17" i="4452" s="1"/>
  <c r="F16" i="4452"/>
  <c r="E16" i="4452" s="1"/>
  <c r="F75" i="4452"/>
  <c r="J72" i="4452" s="1"/>
  <c r="F63" i="4452"/>
  <c r="K63" i="4452" s="1"/>
  <c r="F38" i="4452"/>
  <c r="K38" i="4452" s="1"/>
  <c r="F14" i="4452"/>
  <c r="E14" i="4452" s="1"/>
  <c r="J58" i="4452"/>
  <c r="J93" i="4452"/>
  <c r="J92" i="4452"/>
  <c r="J91" i="4452"/>
  <c r="J90" i="4452"/>
  <c r="K93" i="4452"/>
  <c r="L94" i="4452"/>
  <c r="L91" i="4452"/>
  <c r="K92" i="4452"/>
  <c r="J89" i="4452"/>
  <c r="J94" i="4452"/>
  <c r="D65" i="4452"/>
  <c r="J62" i="4452"/>
  <c r="L93" i="4452"/>
  <c r="K90" i="4452"/>
  <c r="D16" i="4452" l="1"/>
  <c r="K58" i="4452"/>
  <c r="E58" i="4452"/>
  <c r="J55" i="4452"/>
  <c r="D58" i="4452"/>
  <c r="D13" i="4452"/>
  <c r="J83" i="4452"/>
  <c r="E86" i="4452"/>
  <c r="D86" i="4452"/>
  <c r="J82" i="4452"/>
  <c r="K16" i="4452"/>
  <c r="E85" i="4452"/>
  <c r="L88" i="4452"/>
  <c r="D85" i="4452"/>
  <c r="D44" i="4452"/>
  <c r="E44" i="4452"/>
  <c r="L47" i="4452"/>
  <c r="L57" i="4452"/>
  <c r="E54" i="4452"/>
  <c r="L52" i="4452"/>
  <c r="K49" i="4452"/>
  <c r="D49" i="4452"/>
  <c r="J46" i="4452"/>
  <c r="E49" i="4452"/>
  <c r="K39" i="4452"/>
  <c r="L42" i="4452"/>
  <c r="K13" i="4452"/>
  <c r="E39" i="4452"/>
  <c r="K86" i="4452"/>
  <c r="K28" i="4452"/>
  <c r="L31" i="4452"/>
  <c r="K51" i="4452"/>
  <c r="E51" i="4452"/>
  <c r="D51" i="4452"/>
  <c r="L54" i="4452"/>
  <c r="J48" i="4452"/>
  <c r="E32" i="4452"/>
  <c r="L35" i="4452"/>
  <c r="E27" i="4452"/>
  <c r="K27" i="4452"/>
  <c r="E102" i="4452"/>
  <c r="D102" i="4452"/>
  <c r="K54" i="4452"/>
  <c r="J51" i="4452"/>
  <c r="J63" i="4452"/>
  <c r="E21" i="4452"/>
  <c r="D66" i="4452"/>
  <c r="D19" i="4452"/>
  <c r="E19" i="4452"/>
  <c r="L43" i="4452"/>
  <c r="E22" i="4452"/>
  <c r="E66" i="4452"/>
  <c r="L34" i="4452"/>
  <c r="D54" i="4452"/>
  <c r="D31" i="4452"/>
  <c r="D97" i="4452"/>
  <c r="E31" i="4452"/>
  <c r="D93" i="4452"/>
  <c r="D105" i="4452"/>
  <c r="J40" i="4452"/>
  <c r="L49" i="4452"/>
  <c r="E46" i="4452"/>
  <c r="J43" i="4452"/>
  <c r="K46" i="4452"/>
  <c r="J67" i="4452"/>
  <c r="L73" i="4452"/>
  <c r="D70" i="4452"/>
  <c r="K70" i="4452"/>
  <c r="E70" i="4452"/>
  <c r="K82" i="4452"/>
  <c r="D82" i="4452"/>
  <c r="L85" i="4452"/>
  <c r="E82" i="4452"/>
  <c r="J79" i="4452"/>
  <c r="D77" i="4452"/>
  <c r="L80" i="4452"/>
  <c r="K77" i="4452"/>
  <c r="J74" i="4452"/>
  <c r="E77" i="4452"/>
  <c r="E90" i="4452"/>
  <c r="J87" i="4452"/>
  <c r="D90" i="4452"/>
  <c r="E45" i="4452"/>
  <c r="J42" i="4452"/>
  <c r="L48" i="4452"/>
  <c r="K45" i="4452"/>
  <c r="K81" i="4452"/>
  <c r="J78" i="4452"/>
  <c r="D81" i="4452"/>
  <c r="L84" i="4452"/>
  <c r="E81" i="4452"/>
  <c r="J31" i="4452"/>
  <c r="E34" i="4452"/>
  <c r="D34" i="4452"/>
  <c r="K34" i="4452"/>
  <c r="L37" i="4452"/>
  <c r="D104" i="4452"/>
  <c r="E104" i="4452"/>
  <c r="L32" i="4452"/>
  <c r="D29" i="4452"/>
  <c r="K29" i="4452"/>
  <c r="E29" i="4452"/>
  <c r="J44" i="4452"/>
  <c r="D47" i="4452"/>
  <c r="K47" i="4452"/>
  <c r="E47" i="4452"/>
  <c r="L50" i="4452"/>
  <c r="E72" i="4452"/>
  <c r="L75" i="4452"/>
  <c r="E88" i="4452"/>
  <c r="K88" i="4452"/>
  <c r="D88" i="4452"/>
  <c r="D12" i="4452"/>
  <c r="E12" i="4452"/>
  <c r="D52" i="4452"/>
  <c r="K52" i="4452"/>
  <c r="E52" i="4452"/>
  <c r="L55" i="4452"/>
  <c r="J49" i="4452"/>
  <c r="E78" i="4452"/>
  <c r="L81" i="4452"/>
  <c r="J41" i="4452"/>
  <c r="L71" i="4452"/>
  <c r="E83" i="4452"/>
  <c r="L68" i="4452"/>
  <c r="E95" i="4452"/>
  <c r="J65" i="4452"/>
  <c r="K65" i="4452"/>
  <c r="K80" i="4452"/>
  <c r="E91" i="4452"/>
  <c r="E80" i="4452"/>
  <c r="L79" i="4452"/>
  <c r="L38" i="4452"/>
  <c r="D17" i="4452"/>
  <c r="E92" i="4452"/>
  <c r="K17" i="4452"/>
  <c r="E68" i="4452"/>
  <c r="L40" i="4452"/>
  <c r="D80" i="4452"/>
  <c r="L87" i="4452"/>
  <c r="E76" i="4452"/>
  <c r="D68" i="4452"/>
  <c r="D35" i="4452"/>
  <c r="E35" i="4452"/>
  <c r="D37" i="4452"/>
  <c r="D103" i="4452"/>
  <c r="J77" i="4452"/>
  <c r="J81" i="4452"/>
  <c r="J34" i="4452"/>
  <c r="E59" i="4452"/>
  <c r="D40" i="4452"/>
  <c r="D96" i="4452"/>
  <c r="K35" i="4452"/>
  <c r="E18" i="4452"/>
  <c r="L62" i="4452"/>
  <c r="D59" i="4452"/>
  <c r="K40" i="4452"/>
  <c r="D76" i="4452"/>
  <c r="E100" i="4452"/>
  <c r="K56" i="4452"/>
  <c r="K25" i="4452"/>
  <c r="D25" i="4452"/>
  <c r="K59" i="4452"/>
  <c r="E40" i="4452"/>
  <c r="E25" i="4452"/>
  <c r="D32" i="4452"/>
  <c r="D24" i="4452"/>
  <c r="E48" i="4452"/>
  <c r="D98" i="4452"/>
  <c r="D10" i="4452"/>
  <c r="K89" i="4452"/>
  <c r="K91" i="4452"/>
  <c r="J45" i="4452"/>
  <c r="K72" i="4452"/>
  <c r="E28" i="4452"/>
  <c r="K21" i="4452"/>
  <c r="D22" i="4452"/>
  <c r="K84" i="4452"/>
  <c r="D26" i="4452"/>
  <c r="E84" i="4452"/>
  <c r="D36" i="4452"/>
  <c r="K26" i="4452"/>
  <c r="D75" i="4452"/>
  <c r="D55" i="4452"/>
  <c r="D50" i="4452"/>
  <c r="J84" i="4452"/>
  <c r="K53" i="4452"/>
  <c r="K18" i="4452"/>
  <c r="K73" i="4452"/>
  <c r="L70" i="4452"/>
  <c r="D45" i="4452"/>
  <c r="K62" i="4452"/>
  <c r="K87" i="4452"/>
  <c r="J86" i="4452"/>
  <c r="E73" i="4452"/>
  <c r="E67" i="4452"/>
  <c r="D72" i="4452"/>
  <c r="L29" i="4452"/>
  <c r="J36" i="4452"/>
  <c r="D87" i="4452"/>
  <c r="J85" i="4452"/>
  <c r="D89" i="4452"/>
  <c r="D30" i="4452"/>
  <c r="D73" i="4452"/>
  <c r="K67" i="4452"/>
  <c r="D48" i="4452"/>
  <c r="E87" i="4452"/>
  <c r="L92" i="4452"/>
  <c r="J64" i="4452"/>
  <c r="E57" i="4452"/>
  <c r="E11" i="4452"/>
  <c r="L51" i="4452"/>
  <c r="D57" i="4452"/>
  <c r="D61" i="4452"/>
  <c r="E53" i="4452"/>
  <c r="K61" i="4452"/>
  <c r="L78" i="4452"/>
  <c r="K78" i="4452"/>
  <c r="E75" i="4452"/>
  <c r="K76" i="4452"/>
  <c r="J50" i="4452"/>
  <c r="K37" i="4452"/>
  <c r="J75" i="4452"/>
  <c r="L59" i="4452"/>
  <c r="E94" i="4452"/>
  <c r="E24" i="4452"/>
  <c r="E61" i="4452"/>
  <c r="K66" i="4452"/>
  <c r="L76" i="4452"/>
  <c r="E43" i="4452"/>
  <c r="D91" i="4452"/>
  <c r="K32" i="4452"/>
  <c r="D56" i="4452"/>
  <c r="J57" i="4452"/>
  <c r="K94" i="4452"/>
  <c r="K36" i="4452"/>
  <c r="L89" i="4452"/>
  <c r="D43" i="4452"/>
  <c r="E56" i="4452"/>
  <c r="K60" i="4452"/>
  <c r="L30" i="4452"/>
  <c r="L46" i="4452"/>
  <c r="D60" i="4452"/>
  <c r="L39" i="4452"/>
  <c r="D27" i="4452"/>
  <c r="L58" i="4452"/>
  <c r="L63" i="4452"/>
  <c r="J33" i="4452"/>
  <c r="D15" i="4452"/>
  <c r="E63" i="4452"/>
  <c r="L44" i="4452"/>
  <c r="J52" i="4452"/>
  <c r="K75" i="4452"/>
  <c r="D53" i="4452"/>
  <c r="J69" i="4452"/>
  <c r="L45" i="4452"/>
  <c r="D78" i="4452"/>
  <c r="E55" i="4452"/>
  <c r="D14" i="4452"/>
  <c r="L66" i="4452"/>
  <c r="D41" i="4452"/>
  <c r="K42" i="4452"/>
  <c r="K14" i="4452"/>
  <c r="E33" i="4452"/>
  <c r="D38" i="4452"/>
  <c r="L33" i="4452"/>
  <c r="D83" i="4452"/>
  <c r="J47" i="4452"/>
  <c r="D28" i="4452"/>
  <c r="K30" i="4452"/>
  <c r="L82" i="4452"/>
  <c r="L60" i="4452"/>
  <c r="J80" i="4452"/>
  <c r="L65" i="4452"/>
  <c r="D63" i="4452"/>
  <c r="L67" i="4452"/>
  <c r="J39" i="4452"/>
  <c r="J76" i="4452"/>
  <c r="D33" i="4452"/>
  <c r="J54" i="4452"/>
  <c r="K71" i="4452"/>
  <c r="J35" i="4452"/>
  <c r="D62" i="4452"/>
  <c r="K64" i="4452"/>
  <c r="E42" i="4452"/>
  <c r="E79" i="4452"/>
  <c r="K33" i="4452"/>
  <c r="K69" i="4452"/>
  <c r="J68" i="4452"/>
  <c r="L41" i="4452"/>
  <c r="E74" i="4452"/>
  <c r="D79" i="4452"/>
  <c r="J61" i="4452"/>
  <c r="E20" i="4452"/>
  <c r="L36" i="4452"/>
  <c r="L72" i="4452"/>
  <c r="D71" i="4452"/>
  <c r="E38" i="4452"/>
  <c r="D74" i="4452"/>
  <c r="J60" i="4452"/>
  <c r="D99" i="4452"/>
  <c r="E64" i="4452"/>
  <c r="K41" i="4452"/>
  <c r="D20" i="4452"/>
  <c r="E69" i="4452"/>
  <c r="L74" i="4452"/>
  <c r="L53" i="4452"/>
  <c r="L77" i="4452"/>
  <c r="J38" i="4452"/>
  <c r="E15" i="4452"/>
  <c r="J66" i="4452"/>
  <c r="E23" i="4452"/>
  <c r="K50" i="4452"/>
  <c r="K74" i="4452"/>
  <c r="J59" i="4452"/>
  <c r="D23" i="4452"/>
  <c r="L86" i="4452"/>
  <c r="D101" i="4452"/>
  <c r="D106" i="4452"/>
  <c r="E106" i="4452"/>
  <c r="E107" i="4452"/>
  <c r="D107" i="445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Van Alen</author>
  </authors>
  <commentList>
    <comment ref="W84" authorId="0" shapeId="0" xr:uid="{9606188A-8DF4-4A9E-95FB-A6F546C01E33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Weir was not operated after 27 Aug 2000, the counts for 28 Aug to the end were interpolated using the EM-algorithm and all direct and interpolated values from 1953-1999</t>
        </r>
      </text>
    </comment>
    <comment ref="X99" authorId="0" shapeId="0" xr:uid="{4C38B422-1BD2-4F1C-89A7-9F6BB6377C37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The weir was not operated past 11 Sept. 2001.  The counts from 12 Sept to the end were interpolated using the E-M algorithm and all historical data.</t>
        </r>
      </text>
    </comment>
  </commentList>
</comments>
</file>

<file path=xl/sharedStrings.xml><?xml version="1.0" encoding="utf-8"?>
<sst xmlns="http://schemas.openxmlformats.org/spreadsheetml/2006/main" count="106" uniqueCount="55">
  <si>
    <t>ENTER</t>
  </si>
  <si>
    <t>Sockeye</t>
  </si>
  <si>
    <t>Chinook</t>
  </si>
  <si>
    <t>DATA</t>
  </si>
  <si>
    <t>_</t>
  </si>
  <si>
    <t>Daily</t>
  </si>
  <si>
    <t>Cum.</t>
  </si>
  <si>
    <t xml:space="preserve">    Escapement Goal</t>
  </si>
  <si>
    <t>Avg.</t>
  </si>
  <si>
    <t>Total</t>
  </si>
  <si>
    <t>Large</t>
  </si>
  <si>
    <t>Day</t>
  </si>
  <si>
    <t>Lower</t>
  </si>
  <si>
    <t>Upper</t>
  </si>
  <si>
    <t>Prop.</t>
  </si>
  <si>
    <t>Number</t>
  </si>
  <si>
    <t>Date</t>
  </si>
  <si>
    <t>No.</t>
  </si>
  <si>
    <t>Catches</t>
  </si>
  <si>
    <t>Days</t>
  </si>
  <si>
    <t>Hours</t>
  </si>
  <si>
    <t>Open</t>
  </si>
  <si>
    <t>Average</t>
  </si>
  <si>
    <t>Estimated</t>
  </si>
  <si>
    <t>90% catch</t>
  </si>
  <si>
    <t>Note: SMcP updated catches in this section 7/1/02</t>
  </si>
  <si>
    <t>Yakutat CFD, SFD  - update this section weekly -- col's C,E,F, G and H</t>
  </si>
  <si>
    <t>Catches, Escapements, and Total Runs for sockeye and chinook, Situk River 2008.</t>
  </si>
  <si>
    <t>Source</t>
  </si>
  <si>
    <t xml:space="preserve">-- estimated </t>
  </si>
  <si>
    <t>ALEX or CFD staff</t>
  </si>
  <si>
    <t>-- from Sport Harvest worksheet</t>
  </si>
  <si>
    <t>If sport fishery is closed to retention of Chinook ≥20" at start of season, enter "0" in cells G166 and G173.</t>
  </si>
  <si>
    <t>Forecasts -- Sockeye Salmon</t>
  </si>
  <si>
    <t>Three</t>
  </si>
  <si>
    <t xml:space="preserve">On </t>
  </si>
  <si>
    <t>Early</t>
  </si>
  <si>
    <t>Time</t>
  </si>
  <si>
    <t>Late</t>
  </si>
  <si>
    <t>10-year</t>
  </si>
  <si>
    <t>Cum</t>
  </si>
  <si>
    <t>all-year</t>
  </si>
  <si>
    <t>Redoubt Sockeye Tracking</t>
  </si>
  <si>
    <t>Redoubt sockeye salmon weir count charts</t>
  </si>
  <si>
    <t>Table  .  Historical sockeye daily weir counts</t>
  </si>
  <si>
    <t>Table  .  Historical sockeye daily esc. Proportions</t>
  </si>
  <si>
    <t>Table  .  Historical sockeye cum counts</t>
  </si>
  <si>
    <t>1983 current</t>
  </si>
  <si>
    <t>OEG Range =</t>
  </si>
  <si>
    <t>BELOW</t>
  </si>
  <si>
    <t>1983-present</t>
  </si>
  <si>
    <t>5% of the way through the esc is way too early for inseason projections but they start here anyways</t>
  </si>
  <si>
    <t>SW</t>
  </si>
  <si>
    <t>Year</t>
  </si>
  <si>
    <t>Escapement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</si>
</sst>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General_)"/>
    <numFmt numFmtId="165" formatCode="dd\-mmm_)"/>
    <numFmt numFmtId="166" formatCode="0.000_)"/>
    <numFmt numFmtId="167" formatCode="0.0000_)"/>
    <numFmt numFmtId="168" formatCode="_(* #,##0_);_(* \(#,##0\);_(* &quot;-&quot;??_);_(@_)"/>
  </numFmts>
  <fonts count="24" x14ac:knownFonts="1">
    <font>
      <sz val="12"/>
      <name val="Courier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0"/>
      <name val="Times New Roman"/>
      <family val="1"/>
    </font>
    <font>
      <b/>
      <sz val="10"/>
      <name val="Times New Roman"/>
      <family val="1"/>
    </font>
    <font>
      <b/>
      <sz val="10"/>
      <color indexed="14"/>
      <name val="Times New Roman"/>
      <family val="1"/>
    </font>
    <font>
      <sz val="10"/>
      <name val="Arial"/>
      <family val="2"/>
    </font>
    <font>
      <sz val="10"/>
      <color indexed="8"/>
      <name val="Times New Roman"/>
      <family val="1"/>
    </font>
    <font>
      <sz val="8"/>
      <name val="Courier"/>
      <family val="3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6"/>
      <name val="Times New Roman"/>
      <family val="1"/>
    </font>
    <font>
      <sz val="10"/>
      <color indexed="20"/>
      <name val="Times New Roman"/>
      <family val="1"/>
    </font>
    <font>
      <b/>
      <sz val="16"/>
      <name val="Times New Roman"/>
      <family val="1"/>
    </font>
    <font>
      <b/>
      <sz val="12"/>
      <name val="Times New Roman"/>
      <family val="1"/>
    </font>
    <font>
      <b/>
      <sz val="10"/>
      <color rgb="FF7030A0"/>
      <name val="Times New Roman"/>
      <family val="1"/>
    </font>
    <font>
      <b/>
      <sz val="10"/>
      <color rgb="FFFF0000"/>
      <name val="Times New Roman"/>
      <family val="1"/>
    </font>
    <font>
      <sz val="14"/>
      <name val="Times New Roman"/>
      <family val="1"/>
    </font>
    <font>
      <sz val="10"/>
      <color rgb="FFFF0000"/>
      <name val="Times New Roman"/>
      <family val="1"/>
    </font>
    <font>
      <sz val="10"/>
      <color rgb="FF0070C0"/>
      <name val="Times New Roman"/>
      <family val="1"/>
    </font>
    <font>
      <sz val="9"/>
      <name val="Arial"/>
      <family val="2"/>
    </font>
    <font>
      <sz val="12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E000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2" tint="-9.9978637043366805E-2"/>
      </right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 style="thin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164" fontId="0" fillId="0" borderId="0"/>
    <xf numFmtId="43" fontId="2" fillId="0" borderId="0" applyFont="0" applyFill="0" applyBorder="0" applyAlignment="0" applyProtection="0"/>
    <xf numFmtId="0" fontId="8" fillId="0" borderId="0"/>
  </cellStyleXfs>
  <cellXfs count="144">
    <xf numFmtId="164" fontId="0" fillId="0" borderId="0" xfId="0"/>
    <xf numFmtId="164" fontId="3" fillId="0" borderId="0" xfId="0" applyFont="1"/>
    <xf numFmtId="164" fontId="3" fillId="0" borderId="0" xfId="0" applyFont="1" applyAlignment="1">
      <alignment horizontal="left"/>
    </xf>
    <xf numFmtId="37" fontId="3" fillId="0" borderId="0" xfId="0" applyNumberFormat="1" applyFont="1"/>
    <xf numFmtId="164" fontId="3" fillId="0" borderId="0" xfId="0" applyFont="1" applyAlignment="1">
      <alignment horizontal="fill"/>
    </xf>
    <xf numFmtId="165" fontId="3" fillId="0" borderId="0" xfId="0" applyNumberFormat="1" applyFont="1"/>
    <xf numFmtId="166" fontId="3" fillId="0" borderId="0" xfId="0" applyNumberFormat="1" applyFont="1"/>
    <xf numFmtId="167" fontId="3" fillId="0" borderId="0" xfId="0" applyNumberFormat="1" applyFont="1"/>
    <xf numFmtId="164" fontId="3" fillId="0" borderId="1" xfId="0" applyFont="1" applyBorder="1"/>
    <xf numFmtId="164" fontId="3" fillId="0" borderId="1" xfId="0" applyFont="1" applyBorder="1" applyAlignment="1">
      <alignment horizontal="right"/>
    </xf>
    <xf numFmtId="164" fontId="3" fillId="2" borderId="0" xfId="0" applyFont="1" applyFill="1" applyAlignment="1">
      <alignment horizontal="left"/>
    </xf>
    <xf numFmtId="164" fontId="3" fillId="2" borderId="0" xfId="0" applyFont="1" applyFill="1"/>
    <xf numFmtId="164" fontId="3" fillId="2" borderId="0" xfId="0" quotePrefix="1" applyFont="1" applyFill="1" applyAlignment="1">
      <alignment horizontal="left"/>
    </xf>
    <xf numFmtId="164" fontId="3" fillId="2" borderId="0" xfId="0" applyFont="1" applyFill="1" applyAlignment="1">
      <alignment horizontal="right"/>
    </xf>
    <xf numFmtId="37" fontId="3" fillId="2" borderId="0" xfId="0" applyNumberFormat="1" applyFont="1" applyFill="1"/>
    <xf numFmtId="164" fontId="4" fillId="0" borderId="0" xfId="0" applyFont="1"/>
    <xf numFmtId="164" fontId="5" fillId="2" borderId="0" xfId="0" applyFont="1" applyFill="1" applyAlignment="1">
      <alignment horizontal="right"/>
    </xf>
    <xf numFmtId="164" fontId="5" fillId="2" borderId="0" xfId="0" quotePrefix="1" applyFont="1" applyFill="1" applyAlignment="1">
      <alignment horizontal="right"/>
    </xf>
    <xf numFmtId="164" fontId="3" fillId="2" borderId="1" xfId="0" applyFont="1" applyFill="1" applyBorder="1"/>
    <xf numFmtId="37" fontId="3" fillId="2" borderId="1" xfId="0" applyNumberFormat="1" applyFont="1" applyFill="1" applyBorder="1"/>
    <xf numFmtId="164" fontId="3" fillId="0" borderId="0" xfId="0" quotePrefix="1" applyFont="1" applyAlignment="1">
      <alignment horizontal="left"/>
    </xf>
    <xf numFmtId="164" fontId="4" fillId="2" borderId="0" xfId="0" applyFont="1" applyFill="1"/>
    <xf numFmtId="164" fontId="5" fillId="2" borderId="0" xfId="0" applyFont="1" applyFill="1"/>
    <xf numFmtId="37" fontId="5" fillId="2" borderId="0" xfId="0" applyNumberFormat="1" applyFont="1" applyFill="1"/>
    <xf numFmtId="164" fontId="4" fillId="2" borderId="1" xfId="0" applyFont="1" applyFill="1" applyBorder="1"/>
    <xf numFmtId="164" fontId="5" fillId="2" borderId="1" xfId="0" applyFont="1" applyFill="1" applyBorder="1"/>
    <xf numFmtId="164" fontId="7" fillId="0" borderId="0" xfId="0" applyFont="1"/>
    <xf numFmtId="164" fontId="6" fillId="2" borderId="0" xfId="0" quotePrefix="1" applyFont="1" applyFill="1" applyAlignment="1">
      <alignment horizontal="left"/>
    </xf>
    <xf numFmtId="164" fontId="4" fillId="0" borderId="0" xfId="0" quotePrefix="1" applyFont="1" applyAlignment="1">
      <alignment horizontal="left"/>
    </xf>
    <xf numFmtId="164" fontId="4" fillId="0" borderId="0" xfId="0" applyFont="1" applyAlignment="1">
      <alignment horizontal="left"/>
    </xf>
    <xf numFmtId="164" fontId="2" fillId="0" borderId="0" xfId="0" applyFont="1"/>
    <xf numFmtId="164" fontId="4" fillId="2" borderId="1" xfId="0" quotePrefix="1" applyFont="1" applyFill="1" applyBorder="1" applyAlignment="1">
      <alignment horizontal="left"/>
    </xf>
    <xf numFmtId="164" fontId="3" fillId="2" borderId="0" xfId="0" applyFont="1" applyFill="1" applyAlignment="1">
      <alignment horizontal="center"/>
    </xf>
    <xf numFmtId="37" fontId="9" fillId="2" borderId="0" xfId="0" applyNumberFormat="1" applyFont="1" applyFill="1"/>
    <xf numFmtId="164" fontId="3" fillId="0" borderId="0" xfId="0" applyFont="1" applyAlignment="1">
      <alignment horizontal="right"/>
    </xf>
    <xf numFmtId="164" fontId="3" fillId="5" borderId="0" xfId="0" applyFont="1" applyFill="1"/>
    <xf numFmtId="164" fontId="14" fillId="5" borderId="0" xfId="0" applyFont="1" applyFill="1"/>
    <xf numFmtId="164" fontId="3" fillId="6" borderId="0" xfId="0" applyFont="1" applyFill="1"/>
    <xf numFmtId="164" fontId="2" fillId="0" borderId="1" xfId="0" applyFont="1" applyBorder="1" applyAlignment="1">
      <alignment horizontal="fill"/>
    </xf>
    <xf numFmtId="164" fontId="2" fillId="0" borderId="0" xfId="0" applyFont="1" applyAlignment="1">
      <alignment horizontal="left"/>
    </xf>
    <xf numFmtId="164" fontId="2" fillId="0" borderId="0" xfId="0" applyFont="1" applyAlignment="1">
      <alignment horizontal="right"/>
    </xf>
    <xf numFmtId="164" fontId="2" fillId="0" borderId="1" xfId="0" applyFont="1" applyBorder="1"/>
    <xf numFmtId="165" fontId="2" fillId="0" borderId="0" xfId="0" applyNumberFormat="1" applyFont="1"/>
    <xf numFmtId="164" fontId="2" fillId="3" borderId="0" xfId="0" applyFont="1" applyFill="1"/>
    <xf numFmtId="165" fontId="2" fillId="0" borderId="0" xfId="0" applyNumberFormat="1" applyFont="1" applyAlignment="1">
      <alignment horizontal="fill"/>
    </xf>
    <xf numFmtId="164" fontId="17" fillId="0" borderId="0" xfId="0" applyFont="1" applyAlignment="1">
      <alignment horizontal="left"/>
    </xf>
    <xf numFmtId="164" fontId="2" fillId="7" borderId="0" xfId="0" applyFont="1" applyFill="1"/>
    <xf numFmtId="165" fontId="2" fillId="0" borderId="1" xfId="0" applyNumberFormat="1" applyFont="1" applyBorder="1" applyAlignment="1">
      <alignment horizontal="fill"/>
    </xf>
    <xf numFmtId="166" fontId="2" fillId="0" borderId="0" xfId="0" applyNumberFormat="1" applyFont="1"/>
    <xf numFmtId="164" fontId="13" fillId="0" borderId="3" xfId="0" applyFont="1" applyBorder="1"/>
    <xf numFmtId="164" fontId="13" fillId="0" borderId="4" xfId="0" applyFont="1" applyBorder="1"/>
    <xf numFmtId="164" fontId="13" fillId="0" borderId="6" xfId="0" applyFont="1" applyBorder="1"/>
    <xf numFmtId="164" fontId="13" fillId="0" borderId="7" xfId="0" applyFont="1" applyBorder="1"/>
    <xf numFmtId="164" fontId="15" fillId="0" borderId="2" xfId="0" applyFont="1" applyBorder="1"/>
    <xf numFmtId="164" fontId="15" fillId="0" borderId="3" xfId="0" applyFont="1" applyBorder="1"/>
    <xf numFmtId="164" fontId="19" fillId="0" borderId="5" xfId="0" applyFont="1" applyBorder="1"/>
    <xf numFmtId="164" fontId="18" fillId="0" borderId="0" xfId="0" applyFont="1"/>
    <xf numFmtId="164" fontId="3" fillId="9" borderId="0" xfId="0" applyFont="1" applyFill="1"/>
    <xf numFmtId="3" fontId="2" fillId="0" borderId="0" xfId="0" applyNumberFormat="1" applyFont="1"/>
    <xf numFmtId="164" fontId="2" fillId="3" borderId="0" xfId="0" applyFont="1" applyFill="1" applyAlignment="1">
      <alignment horizontal="left"/>
    </xf>
    <xf numFmtId="164" fontId="2" fillId="0" borderId="1" xfId="0" quotePrefix="1" applyFon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164" fontId="2" fillId="0" borderId="0" xfId="0" quotePrefix="1" applyFont="1"/>
    <xf numFmtId="164" fontId="1" fillId="7" borderId="0" xfId="0" applyFont="1" applyFill="1"/>
    <xf numFmtId="1" fontId="1" fillId="7" borderId="0" xfId="0" applyNumberFormat="1" applyFont="1" applyFill="1"/>
    <xf numFmtId="1" fontId="1" fillId="7" borderId="0" xfId="0" applyNumberFormat="1" applyFont="1" applyFill="1" applyAlignment="1">
      <alignment horizontal="right"/>
    </xf>
    <xf numFmtId="164" fontId="1" fillId="7" borderId="0" xfId="0" applyFont="1" applyFill="1" applyAlignment="1">
      <alignment horizontal="right"/>
    </xf>
    <xf numFmtId="37" fontId="1" fillId="7" borderId="0" xfId="0" applyNumberFormat="1" applyFont="1" applyFill="1"/>
    <xf numFmtId="166" fontId="1" fillId="7" borderId="0" xfId="0" applyNumberFormat="1" applyFont="1" applyFill="1"/>
    <xf numFmtId="165" fontId="1" fillId="7" borderId="0" xfId="0" applyNumberFormat="1" applyFont="1" applyFill="1" applyAlignment="1">
      <alignment horizontal="fill"/>
    </xf>
    <xf numFmtId="164" fontId="2" fillId="3" borderId="0" xfId="0" quotePrefix="1" applyFont="1" applyFill="1" applyAlignment="1">
      <alignment horizontal="left"/>
    </xf>
    <xf numFmtId="3" fontId="1" fillId="7" borderId="0" xfId="0" applyNumberFormat="1" applyFont="1" applyFill="1"/>
    <xf numFmtId="3" fontId="1" fillId="7" borderId="1" xfId="0" applyNumberFormat="1" applyFont="1" applyFill="1" applyBorder="1"/>
    <xf numFmtId="3" fontId="3" fillId="0" borderId="0" xfId="0" applyNumberFormat="1" applyFont="1"/>
    <xf numFmtId="3" fontId="18" fillId="0" borderId="0" xfId="0" applyNumberFormat="1" applyFont="1"/>
    <xf numFmtId="3" fontId="3" fillId="0" borderId="0" xfId="0" applyNumberFormat="1" applyFont="1" applyAlignment="1">
      <alignment horizontal="right"/>
    </xf>
    <xf numFmtId="3" fontId="4" fillId="0" borderId="0" xfId="0" applyNumberFormat="1" applyFont="1"/>
    <xf numFmtId="164" fontId="21" fillId="0" borderId="1" xfId="0" applyFont="1" applyBorder="1"/>
    <xf numFmtId="3" fontId="2" fillId="0" borderId="1" xfId="0" applyNumberFormat="1" applyFont="1" applyBorder="1" applyAlignment="1">
      <alignment horizontal="right"/>
    </xf>
    <xf numFmtId="3" fontId="2" fillId="7" borderId="1" xfId="0" applyNumberFormat="1" applyFont="1" applyFill="1" applyBorder="1" applyAlignment="1">
      <alignment horizontal="right"/>
    </xf>
    <xf numFmtId="1" fontId="8" fillId="4" borderId="0" xfId="0" applyNumberFormat="1" applyFont="1" applyFill="1"/>
    <xf numFmtId="1" fontId="8" fillId="0" borderId="0" xfId="0" applyNumberFormat="1" applyFont="1"/>
    <xf numFmtId="1" fontId="8" fillId="4" borderId="0" xfId="2" applyNumberFormat="1" applyFill="1" applyAlignment="1">
      <alignment horizontal="right"/>
    </xf>
    <xf numFmtId="1" fontId="8" fillId="0" borderId="0" xfId="2" applyNumberFormat="1" applyAlignment="1">
      <alignment horizontal="right"/>
    </xf>
    <xf numFmtId="1" fontId="22" fillId="0" borderId="0" xfId="0" applyNumberFormat="1" applyFont="1" applyAlignment="1">
      <alignment horizontal="right"/>
    </xf>
    <xf numFmtId="1" fontId="22" fillId="4" borderId="0" xfId="0" applyNumberFormat="1" applyFont="1" applyFill="1" applyAlignment="1">
      <alignment horizontal="right"/>
    </xf>
    <xf numFmtId="1" fontId="8" fillId="9" borderId="11" xfId="0" applyNumberFormat="1" applyFont="1" applyFill="1" applyBorder="1"/>
    <xf numFmtId="1" fontId="8" fillId="9" borderId="11" xfId="2" applyNumberFormat="1" applyFill="1" applyBorder="1" applyAlignment="1">
      <alignment horizontal="right"/>
    </xf>
    <xf numFmtId="1" fontId="8" fillId="0" borderId="13" xfId="0" applyNumberFormat="1" applyFont="1" applyBorder="1"/>
    <xf numFmtId="1" fontId="8" fillId="0" borderId="14" xfId="2" applyNumberFormat="1" applyBorder="1" applyAlignment="1">
      <alignment horizontal="right"/>
    </xf>
    <xf numFmtId="1" fontId="8" fillId="0" borderId="11" xfId="0" applyNumberFormat="1" applyFont="1" applyBorder="1"/>
    <xf numFmtId="1" fontId="8" fillId="0" borderId="15" xfId="2" applyNumberFormat="1" applyBorder="1" applyAlignment="1">
      <alignment horizontal="right"/>
    </xf>
    <xf numFmtId="1" fontId="8" fillId="0" borderId="10" xfId="2" applyNumberFormat="1" applyBorder="1" applyAlignment="1">
      <alignment horizontal="right"/>
    </xf>
    <xf numFmtId="1" fontId="8" fillId="0" borderId="16" xfId="0" applyNumberFormat="1" applyFont="1" applyBorder="1"/>
    <xf numFmtId="1" fontId="22" fillId="0" borderId="14" xfId="0" applyNumberFormat="1" applyFont="1" applyBorder="1" applyAlignment="1">
      <alignment horizontal="right"/>
    </xf>
    <xf numFmtId="1" fontId="8" fillId="0" borderId="17" xfId="0" applyNumberFormat="1" applyFont="1" applyBorder="1"/>
    <xf numFmtId="1" fontId="8" fillId="0" borderId="18" xfId="0" applyNumberFormat="1" applyFont="1" applyBorder="1"/>
    <xf numFmtId="1" fontId="8" fillId="0" borderId="0" xfId="0" applyNumberFormat="1" applyFont="1" applyAlignment="1">
      <alignment horizontal="right"/>
    </xf>
    <xf numFmtId="1" fontId="8" fillId="0" borderId="8" xfId="2" applyNumberFormat="1" applyBorder="1" applyAlignment="1">
      <alignment horizontal="right"/>
    </xf>
    <xf numFmtId="1" fontId="8" fillId="0" borderId="9" xfId="0" applyNumberFormat="1" applyFont="1" applyBorder="1"/>
    <xf numFmtId="1" fontId="8" fillId="0" borderId="10" xfId="0" applyNumberFormat="1" applyFont="1" applyBorder="1"/>
    <xf numFmtId="1" fontId="8" fillId="0" borderId="12" xfId="0" applyNumberFormat="1" applyFont="1" applyBorder="1"/>
    <xf numFmtId="164" fontId="2" fillId="0" borderId="19" xfId="0" applyFont="1" applyBorder="1"/>
    <xf numFmtId="3" fontId="1" fillId="7" borderId="19" xfId="0" applyNumberFormat="1" applyFont="1" applyFill="1" applyBorder="1"/>
    <xf numFmtId="2" fontId="2" fillId="0" borderId="1" xfId="0" applyNumberFormat="1" applyFont="1" applyBorder="1" applyAlignment="1">
      <alignment horizontal="right"/>
    </xf>
    <xf numFmtId="165" fontId="1" fillId="0" borderId="1" xfId="0" applyNumberFormat="1" applyFont="1" applyBorder="1" applyAlignment="1">
      <alignment horizontal="fill"/>
    </xf>
    <xf numFmtId="164" fontId="1" fillId="0" borderId="0" xfId="0" applyFont="1"/>
    <xf numFmtId="164" fontId="17" fillId="0" borderId="0" xfId="0" applyFont="1" applyAlignment="1">
      <alignment horizontal="right"/>
    </xf>
    <xf numFmtId="3" fontId="20" fillId="0" borderId="0" xfId="0" applyNumberFormat="1" applyFont="1"/>
    <xf numFmtId="164" fontId="23" fillId="0" borderId="0" xfId="0" applyFont="1" applyAlignment="1">
      <alignment horizontal="right"/>
    </xf>
    <xf numFmtId="3" fontId="23" fillId="0" borderId="0" xfId="0" applyNumberFormat="1" applyFont="1" applyAlignment="1">
      <alignment horizontal="center"/>
    </xf>
    <xf numFmtId="164" fontId="0" fillId="8" borderId="0" xfId="0" applyFill="1"/>
    <xf numFmtId="164" fontId="3" fillId="8" borderId="0" xfId="0" applyFont="1" applyFill="1"/>
    <xf numFmtId="164" fontId="4" fillId="0" borderId="0" xfId="0" applyFont="1" applyAlignment="1">
      <alignment horizontal="center"/>
    </xf>
    <xf numFmtId="164" fontId="18" fillId="0" borderId="0" xfId="0" applyFont="1" applyAlignment="1">
      <alignment horizontal="center"/>
    </xf>
    <xf numFmtId="164" fontId="3" fillId="0" borderId="0" xfId="0" applyFont="1" applyAlignment="1">
      <alignment horizontal="center"/>
    </xf>
    <xf numFmtId="164" fontId="4" fillId="0" borderId="1" xfId="0" applyFont="1" applyBorder="1" applyAlignment="1">
      <alignment horizontal="center"/>
    </xf>
    <xf numFmtId="164" fontId="2" fillId="7" borderId="1" xfId="0" applyFont="1" applyFill="1" applyBorder="1" applyAlignment="1">
      <alignment horizontal="fill"/>
    </xf>
    <xf numFmtId="168" fontId="2" fillId="7" borderId="0" xfId="1" applyNumberFormat="1" applyFont="1" applyFill="1"/>
    <xf numFmtId="37" fontId="2" fillId="7" borderId="0" xfId="0" applyNumberFormat="1" applyFont="1" applyFill="1"/>
    <xf numFmtId="164" fontId="2" fillId="7" borderId="0" xfId="0" applyFont="1" applyFill="1" applyAlignment="1">
      <alignment horizontal="center"/>
    </xf>
    <xf numFmtId="164" fontId="2" fillId="10" borderId="0" xfId="0" applyFont="1" applyFill="1" applyAlignment="1">
      <alignment horizontal="center"/>
    </xf>
    <xf numFmtId="164" fontId="3" fillId="10" borderId="1" xfId="0" applyFont="1" applyFill="1" applyBorder="1"/>
    <xf numFmtId="164" fontId="3" fillId="10" borderId="0" xfId="0" applyFont="1" applyFill="1"/>
    <xf numFmtId="3" fontId="3" fillId="10" borderId="0" xfId="0" applyNumberFormat="1" applyFont="1" applyFill="1"/>
    <xf numFmtId="164" fontId="15" fillId="0" borderId="0" xfId="0" applyFont="1" applyAlignment="1">
      <alignment horizontal="left"/>
    </xf>
    <xf numFmtId="1" fontId="8" fillId="9" borderId="0" xfId="0" applyNumberFormat="1" applyFont="1" applyFill="1"/>
    <xf numFmtId="1" fontId="8" fillId="9" borderId="0" xfId="2" applyNumberFormat="1" applyFill="1" applyAlignment="1">
      <alignment horizontal="right"/>
    </xf>
    <xf numFmtId="4" fontId="2" fillId="0" borderId="0" xfId="0" applyNumberFormat="1" applyFont="1"/>
    <xf numFmtId="4" fontId="1" fillId="7" borderId="0" xfId="0" applyNumberFormat="1" applyFont="1" applyFill="1"/>
    <xf numFmtId="4" fontId="2" fillId="11" borderId="0" xfId="0" applyNumberFormat="1" applyFont="1" applyFill="1"/>
    <xf numFmtId="165" fontId="2" fillId="0" borderId="20" xfId="0" applyNumberFormat="1" applyFont="1" applyBorder="1"/>
    <xf numFmtId="4" fontId="2" fillId="0" borderId="21" xfId="0" applyNumberFormat="1" applyFont="1" applyBorder="1"/>
    <xf numFmtId="4" fontId="2" fillId="11" borderId="21" xfId="0" applyNumberFormat="1" applyFont="1" applyFill="1" applyBorder="1"/>
    <xf numFmtId="4" fontId="2" fillId="0" borderId="22" xfId="0" applyNumberFormat="1" applyFont="1" applyBorder="1"/>
    <xf numFmtId="1" fontId="2" fillId="0" borderId="1" xfId="0" applyNumberFormat="1" applyFont="1" applyBorder="1"/>
    <xf numFmtId="1" fontId="3" fillId="0" borderId="0" xfId="0" applyNumberFormat="1" applyFont="1"/>
    <xf numFmtId="165" fontId="2" fillId="0" borderId="23" xfId="0" applyNumberFormat="1" applyFont="1" applyBorder="1"/>
    <xf numFmtId="165" fontId="2" fillId="0" borderId="24" xfId="0" applyNumberFormat="1" applyFont="1" applyBorder="1"/>
    <xf numFmtId="165" fontId="2" fillId="0" borderId="25" xfId="0" applyNumberFormat="1" applyFont="1" applyBorder="1"/>
    <xf numFmtId="3" fontId="0" fillId="0" borderId="0" xfId="0" applyNumberFormat="1"/>
    <xf numFmtId="2" fontId="2" fillId="0" borderId="0" xfId="0" applyNumberFormat="1" applyFont="1" applyAlignment="1">
      <alignment horizontal="right"/>
    </xf>
    <xf numFmtId="4" fontId="2" fillId="12" borderId="0" xfId="0" applyNumberFormat="1" applyFont="1" applyFill="1"/>
    <xf numFmtId="164" fontId="16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Normal 2" xfId="2" xr:uid="{7DB0F144-3104-4A4E-84AA-08B9152441F5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5FE8EF"/>
      <color rgb="FF568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Redoubt Sockeye Salmon
Cumulative Weir Count in 2025</a:t>
            </a:r>
            <a:r>
              <a:rPr lang="en-US" baseline="0"/>
              <a:t> </a:t>
            </a:r>
            <a:r>
              <a:rPr lang="en-US"/>
              <a:t>vs. OEG</a:t>
            </a:r>
          </a:p>
        </c:rich>
      </c:tx>
      <c:layout>
        <c:manualLayout>
          <c:xMode val="edge"/>
          <c:yMode val="edge"/>
          <c:x val="0.26590565796047338"/>
          <c:y val="2.6835636026860503E-2"/>
        </c:manualLayout>
      </c:layout>
      <c:overlay val="0"/>
      <c:spPr>
        <a:solidFill>
          <a:srgbClr val="5FE8EF"/>
        </a:solidFill>
        <a:ln w="3175">
          <a:solidFill>
            <a:srgbClr val="000000"/>
          </a:solidFill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4691519540121944"/>
          <c:y val="0.15325344749333042"/>
          <c:w val="0.79924139846096043"/>
          <c:h val="0.70578791986455292"/>
        </c:manualLayout>
      </c:layout>
      <c:lineChart>
        <c:grouping val="standard"/>
        <c:varyColors val="0"/>
        <c:ser>
          <c:idx val="2"/>
          <c:order val="0"/>
          <c:tx>
            <c:v>Upper Goal Range</c:v>
          </c:tx>
          <c:spPr>
            <a:ln w="25400">
              <a:solidFill>
                <a:srgbClr val="00FF00"/>
              </a:solidFill>
              <a:prstDash val="lgDash"/>
            </a:ln>
          </c:spPr>
          <c:marker>
            <c:symbol val="none"/>
          </c:marker>
          <c:cat>
            <c:numRef>
              <c:f>'Data Entry - Projections'!$A$10:$A$92</c:f>
              <c:numCache>
                <c:formatCode>dd\-mmm_)</c:formatCode>
                <c:ptCount val="83"/>
                <c:pt idx="0">
                  <c:v>164</c:v>
                </c:pt>
                <c:pt idx="1">
                  <c:v>165</c:v>
                </c:pt>
                <c:pt idx="2">
                  <c:v>166</c:v>
                </c:pt>
                <c:pt idx="3">
                  <c:v>167</c:v>
                </c:pt>
                <c:pt idx="4">
                  <c:v>168</c:v>
                </c:pt>
                <c:pt idx="5">
                  <c:v>169</c:v>
                </c:pt>
                <c:pt idx="6">
                  <c:v>170</c:v>
                </c:pt>
                <c:pt idx="7">
                  <c:v>171</c:v>
                </c:pt>
                <c:pt idx="8">
                  <c:v>172</c:v>
                </c:pt>
                <c:pt idx="9">
                  <c:v>173</c:v>
                </c:pt>
                <c:pt idx="10">
                  <c:v>174</c:v>
                </c:pt>
                <c:pt idx="11">
                  <c:v>175</c:v>
                </c:pt>
                <c:pt idx="12">
                  <c:v>176</c:v>
                </c:pt>
                <c:pt idx="13">
                  <c:v>177</c:v>
                </c:pt>
                <c:pt idx="14">
                  <c:v>178</c:v>
                </c:pt>
                <c:pt idx="15">
                  <c:v>179</c:v>
                </c:pt>
                <c:pt idx="16">
                  <c:v>180</c:v>
                </c:pt>
                <c:pt idx="17">
                  <c:v>181</c:v>
                </c:pt>
                <c:pt idx="18">
                  <c:v>182</c:v>
                </c:pt>
                <c:pt idx="19">
                  <c:v>183</c:v>
                </c:pt>
                <c:pt idx="20">
                  <c:v>184</c:v>
                </c:pt>
                <c:pt idx="21">
                  <c:v>185</c:v>
                </c:pt>
                <c:pt idx="22">
                  <c:v>186</c:v>
                </c:pt>
                <c:pt idx="23">
                  <c:v>187</c:v>
                </c:pt>
                <c:pt idx="24">
                  <c:v>188</c:v>
                </c:pt>
                <c:pt idx="25">
                  <c:v>189</c:v>
                </c:pt>
                <c:pt idx="26">
                  <c:v>190</c:v>
                </c:pt>
                <c:pt idx="27">
                  <c:v>191</c:v>
                </c:pt>
                <c:pt idx="28">
                  <c:v>192</c:v>
                </c:pt>
                <c:pt idx="29">
                  <c:v>193</c:v>
                </c:pt>
                <c:pt idx="30">
                  <c:v>194</c:v>
                </c:pt>
                <c:pt idx="31">
                  <c:v>195</c:v>
                </c:pt>
                <c:pt idx="32">
                  <c:v>196</c:v>
                </c:pt>
                <c:pt idx="33">
                  <c:v>197</c:v>
                </c:pt>
                <c:pt idx="34">
                  <c:v>198</c:v>
                </c:pt>
                <c:pt idx="35">
                  <c:v>199</c:v>
                </c:pt>
                <c:pt idx="36">
                  <c:v>200</c:v>
                </c:pt>
                <c:pt idx="37">
                  <c:v>201</c:v>
                </c:pt>
                <c:pt idx="38">
                  <c:v>202</c:v>
                </c:pt>
                <c:pt idx="39">
                  <c:v>203</c:v>
                </c:pt>
                <c:pt idx="40">
                  <c:v>204</c:v>
                </c:pt>
                <c:pt idx="41">
                  <c:v>205</c:v>
                </c:pt>
                <c:pt idx="42">
                  <c:v>206</c:v>
                </c:pt>
                <c:pt idx="43">
                  <c:v>207</c:v>
                </c:pt>
                <c:pt idx="44">
                  <c:v>208</c:v>
                </c:pt>
                <c:pt idx="45">
                  <c:v>209</c:v>
                </c:pt>
                <c:pt idx="46">
                  <c:v>210</c:v>
                </c:pt>
                <c:pt idx="47">
                  <c:v>211</c:v>
                </c:pt>
                <c:pt idx="48">
                  <c:v>212</c:v>
                </c:pt>
                <c:pt idx="49">
                  <c:v>213</c:v>
                </c:pt>
                <c:pt idx="50">
                  <c:v>214</c:v>
                </c:pt>
                <c:pt idx="51">
                  <c:v>215</c:v>
                </c:pt>
                <c:pt idx="52">
                  <c:v>216</c:v>
                </c:pt>
                <c:pt idx="53">
                  <c:v>217</c:v>
                </c:pt>
                <c:pt idx="54">
                  <c:v>218</c:v>
                </c:pt>
                <c:pt idx="55">
                  <c:v>219</c:v>
                </c:pt>
                <c:pt idx="56">
                  <c:v>220</c:v>
                </c:pt>
                <c:pt idx="57">
                  <c:v>221</c:v>
                </c:pt>
                <c:pt idx="58">
                  <c:v>222</c:v>
                </c:pt>
                <c:pt idx="59">
                  <c:v>223</c:v>
                </c:pt>
                <c:pt idx="60">
                  <c:v>224</c:v>
                </c:pt>
                <c:pt idx="61">
                  <c:v>225</c:v>
                </c:pt>
                <c:pt idx="62">
                  <c:v>226</c:v>
                </c:pt>
                <c:pt idx="63">
                  <c:v>227</c:v>
                </c:pt>
                <c:pt idx="64">
                  <c:v>228</c:v>
                </c:pt>
                <c:pt idx="65">
                  <c:v>229</c:v>
                </c:pt>
                <c:pt idx="66">
                  <c:v>230</c:v>
                </c:pt>
                <c:pt idx="67">
                  <c:v>231</c:v>
                </c:pt>
                <c:pt idx="68">
                  <c:v>232</c:v>
                </c:pt>
                <c:pt idx="69">
                  <c:v>233</c:v>
                </c:pt>
                <c:pt idx="70">
                  <c:v>234</c:v>
                </c:pt>
                <c:pt idx="71">
                  <c:v>235</c:v>
                </c:pt>
                <c:pt idx="72">
                  <c:v>236</c:v>
                </c:pt>
                <c:pt idx="73">
                  <c:v>237</c:v>
                </c:pt>
                <c:pt idx="74">
                  <c:v>238</c:v>
                </c:pt>
                <c:pt idx="75">
                  <c:v>239</c:v>
                </c:pt>
                <c:pt idx="76">
                  <c:v>240</c:v>
                </c:pt>
                <c:pt idx="77">
                  <c:v>241</c:v>
                </c:pt>
                <c:pt idx="78">
                  <c:v>242</c:v>
                </c:pt>
                <c:pt idx="79">
                  <c:v>243</c:v>
                </c:pt>
                <c:pt idx="80">
                  <c:v>244</c:v>
                </c:pt>
                <c:pt idx="81">
                  <c:v>245</c:v>
                </c:pt>
                <c:pt idx="82">
                  <c:v>246</c:v>
                </c:pt>
              </c:numCache>
            </c:numRef>
          </c:cat>
          <c:val>
            <c:numRef>
              <c:f>'Data Entry - Projections'!$E$10:$E$107</c:f>
              <c:numCache>
                <c:formatCode>#,##0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1.643476201847023</c:v>
                </c:pt>
                <c:pt idx="4">
                  <c:v>4.1872565105889645</c:v>
                </c:pt>
                <c:pt idx="5">
                  <c:v>9.6760647286685941</c:v>
                </c:pt>
                <c:pt idx="6">
                  <c:v>24.402073395510115</c:v>
                </c:pt>
                <c:pt idx="7">
                  <c:v>49.949298335825382</c:v>
                </c:pt>
                <c:pt idx="8">
                  <c:v>58.137311401979119</c:v>
                </c:pt>
                <c:pt idx="9">
                  <c:v>80.086723645534533</c:v>
                </c:pt>
                <c:pt idx="10">
                  <c:v>118.67278392832489</c:v>
                </c:pt>
                <c:pt idx="11">
                  <c:v>166.98979398764286</c:v>
                </c:pt>
                <c:pt idx="12">
                  <c:v>190.23177349379276</c:v>
                </c:pt>
                <c:pt idx="13">
                  <c:v>246.17780644467919</c:v>
                </c:pt>
                <c:pt idx="14">
                  <c:v>374.64447095816581</c:v>
                </c:pt>
                <c:pt idx="15">
                  <c:v>526.67800098353928</c:v>
                </c:pt>
                <c:pt idx="16">
                  <c:v>664.10195650558035</c:v>
                </c:pt>
                <c:pt idx="17">
                  <c:v>883.44400950065381</c:v>
                </c:pt>
                <c:pt idx="18">
                  <c:v>1066.6246370626645</c:v>
                </c:pt>
                <c:pt idx="19">
                  <c:v>1192.1192787843327</c:v>
                </c:pt>
                <c:pt idx="20">
                  <c:v>1288.4313427283018</c:v>
                </c:pt>
                <c:pt idx="21">
                  <c:v>1465.2885799272792</c:v>
                </c:pt>
                <c:pt idx="22">
                  <c:v>1720.8854998967543</c:v>
                </c:pt>
                <c:pt idx="23">
                  <c:v>2112.9064420481509</c:v>
                </c:pt>
                <c:pt idx="24">
                  <c:v>2332.4356833361121</c:v>
                </c:pt>
                <c:pt idx="25">
                  <c:v>2508.5434390648279</c:v>
                </c:pt>
                <c:pt idx="26">
                  <c:v>3147.6486771403647</c:v>
                </c:pt>
                <c:pt idx="27">
                  <c:v>3499.0804853817685</c:v>
                </c:pt>
                <c:pt idx="28">
                  <c:v>4229.3275646895408</c:v>
                </c:pt>
                <c:pt idx="29">
                  <c:v>4728.4895462161103</c:v>
                </c:pt>
                <c:pt idx="30">
                  <c:v>5103.0824994477571</c:v>
                </c:pt>
                <c:pt idx="31">
                  <c:v>5718.0324022449659</c:v>
                </c:pt>
                <c:pt idx="32">
                  <c:v>6067.5628221104407</c:v>
                </c:pt>
                <c:pt idx="33">
                  <c:v>6690.4361116159898</c:v>
                </c:pt>
                <c:pt idx="34">
                  <c:v>7051.4975519884465</c:v>
                </c:pt>
                <c:pt idx="35">
                  <c:v>7433.4662937396006</c:v>
                </c:pt>
                <c:pt idx="36">
                  <c:v>8005.966129347129</c:v>
                </c:pt>
                <c:pt idx="37">
                  <c:v>8489.5958006583969</c:v>
                </c:pt>
                <c:pt idx="38">
                  <c:v>9139.1952488796505</c:v>
                </c:pt>
                <c:pt idx="39">
                  <c:v>9475.1659414850401</c:v>
                </c:pt>
                <c:pt idx="40">
                  <c:v>9941.1260526097958</c:v>
                </c:pt>
                <c:pt idx="41">
                  <c:v>10360.861280055597</c:v>
                </c:pt>
                <c:pt idx="42">
                  <c:v>10786.417365129941</c:v>
                </c:pt>
                <c:pt idx="43">
                  <c:v>11499.565783689382</c:v>
                </c:pt>
                <c:pt idx="44">
                  <c:v>12148.989404563512</c:v>
                </c:pt>
                <c:pt idx="45">
                  <c:v>12605.079132679684</c:v>
                </c:pt>
                <c:pt idx="46">
                  <c:v>13148.412737789533</c:v>
                </c:pt>
                <c:pt idx="47">
                  <c:v>13589.095752184658</c:v>
                </c:pt>
                <c:pt idx="48">
                  <c:v>14066.66667552105</c:v>
                </c:pt>
                <c:pt idx="49">
                  <c:v>14559.14924629316</c:v>
                </c:pt>
                <c:pt idx="50">
                  <c:v>14998.489008263783</c:v>
                </c:pt>
                <c:pt idx="51">
                  <c:v>15541.597147797287</c:v>
                </c:pt>
                <c:pt idx="52">
                  <c:v>16186.601278220463</c:v>
                </c:pt>
                <c:pt idx="53">
                  <c:v>16836.071655748168</c:v>
                </c:pt>
                <c:pt idx="54">
                  <c:v>17379.857201026887</c:v>
                </c:pt>
                <c:pt idx="55">
                  <c:v>17766.943852894627</c:v>
                </c:pt>
                <c:pt idx="56">
                  <c:v>18415.08417847189</c:v>
                </c:pt>
                <c:pt idx="57">
                  <c:v>18854.262904841802</c:v>
                </c:pt>
                <c:pt idx="58">
                  <c:v>19456.255313411471</c:v>
                </c:pt>
                <c:pt idx="59">
                  <c:v>19926.959105104117</c:v>
                </c:pt>
                <c:pt idx="60">
                  <c:v>20460.633304637628</c:v>
                </c:pt>
                <c:pt idx="61">
                  <c:v>20830.108057571579</c:v>
                </c:pt>
                <c:pt idx="62">
                  <c:v>21171.663717597126</c:v>
                </c:pt>
                <c:pt idx="63">
                  <c:v>21447.746421825061</c:v>
                </c:pt>
                <c:pt idx="64">
                  <c:v>21802.112446990632</c:v>
                </c:pt>
                <c:pt idx="65">
                  <c:v>22064.934299209897</c:v>
                </c:pt>
                <c:pt idx="66">
                  <c:v>22328.396848030792</c:v>
                </c:pt>
                <c:pt idx="67">
                  <c:v>22592.86922238964</c:v>
                </c:pt>
                <c:pt idx="68">
                  <c:v>22809.167721758778</c:v>
                </c:pt>
                <c:pt idx="69">
                  <c:v>23058.810630004005</c:v>
                </c:pt>
                <c:pt idx="70">
                  <c:v>23219.997928639365</c:v>
                </c:pt>
                <c:pt idx="71">
                  <c:v>23339.161663840772</c:v>
                </c:pt>
                <c:pt idx="72">
                  <c:v>23584.220106181427</c:v>
                </c:pt>
                <c:pt idx="73">
                  <c:v>23745.472541827199</c:v>
                </c:pt>
                <c:pt idx="74">
                  <c:v>23881.603473420786</c:v>
                </c:pt>
                <c:pt idx="75">
                  <c:v>24027.153921154106</c:v>
                </c:pt>
                <c:pt idx="76">
                  <c:v>24195.970770733551</c:v>
                </c:pt>
                <c:pt idx="77">
                  <c:v>24348.12655058684</c:v>
                </c:pt>
                <c:pt idx="78">
                  <c:v>24438.119320817754</c:v>
                </c:pt>
                <c:pt idx="79">
                  <c:v>24554.641408896598</c:v>
                </c:pt>
                <c:pt idx="80">
                  <c:v>24686.806889369978</c:v>
                </c:pt>
                <c:pt idx="81">
                  <c:v>24742.890756344088</c:v>
                </c:pt>
                <c:pt idx="82">
                  <c:v>24818.090356964221</c:v>
                </c:pt>
                <c:pt idx="83">
                  <c:v>24885.209157559075</c:v>
                </c:pt>
                <c:pt idx="84">
                  <c:v>24921.863894230035</c:v>
                </c:pt>
                <c:pt idx="85">
                  <c:v>24942.567050251753</c:v>
                </c:pt>
                <c:pt idx="86">
                  <c:v>24966.512591563511</c:v>
                </c:pt>
                <c:pt idx="87">
                  <c:v>24984.961146211077</c:v>
                </c:pt>
                <c:pt idx="88">
                  <c:v>24988.582414210159</c:v>
                </c:pt>
                <c:pt idx="89">
                  <c:v>25000</c:v>
                </c:pt>
                <c:pt idx="90">
                  <c:v>25000</c:v>
                </c:pt>
                <c:pt idx="91">
                  <c:v>25000</c:v>
                </c:pt>
                <c:pt idx="92">
                  <c:v>25000</c:v>
                </c:pt>
                <c:pt idx="93">
                  <c:v>25000</c:v>
                </c:pt>
                <c:pt idx="94">
                  <c:v>25000</c:v>
                </c:pt>
                <c:pt idx="95">
                  <c:v>25000</c:v>
                </c:pt>
                <c:pt idx="96">
                  <c:v>25000</c:v>
                </c:pt>
                <c:pt idx="97">
                  <c:v>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10-40A8-B4D6-88880C8D508A}"/>
            </c:ext>
          </c:extLst>
        </c:ser>
        <c:ser>
          <c:idx val="0"/>
          <c:order val="1"/>
          <c:tx>
            <c:v>Lower Goal Range</c:v>
          </c:tx>
          <c:spPr>
            <a:ln w="25400">
              <a:solidFill>
                <a:srgbClr val="FF0000"/>
              </a:solidFill>
              <a:prstDash val="sysDash"/>
            </a:ln>
          </c:spPr>
          <c:marker>
            <c:symbol val="none"/>
          </c:marker>
          <c:cat>
            <c:numRef>
              <c:f>'Data Entry - Projections'!$A$10:$A$92</c:f>
              <c:numCache>
                <c:formatCode>dd\-mmm_)</c:formatCode>
                <c:ptCount val="83"/>
                <c:pt idx="0">
                  <c:v>164</c:v>
                </c:pt>
                <c:pt idx="1">
                  <c:v>165</c:v>
                </c:pt>
                <c:pt idx="2">
                  <c:v>166</c:v>
                </c:pt>
                <c:pt idx="3">
                  <c:v>167</c:v>
                </c:pt>
                <c:pt idx="4">
                  <c:v>168</c:v>
                </c:pt>
                <c:pt idx="5">
                  <c:v>169</c:v>
                </c:pt>
                <c:pt idx="6">
                  <c:v>170</c:v>
                </c:pt>
                <c:pt idx="7">
                  <c:v>171</c:v>
                </c:pt>
                <c:pt idx="8">
                  <c:v>172</c:v>
                </c:pt>
                <c:pt idx="9">
                  <c:v>173</c:v>
                </c:pt>
                <c:pt idx="10">
                  <c:v>174</c:v>
                </c:pt>
                <c:pt idx="11">
                  <c:v>175</c:v>
                </c:pt>
                <c:pt idx="12">
                  <c:v>176</c:v>
                </c:pt>
                <c:pt idx="13">
                  <c:v>177</c:v>
                </c:pt>
                <c:pt idx="14">
                  <c:v>178</c:v>
                </c:pt>
                <c:pt idx="15">
                  <c:v>179</c:v>
                </c:pt>
                <c:pt idx="16">
                  <c:v>180</c:v>
                </c:pt>
                <c:pt idx="17">
                  <c:v>181</c:v>
                </c:pt>
                <c:pt idx="18">
                  <c:v>182</c:v>
                </c:pt>
                <c:pt idx="19">
                  <c:v>183</c:v>
                </c:pt>
                <c:pt idx="20">
                  <c:v>184</c:v>
                </c:pt>
                <c:pt idx="21">
                  <c:v>185</c:v>
                </c:pt>
                <c:pt idx="22">
                  <c:v>186</c:v>
                </c:pt>
                <c:pt idx="23">
                  <c:v>187</c:v>
                </c:pt>
                <c:pt idx="24">
                  <c:v>188</c:v>
                </c:pt>
                <c:pt idx="25">
                  <c:v>189</c:v>
                </c:pt>
                <c:pt idx="26">
                  <c:v>190</c:v>
                </c:pt>
                <c:pt idx="27">
                  <c:v>191</c:v>
                </c:pt>
                <c:pt idx="28">
                  <c:v>192</c:v>
                </c:pt>
                <c:pt idx="29">
                  <c:v>193</c:v>
                </c:pt>
                <c:pt idx="30">
                  <c:v>194</c:v>
                </c:pt>
                <c:pt idx="31">
                  <c:v>195</c:v>
                </c:pt>
                <c:pt idx="32">
                  <c:v>196</c:v>
                </c:pt>
                <c:pt idx="33">
                  <c:v>197</c:v>
                </c:pt>
                <c:pt idx="34">
                  <c:v>198</c:v>
                </c:pt>
                <c:pt idx="35">
                  <c:v>199</c:v>
                </c:pt>
                <c:pt idx="36">
                  <c:v>200</c:v>
                </c:pt>
                <c:pt idx="37">
                  <c:v>201</c:v>
                </c:pt>
                <c:pt idx="38">
                  <c:v>202</c:v>
                </c:pt>
                <c:pt idx="39">
                  <c:v>203</c:v>
                </c:pt>
                <c:pt idx="40">
                  <c:v>204</c:v>
                </c:pt>
                <c:pt idx="41">
                  <c:v>205</c:v>
                </c:pt>
                <c:pt idx="42">
                  <c:v>206</c:v>
                </c:pt>
                <c:pt idx="43">
                  <c:v>207</c:v>
                </c:pt>
                <c:pt idx="44">
                  <c:v>208</c:v>
                </c:pt>
                <c:pt idx="45">
                  <c:v>209</c:v>
                </c:pt>
                <c:pt idx="46">
                  <c:v>210</c:v>
                </c:pt>
                <c:pt idx="47">
                  <c:v>211</c:v>
                </c:pt>
                <c:pt idx="48">
                  <c:v>212</c:v>
                </c:pt>
                <c:pt idx="49">
                  <c:v>213</c:v>
                </c:pt>
                <c:pt idx="50">
                  <c:v>214</c:v>
                </c:pt>
                <c:pt idx="51">
                  <c:v>215</c:v>
                </c:pt>
                <c:pt idx="52">
                  <c:v>216</c:v>
                </c:pt>
                <c:pt idx="53">
                  <c:v>217</c:v>
                </c:pt>
                <c:pt idx="54">
                  <c:v>218</c:v>
                </c:pt>
                <c:pt idx="55">
                  <c:v>219</c:v>
                </c:pt>
                <c:pt idx="56">
                  <c:v>220</c:v>
                </c:pt>
                <c:pt idx="57">
                  <c:v>221</c:v>
                </c:pt>
                <c:pt idx="58">
                  <c:v>222</c:v>
                </c:pt>
                <c:pt idx="59">
                  <c:v>223</c:v>
                </c:pt>
                <c:pt idx="60">
                  <c:v>224</c:v>
                </c:pt>
                <c:pt idx="61">
                  <c:v>225</c:v>
                </c:pt>
                <c:pt idx="62">
                  <c:v>226</c:v>
                </c:pt>
                <c:pt idx="63">
                  <c:v>227</c:v>
                </c:pt>
                <c:pt idx="64">
                  <c:v>228</c:v>
                </c:pt>
                <c:pt idx="65">
                  <c:v>229</c:v>
                </c:pt>
                <c:pt idx="66">
                  <c:v>230</c:v>
                </c:pt>
                <c:pt idx="67">
                  <c:v>231</c:v>
                </c:pt>
                <c:pt idx="68">
                  <c:v>232</c:v>
                </c:pt>
                <c:pt idx="69">
                  <c:v>233</c:v>
                </c:pt>
                <c:pt idx="70">
                  <c:v>234</c:v>
                </c:pt>
                <c:pt idx="71">
                  <c:v>235</c:v>
                </c:pt>
                <c:pt idx="72">
                  <c:v>236</c:v>
                </c:pt>
                <c:pt idx="73">
                  <c:v>237</c:v>
                </c:pt>
                <c:pt idx="74">
                  <c:v>238</c:v>
                </c:pt>
                <c:pt idx="75">
                  <c:v>239</c:v>
                </c:pt>
                <c:pt idx="76">
                  <c:v>240</c:v>
                </c:pt>
                <c:pt idx="77">
                  <c:v>241</c:v>
                </c:pt>
                <c:pt idx="78">
                  <c:v>242</c:v>
                </c:pt>
                <c:pt idx="79">
                  <c:v>243</c:v>
                </c:pt>
                <c:pt idx="80">
                  <c:v>244</c:v>
                </c:pt>
                <c:pt idx="81">
                  <c:v>245</c:v>
                </c:pt>
                <c:pt idx="82">
                  <c:v>246</c:v>
                </c:pt>
              </c:numCache>
            </c:numRef>
          </c:cat>
          <c:val>
            <c:numRef>
              <c:f>'Data Entry - Projections'!$D$10:$D$107</c:f>
              <c:numCache>
                <c:formatCode>#,##0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0.46017333651716646</c:v>
                </c:pt>
                <c:pt idx="4">
                  <c:v>1.1724318229649102</c:v>
                </c:pt>
                <c:pt idx="5">
                  <c:v>2.7092981240272063</c:v>
                </c:pt>
                <c:pt idx="6">
                  <c:v>6.8325805507428328</c:v>
                </c:pt>
                <c:pt idx="7">
                  <c:v>13.985803534031106</c:v>
                </c:pt>
                <c:pt idx="8">
                  <c:v>16.278447192554154</c:v>
                </c:pt>
                <c:pt idx="9">
                  <c:v>22.424282620749668</c:v>
                </c:pt>
                <c:pt idx="10">
                  <c:v>33.228379499930966</c:v>
                </c:pt>
                <c:pt idx="11">
                  <c:v>46.757142316539998</c:v>
                </c:pt>
                <c:pt idx="12">
                  <c:v>53.264896578261968</c:v>
                </c:pt>
                <c:pt idx="13">
                  <c:v>68.929785804510175</c:v>
                </c:pt>
                <c:pt idx="14">
                  <c:v>104.90045186828642</c:v>
                </c:pt>
                <c:pt idx="15">
                  <c:v>147.46984027539102</c:v>
                </c:pt>
                <c:pt idx="16">
                  <c:v>185.9485478215625</c:v>
                </c:pt>
                <c:pt idx="17">
                  <c:v>247.36432266018306</c:v>
                </c:pt>
                <c:pt idx="18">
                  <c:v>298.65489837754603</c:v>
                </c:pt>
                <c:pt idx="19">
                  <c:v>333.79339805961314</c:v>
                </c:pt>
                <c:pt idx="20">
                  <c:v>360.76077596392452</c:v>
                </c:pt>
                <c:pt idx="21">
                  <c:v>410.28080237963815</c:v>
                </c:pt>
                <c:pt idx="22">
                  <c:v>481.84793997109119</c:v>
                </c:pt>
                <c:pt idx="23">
                  <c:v>591.61380377348223</c:v>
                </c:pt>
                <c:pt idx="24">
                  <c:v>653.08199133411142</c:v>
                </c:pt>
                <c:pt idx="25">
                  <c:v>702.39216293815184</c:v>
                </c:pt>
                <c:pt idx="26">
                  <c:v>881.34162959930211</c:v>
                </c:pt>
                <c:pt idx="27">
                  <c:v>979.74253590689511</c:v>
                </c:pt>
                <c:pt idx="28">
                  <c:v>1184.2117181130716</c:v>
                </c:pt>
                <c:pt idx="29">
                  <c:v>1323.9770729405109</c:v>
                </c:pt>
                <c:pt idx="30">
                  <c:v>1428.8630998453721</c:v>
                </c:pt>
                <c:pt idx="31">
                  <c:v>1601.0490726285905</c:v>
                </c:pt>
                <c:pt idx="32">
                  <c:v>1698.9175901909234</c:v>
                </c:pt>
                <c:pt idx="33">
                  <c:v>1873.322111252477</c:v>
                </c:pt>
                <c:pt idx="34">
                  <c:v>1974.4193145567649</c:v>
                </c:pt>
                <c:pt idx="35">
                  <c:v>2081.3705622470879</c:v>
                </c:pt>
                <c:pt idx="36">
                  <c:v>2241.6705162171961</c:v>
                </c:pt>
                <c:pt idx="37">
                  <c:v>2377.0868241843514</c:v>
                </c:pt>
                <c:pt idx="38">
                  <c:v>2558.9746696863021</c:v>
                </c:pt>
                <c:pt idx="39">
                  <c:v>2653.0464636158108</c:v>
                </c:pt>
                <c:pt idx="40">
                  <c:v>2783.5152947307429</c:v>
                </c:pt>
                <c:pt idx="41">
                  <c:v>2901.0411584155668</c:v>
                </c:pt>
                <c:pt idx="42">
                  <c:v>3020.1968622363834</c:v>
                </c:pt>
                <c:pt idx="43">
                  <c:v>3219.8784194330274</c:v>
                </c:pt>
                <c:pt idx="44">
                  <c:v>3401.7170332777832</c:v>
                </c:pt>
                <c:pt idx="45">
                  <c:v>3529.4221571503113</c:v>
                </c:pt>
                <c:pt idx="46">
                  <c:v>3681.5555665810693</c:v>
                </c:pt>
                <c:pt idx="47">
                  <c:v>3804.9468106117042</c:v>
                </c:pt>
                <c:pt idx="48">
                  <c:v>3938.666669145894</c:v>
                </c:pt>
                <c:pt idx="49">
                  <c:v>4076.5617889620848</c:v>
                </c:pt>
                <c:pt idx="50">
                  <c:v>4199.5769223138586</c:v>
                </c:pt>
                <c:pt idx="51">
                  <c:v>4351.6472013832399</c:v>
                </c:pt>
                <c:pt idx="52">
                  <c:v>4532.2483579017298</c:v>
                </c:pt>
                <c:pt idx="53">
                  <c:v>4714.1000636094877</c:v>
                </c:pt>
                <c:pt idx="54">
                  <c:v>4866.3600162875291</c:v>
                </c:pt>
                <c:pt idx="55">
                  <c:v>4974.7442788104954</c:v>
                </c:pt>
                <c:pt idx="56">
                  <c:v>5156.2235699721296</c:v>
                </c:pt>
                <c:pt idx="57">
                  <c:v>5279.1936133557047</c:v>
                </c:pt>
                <c:pt idx="58">
                  <c:v>5447.7514877552121</c:v>
                </c:pt>
                <c:pt idx="59">
                  <c:v>5579.5485494291524</c:v>
                </c:pt>
                <c:pt idx="60">
                  <c:v>5728.9773252985351</c:v>
                </c:pt>
                <c:pt idx="61">
                  <c:v>5832.430256120042</c:v>
                </c:pt>
                <c:pt idx="62">
                  <c:v>5928.0658409271946</c:v>
                </c:pt>
                <c:pt idx="63">
                  <c:v>6005.3689981110165</c:v>
                </c:pt>
                <c:pt idx="64">
                  <c:v>6104.5914851573771</c:v>
                </c:pt>
                <c:pt idx="65">
                  <c:v>6178.1816037787712</c:v>
                </c:pt>
                <c:pt idx="66">
                  <c:v>6251.9511174486215</c:v>
                </c:pt>
                <c:pt idx="67">
                  <c:v>6326.0033822690984</c:v>
                </c:pt>
                <c:pt idx="68">
                  <c:v>6386.5669620924573</c:v>
                </c:pt>
                <c:pt idx="69">
                  <c:v>6456.4669764011214</c:v>
                </c:pt>
                <c:pt idx="70">
                  <c:v>6501.5994200190216</c:v>
                </c:pt>
                <c:pt idx="71">
                  <c:v>6534.9652658754158</c:v>
                </c:pt>
                <c:pt idx="72">
                  <c:v>6603.5816297308002</c:v>
                </c:pt>
                <c:pt idx="73">
                  <c:v>6648.7323117116166</c:v>
                </c:pt>
                <c:pt idx="74">
                  <c:v>6686.8489725578202</c:v>
                </c:pt>
                <c:pt idx="75">
                  <c:v>6727.6030979231491</c:v>
                </c:pt>
                <c:pt idx="76">
                  <c:v>6774.8718158053944</c:v>
                </c:pt>
                <c:pt idx="77">
                  <c:v>6817.4754341643156</c:v>
                </c:pt>
                <c:pt idx="78">
                  <c:v>6842.6734098289717</c:v>
                </c:pt>
                <c:pt idx="79">
                  <c:v>6875.2995944910472</c:v>
                </c:pt>
                <c:pt idx="80">
                  <c:v>6912.3059290235933</c:v>
                </c:pt>
                <c:pt idx="81">
                  <c:v>6928.0094117763447</c:v>
                </c:pt>
                <c:pt idx="82">
                  <c:v>6949.0652999499825</c:v>
                </c:pt>
                <c:pt idx="83">
                  <c:v>6967.8585641165409</c:v>
                </c:pt>
                <c:pt idx="84">
                  <c:v>6978.1218903844092</c:v>
                </c:pt>
                <c:pt idx="85">
                  <c:v>6983.9187740704901</c:v>
                </c:pt>
                <c:pt idx="86">
                  <c:v>6990.6235256377831</c:v>
                </c:pt>
                <c:pt idx="87">
                  <c:v>6995.7891209391018</c:v>
                </c:pt>
                <c:pt idx="88">
                  <c:v>6996.8030759788444</c:v>
                </c:pt>
                <c:pt idx="89">
                  <c:v>7000</c:v>
                </c:pt>
                <c:pt idx="90">
                  <c:v>7000</c:v>
                </c:pt>
                <c:pt idx="91">
                  <c:v>7000</c:v>
                </c:pt>
                <c:pt idx="92">
                  <c:v>7000</c:v>
                </c:pt>
                <c:pt idx="93">
                  <c:v>7000</c:v>
                </c:pt>
                <c:pt idx="94">
                  <c:v>7000</c:v>
                </c:pt>
                <c:pt idx="95">
                  <c:v>7000</c:v>
                </c:pt>
                <c:pt idx="96">
                  <c:v>7000</c:v>
                </c:pt>
                <c:pt idx="97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10-40A8-B4D6-88880C8D508A}"/>
            </c:ext>
          </c:extLst>
        </c:ser>
        <c:ser>
          <c:idx val="3"/>
          <c:order val="2"/>
          <c:tx>
            <c:v>2025 Cum Weir Count</c:v>
          </c:tx>
          <c:spPr>
            <a:ln w="38100" cmpd="dbl">
              <a:solidFill>
                <a:schemeClr val="tx1"/>
              </a:solidFill>
              <a:prstDash val="solid"/>
            </a:ln>
          </c:spPr>
          <c:marker>
            <c:symbol val="none"/>
          </c:marker>
          <c:cat>
            <c:numRef>
              <c:f>'Data Entry - Projections'!$A$10:$A$92</c:f>
              <c:numCache>
                <c:formatCode>dd\-mmm_)</c:formatCode>
                <c:ptCount val="83"/>
                <c:pt idx="0">
                  <c:v>164</c:v>
                </c:pt>
                <c:pt idx="1">
                  <c:v>165</c:v>
                </c:pt>
                <c:pt idx="2">
                  <c:v>166</c:v>
                </c:pt>
                <c:pt idx="3">
                  <c:v>167</c:v>
                </c:pt>
                <c:pt idx="4">
                  <c:v>168</c:v>
                </c:pt>
                <c:pt idx="5">
                  <c:v>169</c:v>
                </c:pt>
                <c:pt idx="6">
                  <c:v>170</c:v>
                </c:pt>
                <c:pt idx="7">
                  <c:v>171</c:v>
                </c:pt>
                <c:pt idx="8">
                  <c:v>172</c:v>
                </c:pt>
                <c:pt idx="9">
                  <c:v>173</c:v>
                </c:pt>
                <c:pt idx="10">
                  <c:v>174</c:v>
                </c:pt>
                <c:pt idx="11">
                  <c:v>175</c:v>
                </c:pt>
                <c:pt idx="12">
                  <c:v>176</c:v>
                </c:pt>
                <c:pt idx="13">
                  <c:v>177</c:v>
                </c:pt>
                <c:pt idx="14">
                  <c:v>178</c:v>
                </c:pt>
                <c:pt idx="15">
                  <c:v>179</c:v>
                </c:pt>
                <c:pt idx="16">
                  <c:v>180</c:v>
                </c:pt>
                <c:pt idx="17">
                  <c:v>181</c:v>
                </c:pt>
                <c:pt idx="18">
                  <c:v>182</c:v>
                </c:pt>
                <c:pt idx="19">
                  <c:v>183</c:v>
                </c:pt>
                <c:pt idx="20">
                  <c:v>184</c:v>
                </c:pt>
                <c:pt idx="21">
                  <c:v>185</c:v>
                </c:pt>
                <c:pt idx="22">
                  <c:v>186</c:v>
                </c:pt>
                <c:pt idx="23">
                  <c:v>187</c:v>
                </c:pt>
                <c:pt idx="24">
                  <c:v>188</c:v>
                </c:pt>
                <c:pt idx="25">
                  <c:v>189</c:v>
                </c:pt>
                <c:pt idx="26">
                  <c:v>190</c:v>
                </c:pt>
                <c:pt idx="27">
                  <c:v>191</c:v>
                </c:pt>
                <c:pt idx="28">
                  <c:v>192</c:v>
                </c:pt>
                <c:pt idx="29">
                  <c:v>193</c:v>
                </c:pt>
                <c:pt idx="30">
                  <c:v>194</c:v>
                </c:pt>
                <c:pt idx="31">
                  <c:v>195</c:v>
                </c:pt>
                <c:pt idx="32">
                  <c:v>196</c:v>
                </c:pt>
                <c:pt idx="33">
                  <c:v>197</c:v>
                </c:pt>
                <c:pt idx="34">
                  <c:v>198</c:v>
                </c:pt>
                <c:pt idx="35">
                  <c:v>199</c:v>
                </c:pt>
                <c:pt idx="36">
                  <c:v>200</c:v>
                </c:pt>
                <c:pt idx="37">
                  <c:v>201</c:v>
                </c:pt>
                <c:pt idx="38">
                  <c:v>202</c:v>
                </c:pt>
                <c:pt idx="39">
                  <c:v>203</c:v>
                </c:pt>
                <c:pt idx="40">
                  <c:v>204</c:v>
                </c:pt>
                <c:pt idx="41">
                  <c:v>205</c:v>
                </c:pt>
                <c:pt idx="42">
                  <c:v>206</c:v>
                </c:pt>
                <c:pt idx="43">
                  <c:v>207</c:v>
                </c:pt>
                <c:pt idx="44">
                  <c:v>208</c:v>
                </c:pt>
                <c:pt idx="45">
                  <c:v>209</c:v>
                </c:pt>
                <c:pt idx="46">
                  <c:v>210</c:v>
                </c:pt>
                <c:pt idx="47">
                  <c:v>211</c:v>
                </c:pt>
                <c:pt idx="48">
                  <c:v>212</c:v>
                </c:pt>
                <c:pt idx="49">
                  <c:v>213</c:v>
                </c:pt>
                <c:pt idx="50">
                  <c:v>214</c:v>
                </c:pt>
                <c:pt idx="51">
                  <c:v>215</c:v>
                </c:pt>
                <c:pt idx="52">
                  <c:v>216</c:v>
                </c:pt>
                <c:pt idx="53">
                  <c:v>217</c:v>
                </c:pt>
                <c:pt idx="54">
                  <c:v>218</c:v>
                </c:pt>
                <c:pt idx="55">
                  <c:v>219</c:v>
                </c:pt>
                <c:pt idx="56">
                  <c:v>220</c:v>
                </c:pt>
                <c:pt idx="57">
                  <c:v>221</c:v>
                </c:pt>
                <c:pt idx="58">
                  <c:v>222</c:v>
                </c:pt>
                <c:pt idx="59">
                  <c:v>223</c:v>
                </c:pt>
                <c:pt idx="60">
                  <c:v>224</c:v>
                </c:pt>
                <c:pt idx="61">
                  <c:v>225</c:v>
                </c:pt>
                <c:pt idx="62">
                  <c:v>226</c:v>
                </c:pt>
                <c:pt idx="63">
                  <c:v>227</c:v>
                </c:pt>
                <c:pt idx="64">
                  <c:v>228</c:v>
                </c:pt>
                <c:pt idx="65">
                  <c:v>229</c:v>
                </c:pt>
                <c:pt idx="66">
                  <c:v>230</c:v>
                </c:pt>
                <c:pt idx="67">
                  <c:v>231</c:v>
                </c:pt>
                <c:pt idx="68">
                  <c:v>232</c:v>
                </c:pt>
                <c:pt idx="69">
                  <c:v>233</c:v>
                </c:pt>
                <c:pt idx="70">
                  <c:v>234</c:v>
                </c:pt>
                <c:pt idx="71">
                  <c:v>235</c:v>
                </c:pt>
                <c:pt idx="72">
                  <c:v>236</c:v>
                </c:pt>
                <c:pt idx="73">
                  <c:v>237</c:v>
                </c:pt>
                <c:pt idx="74">
                  <c:v>238</c:v>
                </c:pt>
                <c:pt idx="75">
                  <c:v>239</c:v>
                </c:pt>
                <c:pt idx="76">
                  <c:v>240</c:v>
                </c:pt>
                <c:pt idx="77">
                  <c:v>241</c:v>
                </c:pt>
                <c:pt idx="78">
                  <c:v>242</c:v>
                </c:pt>
                <c:pt idx="79">
                  <c:v>243</c:v>
                </c:pt>
                <c:pt idx="80">
                  <c:v>244</c:v>
                </c:pt>
                <c:pt idx="81">
                  <c:v>245</c:v>
                </c:pt>
                <c:pt idx="82">
                  <c:v>246</c:v>
                </c:pt>
              </c:numCache>
            </c:numRef>
          </c:cat>
          <c:val>
            <c:numRef>
              <c:f>'Data Entry - Projections'!$C$10:$C$107</c:f>
              <c:numCache>
                <c:formatCode>#,##0</c:formatCode>
                <c:ptCount val="98"/>
                <c:pt idx="2">
                  <c:v>1</c:v>
                </c:pt>
                <c:pt idx="3">
                  <c:v>8</c:v>
                </c:pt>
                <c:pt idx="4">
                  <c:v>21</c:v>
                </c:pt>
                <c:pt idx="5">
                  <c:v>28</c:v>
                </c:pt>
                <c:pt idx="6">
                  <c:v>29</c:v>
                </c:pt>
                <c:pt idx="7">
                  <c:v>37</c:v>
                </c:pt>
                <c:pt idx="8">
                  <c:v>586</c:v>
                </c:pt>
                <c:pt idx="9">
                  <c:v>588</c:v>
                </c:pt>
                <c:pt idx="10">
                  <c:v>588</c:v>
                </c:pt>
                <c:pt idx="11">
                  <c:v>1214</c:v>
                </c:pt>
                <c:pt idx="12">
                  <c:v>1731</c:v>
                </c:pt>
                <c:pt idx="13">
                  <c:v>2455</c:v>
                </c:pt>
                <c:pt idx="14">
                  <c:v>3327</c:v>
                </c:pt>
                <c:pt idx="15">
                  <c:v>3639</c:v>
                </c:pt>
                <c:pt idx="16">
                  <c:v>6932</c:v>
                </c:pt>
                <c:pt idx="17">
                  <c:v>8111</c:v>
                </c:pt>
                <c:pt idx="18">
                  <c:v>12802</c:v>
                </c:pt>
                <c:pt idx="19">
                  <c:v>17315</c:v>
                </c:pt>
                <c:pt idx="20">
                  <c:v>22747</c:v>
                </c:pt>
                <c:pt idx="21">
                  <c:v>24748</c:v>
                </c:pt>
                <c:pt idx="22">
                  <c:v>28399</c:v>
                </c:pt>
                <c:pt idx="23">
                  <c:v>34583</c:v>
                </c:pt>
                <c:pt idx="24">
                  <c:v>39921</c:v>
                </c:pt>
                <c:pt idx="25">
                  <c:v>47863</c:v>
                </c:pt>
                <c:pt idx="26">
                  <c:v>53273</c:v>
                </c:pt>
                <c:pt idx="27">
                  <c:v>58706</c:v>
                </c:pt>
                <c:pt idx="28">
                  <c:v>65514</c:v>
                </c:pt>
                <c:pt idx="29">
                  <c:v>70628</c:v>
                </c:pt>
                <c:pt idx="30">
                  <c:v>75918</c:v>
                </c:pt>
                <c:pt idx="31">
                  <c:v>82354</c:v>
                </c:pt>
                <c:pt idx="32">
                  <c:v>87326</c:v>
                </c:pt>
                <c:pt idx="33">
                  <c:v>93005</c:v>
                </c:pt>
                <c:pt idx="34">
                  <c:v>100088</c:v>
                </c:pt>
                <c:pt idx="35">
                  <c:v>101806</c:v>
                </c:pt>
                <c:pt idx="36">
                  <c:v>102949</c:v>
                </c:pt>
                <c:pt idx="37">
                  <c:v>105186</c:v>
                </c:pt>
                <c:pt idx="38">
                  <c:v>110091</c:v>
                </c:pt>
                <c:pt idx="39">
                  <c:v>121502</c:v>
                </c:pt>
                <c:pt idx="40">
                  <c:v>127664</c:v>
                </c:pt>
                <c:pt idx="41">
                  <c:v>129789</c:v>
                </c:pt>
                <c:pt idx="42">
                  <c:v>133055</c:v>
                </c:pt>
                <c:pt idx="43">
                  <c:v>135568</c:v>
                </c:pt>
                <c:pt idx="44">
                  <c:v>139085</c:v>
                </c:pt>
                <c:pt idx="45">
                  <c:v>140224</c:v>
                </c:pt>
                <c:pt idx="46">
                  <c:v>143968</c:v>
                </c:pt>
                <c:pt idx="47">
                  <c:v>146974</c:v>
                </c:pt>
                <c:pt idx="48">
                  <c:v>152865</c:v>
                </c:pt>
                <c:pt idx="49">
                  <c:v>157336</c:v>
                </c:pt>
                <c:pt idx="50">
                  <c:v>164092</c:v>
                </c:pt>
                <c:pt idx="51">
                  <c:v>168039</c:v>
                </c:pt>
                <c:pt idx="52">
                  <c:v>170754</c:v>
                </c:pt>
                <c:pt idx="53">
                  <c:v>176931</c:v>
                </c:pt>
                <c:pt idx="54">
                  <c:v>183393</c:v>
                </c:pt>
                <c:pt idx="55">
                  <c:v>184762</c:v>
                </c:pt>
                <c:pt idx="56">
                  <c:v>189565</c:v>
                </c:pt>
                <c:pt idx="57">
                  <c:v>193277</c:v>
                </c:pt>
                <c:pt idx="58">
                  <c:v>193277</c:v>
                </c:pt>
                <c:pt idx="59">
                  <c:v>198000</c:v>
                </c:pt>
                <c:pt idx="60">
                  <c:v>206020</c:v>
                </c:pt>
                <c:pt idx="61">
                  <c:v>207694</c:v>
                </c:pt>
                <c:pt idx="62">
                  <c:v>210198</c:v>
                </c:pt>
                <c:pt idx="63">
                  <c:v>212700</c:v>
                </c:pt>
                <c:pt idx="64">
                  <c:v>213788</c:v>
                </c:pt>
                <c:pt idx="65">
                  <c:v>216066</c:v>
                </c:pt>
                <c:pt idx="66">
                  <c:v>218215</c:v>
                </c:pt>
                <c:pt idx="67">
                  <c:v>219550</c:v>
                </c:pt>
                <c:pt idx="68">
                  <c:v>220276</c:v>
                </c:pt>
                <c:pt idx="69">
                  <c:v>221309</c:v>
                </c:pt>
                <c:pt idx="70">
                  <c:v>222147</c:v>
                </c:pt>
                <c:pt idx="71">
                  <c:v>223707</c:v>
                </c:pt>
                <c:pt idx="72">
                  <c:v>224931</c:v>
                </c:pt>
                <c:pt idx="73">
                  <c:v>225864</c:v>
                </c:pt>
                <c:pt idx="74">
                  <c:v>226804</c:v>
                </c:pt>
                <c:pt idx="75">
                  <c:v>227371</c:v>
                </c:pt>
                <c:pt idx="76">
                  <c:v>227788</c:v>
                </c:pt>
                <c:pt idx="77">
                  <c:v>228080</c:v>
                </c:pt>
                <c:pt idx="78">
                  <c:v>228367</c:v>
                </c:pt>
                <c:pt idx="79">
                  <c:v>228557</c:v>
                </c:pt>
                <c:pt idx="80">
                  <c:v>228974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10-40A8-B4D6-88880C8D5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970496"/>
        <c:axId val="42984576"/>
      </c:lineChart>
      <c:dateAx>
        <c:axId val="42970496"/>
        <c:scaling>
          <c:orientation val="minMax"/>
        </c:scaling>
        <c:delete val="0"/>
        <c:axPos val="b"/>
        <c:numFmt formatCode="m/d;@" sourceLinked="0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2984576"/>
        <c:crosses val="autoZero"/>
        <c:auto val="1"/>
        <c:lblOffset val="100"/>
        <c:baseTimeUnit val="days"/>
        <c:majorUnit val="7"/>
        <c:minorUnit val="1"/>
      </c:dateAx>
      <c:valAx>
        <c:axId val="4298457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Cummulative weir count of  Fish</a:t>
                </a:r>
              </a:p>
            </c:rich>
          </c:tx>
          <c:layout>
            <c:manualLayout>
              <c:xMode val="edge"/>
              <c:yMode val="edge"/>
              <c:x val="2.4521124181455693E-2"/>
              <c:y val="0.237850322303522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2970496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65356931175641453"/>
          <c:y val="0.3466802739027941"/>
          <c:w val="0.27234167680328131"/>
          <c:h val="0.1477604712036329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Redoubt Sockeye Salmon
Average Daily Weir Count (all</a:t>
            </a:r>
            <a:r>
              <a:rPr lang="en-US" baseline="0"/>
              <a:t> years)</a:t>
            </a:r>
            <a:r>
              <a:rPr lang="en-US"/>
              <a:t> vs. 2025</a:t>
            </a:r>
          </a:p>
        </c:rich>
      </c:tx>
      <c:layout>
        <c:manualLayout>
          <c:xMode val="edge"/>
          <c:yMode val="edge"/>
          <c:x val="0.24918524558801736"/>
          <c:y val="2.9166824893382712E-2"/>
        </c:manualLayout>
      </c:layout>
      <c:overlay val="0"/>
      <c:spPr>
        <a:solidFill>
          <a:srgbClr val="5FE8EF"/>
        </a:solidFill>
        <a:ln w="3175">
          <a:solidFill>
            <a:srgbClr val="000000"/>
          </a:solidFill>
          <a:prstDash val="solid"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435883594422133"/>
          <c:y val="0.16084578096029031"/>
          <c:w val="0.81601513746453347"/>
          <c:h val="0.70630821019783885"/>
        </c:manualLayout>
      </c:layout>
      <c:lineChart>
        <c:grouping val="standard"/>
        <c:varyColors val="0"/>
        <c:ser>
          <c:idx val="0"/>
          <c:order val="0"/>
          <c:tx>
            <c:v>1983 to present average</c:v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00-EA73-48EF-B0CC-C34ABB2E5132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001-EA73-48EF-B0CC-C34ABB2E5132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004-B136-4EF1-832E-B47964FD1456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002-EA73-48EF-B0CC-C34ABB2E5132}"/>
              </c:ext>
            </c:extLst>
          </c:dPt>
          <c:cat>
            <c:numRef>
              <c:f>'Data Entry - Projections'!$A$10:$A$92</c:f>
              <c:numCache>
                <c:formatCode>dd\-mmm_)</c:formatCode>
                <c:ptCount val="83"/>
                <c:pt idx="0">
                  <c:v>164</c:v>
                </c:pt>
                <c:pt idx="1">
                  <c:v>165</c:v>
                </c:pt>
                <c:pt idx="2">
                  <c:v>166</c:v>
                </c:pt>
                <c:pt idx="3">
                  <c:v>167</c:v>
                </c:pt>
                <c:pt idx="4">
                  <c:v>168</c:v>
                </c:pt>
                <c:pt idx="5">
                  <c:v>169</c:v>
                </c:pt>
                <c:pt idx="6">
                  <c:v>170</c:v>
                </c:pt>
                <c:pt idx="7">
                  <c:v>171</c:v>
                </c:pt>
                <c:pt idx="8">
                  <c:v>172</c:v>
                </c:pt>
                <c:pt idx="9">
                  <c:v>173</c:v>
                </c:pt>
                <c:pt idx="10">
                  <c:v>174</c:v>
                </c:pt>
                <c:pt idx="11">
                  <c:v>175</c:v>
                </c:pt>
                <c:pt idx="12">
                  <c:v>176</c:v>
                </c:pt>
                <c:pt idx="13">
                  <c:v>177</c:v>
                </c:pt>
                <c:pt idx="14">
                  <c:v>178</c:v>
                </c:pt>
                <c:pt idx="15">
                  <c:v>179</c:v>
                </c:pt>
                <c:pt idx="16">
                  <c:v>180</c:v>
                </c:pt>
                <c:pt idx="17">
                  <c:v>181</c:v>
                </c:pt>
                <c:pt idx="18">
                  <c:v>182</c:v>
                </c:pt>
                <c:pt idx="19">
                  <c:v>183</c:v>
                </c:pt>
                <c:pt idx="20">
                  <c:v>184</c:v>
                </c:pt>
                <c:pt idx="21">
                  <c:v>185</c:v>
                </c:pt>
                <c:pt idx="22">
                  <c:v>186</c:v>
                </c:pt>
                <c:pt idx="23">
                  <c:v>187</c:v>
                </c:pt>
                <c:pt idx="24">
                  <c:v>188</c:v>
                </c:pt>
                <c:pt idx="25">
                  <c:v>189</c:v>
                </c:pt>
                <c:pt idx="26">
                  <c:v>190</c:v>
                </c:pt>
                <c:pt idx="27">
                  <c:v>191</c:v>
                </c:pt>
                <c:pt idx="28">
                  <c:v>192</c:v>
                </c:pt>
                <c:pt idx="29">
                  <c:v>193</c:v>
                </c:pt>
                <c:pt idx="30">
                  <c:v>194</c:v>
                </c:pt>
                <c:pt idx="31">
                  <c:v>195</c:v>
                </c:pt>
                <c:pt idx="32">
                  <c:v>196</c:v>
                </c:pt>
                <c:pt idx="33">
                  <c:v>197</c:v>
                </c:pt>
                <c:pt idx="34">
                  <c:v>198</c:v>
                </c:pt>
                <c:pt idx="35">
                  <c:v>199</c:v>
                </c:pt>
                <c:pt idx="36">
                  <c:v>200</c:v>
                </c:pt>
                <c:pt idx="37">
                  <c:v>201</c:v>
                </c:pt>
                <c:pt idx="38">
                  <c:v>202</c:v>
                </c:pt>
                <c:pt idx="39">
                  <c:v>203</c:v>
                </c:pt>
                <c:pt idx="40">
                  <c:v>204</c:v>
                </c:pt>
                <c:pt idx="41">
                  <c:v>205</c:v>
                </c:pt>
                <c:pt idx="42">
                  <c:v>206</c:v>
                </c:pt>
                <c:pt idx="43">
                  <c:v>207</c:v>
                </c:pt>
                <c:pt idx="44">
                  <c:v>208</c:v>
                </c:pt>
                <c:pt idx="45">
                  <c:v>209</c:v>
                </c:pt>
                <c:pt idx="46">
                  <c:v>210</c:v>
                </c:pt>
                <c:pt idx="47">
                  <c:v>211</c:v>
                </c:pt>
                <c:pt idx="48">
                  <c:v>212</c:v>
                </c:pt>
                <c:pt idx="49">
                  <c:v>213</c:v>
                </c:pt>
                <c:pt idx="50">
                  <c:v>214</c:v>
                </c:pt>
                <c:pt idx="51">
                  <c:v>215</c:v>
                </c:pt>
                <c:pt idx="52">
                  <c:v>216</c:v>
                </c:pt>
                <c:pt idx="53">
                  <c:v>217</c:v>
                </c:pt>
                <c:pt idx="54">
                  <c:v>218</c:v>
                </c:pt>
                <c:pt idx="55">
                  <c:v>219</c:v>
                </c:pt>
                <c:pt idx="56">
                  <c:v>220</c:v>
                </c:pt>
                <c:pt idx="57">
                  <c:v>221</c:v>
                </c:pt>
                <c:pt idx="58">
                  <c:v>222</c:v>
                </c:pt>
                <c:pt idx="59">
                  <c:v>223</c:v>
                </c:pt>
                <c:pt idx="60">
                  <c:v>224</c:v>
                </c:pt>
                <c:pt idx="61">
                  <c:v>225</c:v>
                </c:pt>
                <c:pt idx="62">
                  <c:v>226</c:v>
                </c:pt>
                <c:pt idx="63">
                  <c:v>227</c:v>
                </c:pt>
                <c:pt idx="64">
                  <c:v>228</c:v>
                </c:pt>
                <c:pt idx="65">
                  <c:v>229</c:v>
                </c:pt>
                <c:pt idx="66">
                  <c:v>230</c:v>
                </c:pt>
                <c:pt idx="67">
                  <c:v>231</c:v>
                </c:pt>
                <c:pt idx="68">
                  <c:v>232</c:v>
                </c:pt>
                <c:pt idx="69">
                  <c:v>233</c:v>
                </c:pt>
                <c:pt idx="70">
                  <c:v>234</c:v>
                </c:pt>
                <c:pt idx="71">
                  <c:v>235</c:v>
                </c:pt>
                <c:pt idx="72">
                  <c:v>236</c:v>
                </c:pt>
                <c:pt idx="73">
                  <c:v>237</c:v>
                </c:pt>
                <c:pt idx="74">
                  <c:v>238</c:v>
                </c:pt>
                <c:pt idx="75">
                  <c:v>239</c:v>
                </c:pt>
                <c:pt idx="76">
                  <c:v>240</c:v>
                </c:pt>
                <c:pt idx="77">
                  <c:v>241</c:v>
                </c:pt>
                <c:pt idx="78">
                  <c:v>242</c:v>
                </c:pt>
                <c:pt idx="79">
                  <c:v>243</c:v>
                </c:pt>
                <c:pt idx="80">
                  <c:v>244</c:v>
                </c:pt>
                <c:pt idx="81">
                  <c:v>245</c:v>
                </c:pt>
                <c:pt idx="82">
                  <c:v>246</c:v>
                </c:pt>
              </c:numCache>
            </c:numRef>
          </c:cat>
          <c:val>
            <c:numRef>
              <c:f>'Data Entry - Projections'!$H$10:$H$107</c:f>
              <c:numCache>
                <c:formatCode>#,##0_);\(#,##0\)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7.1428571428571432</c:v>
                </c:pt>
                <c:pt idx="4">
                  <c:v>16.714285714285715</c:v>
                </c:pt>
                <c:pt idx="5">
                  <c:v>28.125</c:v>
                </c:pt>
                <c:pt idx="6">
                  <c:v>87.111111111111114</c:v>
                </c:pt>
                <c:pt idx="7">
                  <c:v>164.4</c:v>
                </c:pt>
                <c:pt idx="8">
                  <c:v>27.3</c:v>
                </c:pt>
                <c:pt idx="9">
                  <c:v>128.80000000000001</c:v>
                </c:pt>
                <c:pt idx="10">
                  <c:v>247.6</c:v>
                </c:pt>
                <c:pt idx="11">
                  <c:v>241.9</c:v>
                </c:pt>
                <c:pt idx="12">
                  <c:v>60.9</c:v>
                </c:pt>
                <c:pt idx="13">
                  <c:v>205.6</c:v>
                </c:pt>
                <c:pt idx="14">
                  <c:v>376</c:v>
                </c:pt>
                <c:pt idx="15">
                  <c:v>629.6</c:v>
                </c:pt>
                <c:pt idx="16">
                  <c:v>466.8</c:v>
                </c:pt>
                <c:pt idx="17">
                  <c:v>638.1</c:v>
                </c:pt>
                <c:pt idx="18">
                  <c:v>551.5</c:v>
                </c:pt>
                <c:pt idx="19">
                  <c:v>546.9</c:v>
                </c:pt>
                <c:pt idx="20">
                  <c:v>488.3</c:v>
                </c:pt>
                <c:pt idx="21">
                  <c:v>545.29999999999995</c:v>
                </c:pt>
                <c:pt idx="22">
                  <c:v>705.5</c:v>
                </c:pt>
                <c:pt idx="23">
                  <c:v>1680.5</c:v>
                </c:pt>
                <c:pt idx="24">
                  <c:v>591.6</c:v>
                </c:pt>
                <c:pt idx="25">
                  <c:v>673.7</c:v>
                </c:pt>
                <c:pt idx="26">
                  <c:v>1876</c:v>
                </c:pt>
                <c:pt idx="27">
                  <c:v>885.4</c:v>
                </c:pt>
                <c:pt idx="28">
                  <c:v>2816</c:v>
                </c:pt>
                <c:pt idx="29">
                  <c:v>1476.7</c:v>
                </c:pt>
                <c:pt idx="30">
                  <c:v>1459.7</c:v>
                </c:pt>
                <c:pt idx="31">
                  <c:v>1908.1</c:v>
                </c:pt>
                <c:pt idx="32">
                  <c:v>1708</c:v>
                </c:pt>
                <c:pt idx="33">
                  <c:v>1945.9</c:v>
                </c:pt>
                <c:pt idx="34">
                  <c:v>976.9</c:v>
                </c:pt>
                <c:pt idx="35">
                  <c:v>1411.9</c:v>
                </c:pt>
                <c:pt idx="36">
                  <c:v>1746.5</c:v>
                </c:pt>
                <c:pt idx="37">
                  <c:v>1630.1</c:v>
                </c:pt>
                <c:pt idx="38">
                  <c:v>1906.5</c:v>
                </c:pt>
                <c:pt idx="39">
                  <c:v>1143.3</c:v>
                </c:pt>
                <c:pt idx="40">
                  <c:v>1073.3</c:v>
                </c:pt>
                <c:pt idx="41">
                  <c:v>1505.7</c:v>
                </c:pt>
                <c:pt idx="42">
                  <c:v>1602.2</c:v>
                </c:pt>
                <c:pt idx="43">
                  <c:v>1982.6</c:v>
                </c:pt>
                <c:pt idx="44">
                  <c:v>1155.7</c:v>
                </c:pt>
                <c:pt idx="45">
                  <c:v>1246.2</c:v>
                </c:pt>
                <c:pt idx="46">
                  <c:v>1897.3</c:v>
                </c:pt>
                <c:pt idx="47">
                  <c:v>1614.2</c:v>
                </c:pt>
                <c:pt idx="48">
                  <c:v>1405.8505405564313</c:v>
                </c:pt>
                <c:pt idx="49">
                  <c:v>1704.5471565726407</c:v>
                </c:pt>
                <c:pt idx="50">
                  <c:v>1382.6</c:v>
                </c:pt>
                <c:pt idx="51">
                  <c:v>1870.3</c:v>
                </c:pt>
                <c:pt idx="52">
                  <c:v>2175</c:v>
                </c:pt>
                <c:pt idx="53">
                  <c:v>1840.7</c:v>
                </c:pt>
                <c:pt idx="54">
                  <c:v>1422.2</c:v>
                </c:pt>
                <c:pt idx="55">
                  <c:v>1256.8</c:v>
                </c:pt>
                <c:pt idx="56">
                  <c:v>2004.7</c:v>
                </c:pt>
                <c:pt idx="57">
                  <c:v>1483.2</c:v>
                </c:pt>
                <c:pt idx="58">
                  <c:v>2159.5</c:v>
                </c:pt>
                <c:pt idx="59">
                  <c:v>1457</c:v>
                </c:pt>
                <c:pt idx="60">
                  <c:v>1347.5</c:v>
                </c:pt>
                <c:pt idx="61">
                  <c:v>1243.5</c:v>
                </c:pt>
                <c:pt idx="62">
                  <c:v>1305.8</c:v>
                </c:pt>
                <c:pt idx="63">
                  <c:v>792.7</c:v>
                </c:pt>
                <c:pt idx="64">
                  <c:v>892.7</c:v>
                </c:pt>
                <c:pt idx="65">
                  <c:v>782.1</c:v>
                </c:pt>
                <c:pt idx="66">
                  <c:v>545.9</c:v>
                </c:pt>
                <c:pt idx="67">
                  <c:v>662</c:v>
                </c:pt>
                <c:pt idx="68">
                  <c:v>495</c:v>
                </c:pt>
                <c:pt idx="69">
                  <c:v>594.79999999999995</c:v>
                </c:pt>
                <c:pt idx="70">
                  <c:v>370.8</c:v>
                </c:pt>
                <c:pt idx="71">
                  <c:v>353.9</c:v>
                </c:pt>
                <c:pt idx="72">
                  <c:v>623.6</c:v>
                </c:pt>
                <c:pt idx="73">
                  <c:v>350.6</c:v>
                </c:pt>
                <c:pt idx="74">
                  <c:v>248.15403709444371</c:v>
                </c:pt>
                <c:pt idx="75">
                  <c:v>307.38870303542484</c:v>
                </c:pt>
                <c:pt idx="76">
                  <c:v>394.4</c:v>
                </c:pt>
                <c:pt idx="77">
                  <c:v>275.89999999999998</c:v>
                </c:pt>
                <c:pt idx="78">
                  <c:v>222.5</c:v>
                </c:pt>
                <c:pt idx="79">
                  <c:v>251.44444444444446</c:v>
                </c:pt>
                <c:pt idx="80">
                  <c:v>306.22222222222223</c:v>
                </c:pt>
                <c:pt idx="81">
                  <c:v>220.5</c:v>
                </c:pt>
                <c:pt idx="82">
                  <c:v>253.5</c:v>
                </c:pt>
                <c:pt idx="83">
                  <c:v>232</c:v>
                </c:pt>
                <c:pt idx="84">
                  <c:v>210.5</c:v>
                </c:pt>
                <c:pt idx="85">
                  <c:v>98.75</c:v>
                </c:pt>
                <c:pt idx="86">
                  <c:v>115</c:v>
                </c:pt>
                <c:pt idx="87">
                  <c:v>131.33333333333334</c:v>
                </c:pt>
                <c:pt idx="88">
                  <c:v>41</c:v>
                </c:pt>
                <c:pt idx="89">
                  <c:v>253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A73-48EF-B0CC-C34ABB2E5132}"/>
            </c:ext>
          </c:extLst>
        </c:ser>
        <c:ser>
          <c:idx val="1"/>
          <c:order val="1"/>
          <c:tx>
            <c:v>2025 Daily Counts</c:v>
          </c:tx>
          <c:spPr>
            <a:ln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'Data Entry - Projections'!$A$10:$A$92</c:f>
              <c:numCache>
                <c:formatCode>dd\-mmm_)</c:formatCode>
                <c:ptCount val="83"/>
                <c:pt idx="0">
                  <c:v>164</c:v>
                </c:pt>
                <c:pt idx="1">
                  <c:v>165</c:v>
                </c:pt>
                <c:pt idx="2">
                  <c:v>166</c:v>
                </c:pt>
                <c:pt idx="3">
                  <c:v>167</c:v>
                </c:pt>
                <c:pt idx="4">
                  <c:v>168</c:v>
                </c:pt>
                <c:pt idx="5">
                  <c:v>169</c:v>
                </c:pt>
                <c:pt idx="6">
                  <c:v>170</c:v>
                </c:pt>
                <c:pt idx="7">
                  <c:v>171</c:v>
                </c:pt>
                <c:pt idx="8">
                  <c:v>172</c:v>
                </c:pt>
                <c:pt idx="9">
                  <c:v>173</c:v>
                </c:pt>
                <c:pt idx="10">
                  <c:v>174</c:v>
                </c:pt>
                <c:pt idx="11">
                  <c:v>175</c:v>
                </c:pt>
                <c:pt idx="12">
                  <c:v>176</c:v>
                </c:pt>
                <c:pt idx="13">
                  <c:v>177</c:v>
                </c:pt>
                <c:pt idx="14">
                  <c:v>178</c:v>
                </c:pt>
                <c:pt idx="15">
                  <c:v>179</c:v>
                </c:pt>
                <c:pt idx="16">
                  <c:v>180</c:v>
                </c:pt>
                <c:pt idx="17">
                  <c:v>181</c:v>
                </c:pt>
                <c:pt idx="18">
                  <c:v>182</c:v>
                </c:pt>
                <c:pt idx="19">
                  <c:v>183</c:v>
                </c:pt>
                <c:pt idx="20">
                  <c:v>184</c:v>
                </c:pt>
                <c:pt idx="21">
                  <c:v>185</c:v>
                </c:pt>
                <c:pt idx="22">
                  <c:v>186</c:v>
                </c:pt>
                <c:pt idx="23">
                  <c:v>187</c:v>
                </c:pt>
                <c:pt idx="24">
                  <c:v>188</c:v>
                </c:pt>
                <c:pt idx="25">
                  <c:v>189</c:v>
                </c:pt>
                <c:pt idx="26">
                  <c:v>190</c:v>
                </c:pt>
                <c:pt idx="27">
                  <c:v>191</c:v>
                </c:pt>
                <c:pt idx="28">
                  <c:v>192</c:v>
                </c:pt>
                <c:pt idx="29">
                  <c:v>193</c:v>
                </c:pt>
                <c:pt idx="30">
                  <c:v>194</c:v>
                </c:pt>
                <c:pt idx="31">
                  <c:v>195</c:v>
                </c:pt>
                <c:pt idx="32">
                  <c:v>196</c:v>
                </c:pt>
                <c:pt idx="33">
                  <c:v>197</c:v>
                </c:pt>
                <c:pt idx="34">
                  <c:v>198</c:v>
                </c:pt>
                <c:pt idx="35">
                  <c:v>199</c:v>
                </c:pt>
                <c:pt idx="36">
                  <c:v>200</c:v>
                </c:pt>
                <c:pt idx="37">
                  <c:v>201</c:v>
                </c:pt>
                <c:pt idx="38">
                  <c:v>202</c:v>
                </c:pt>
                <c:pt idx="39">
                  <c:v>203</c:v>
                </c:pt>
                <c:pt idx="40">
                  <c:v>204</c:v>
                </c:pt>
                <c:pt idx="41">
                  <c:v>205</c:v>
                </c:pt>
                <c:pt idx="42">
                  <c:v>206</c:v>
                </c:pt>
                <c:pt idx="43">
                  <c:v>207</c:v>
                </c:pt>
                <c:pt idx="44">
                  <c:v>208</c:v>
                </c:pt>
                <c:pt idx="45">
                  <c:v>209</c:v>
                </c:pt>
                <c:pt idx="46">
                  <c:v>210</c:v>
                </c:pt>
                <c:pt idx="47">
                  <c:v>211</c:v>
                </c:pt>
                <c:pt idx="48">
                  <c:v>212</c:v>
                </c:pt>
                <c:pt idx="49">
                  <c:v>213</c:v>
                </c:pt>
                <c:pt idx="50">
                  <c:v>214</c:v>
                </c:pt>
                <c:pt idx="51">
                  <c:v>215</c:v>
                </c:pt>
                <c:pt idx="52">
                  <c:v>216</c:v>
                </c:pt>
                <c:pt idx="53">
                  <c:v>217</c:v>
                </c:pt>
                <c:pt idx="54">
                  <c:v>218</c:v>
                </c:pt>
                <c:pt idx="55">
                  <c:v>219</c:v>
                </c:pt>
                <c:pt idx="56">
                  <c:v>220</c:v>
                </c:pt>
                <c:pt idx="57">
                  <c:v>221</c:v>
                </c:pt>
                <c:pt idx="58">
                  <c:v>222</c:v>
                </c:pt>
                <c:pt idx="59">
                  <c:v>223</c:v>
                </c:pt>
                <c:pt idx="60">
                  <c:v>224</c:v>
                </c:pt>
                <c:pt idx="61">
                  <c:v>225</c:v>
                </c:pt>
                <c:pt idx="62">
                  <c:v>226</c:v>
                </c:pt>
                <c:pt idx="63">
                  <c:v>227</c:v>
                </c:pt>
                <c:pt idx="64">
                  <c:v>228</c:v>
                </c:pt>
                <c:pt idx="65">
                  <c:v>229</c:v>
                </c:pt>
                <c:pt idx="66">
                  <c:v>230</c:v>
                </c:pt>
                <c:pt idx="67">
                  <c:v>231</c:v>
                </c:pt>
                <c:pt idx="68">
                  <c:v>232</c:v>
                </c:pt>
                <c:pt idx="69">
                  <c:v>233</c:v>
                </c:pt>
                <c:pt idx="70">
                  <c:v>234</c:v>
                </c:pt>
                <c:pt idx="71">
                  <c:v>235</c:v>
                </c:pt>
                <c:pt idx="72">
                  <c:v>236</c:v>
                </c:pt>
                <c:pt idx="73">
                  <c:v>237</c:v>
                </c:pt>
                <c:pt idx="74">
                  <c:v>238</c:v>
                </c:pt>
                <c:pt idx="75">
                  <c:v>239</c:v>
                </c:pt>
                <c:pt idx="76">
                  <c:v>240</c:v>
                </c:pt>
                <c:pt idx="77">
                  <c:v>241</c:v>
                </c:pt>
                <c:pt idx="78">
                  <c:v>242</c:v>
                </c:pt>
                <c:pt idx="79">
                  <c:v>243</c:v>
                </c:pt>
                <c:pt idx="80">
                  <c:v>244</c:v>
                </c:pt>
                <c:pt idx="81">
                  <c:v>245</c:v>
                </c:pt>
                <c:pt idx="82">
                  <c:v>246</c:v>
                </c:pt>
              </c:numCache>
            </c:numRef>
          </c:cat>
          <c:val>
            <c:numRef>
              <c:f>'Data Entry - Projections'!$B$10:$B$107</c:f>
              <c:numCache>
                <c:formatCode>#,##0</c:formatCode>
                <c:ptCount val="98"/>
                <c:pt idx="2">
                  <c:v>1</c:v>
                </c:pt>
                <c:pt idx="3">
                  <c:v>7</c:v>
                </c:pt>
                <c:pt idx="4">
                  <c:v>13</c:v>
                </c:pt>
                <c:pt idx="5">
                  <c:v>7</c:v>
                </c:pt>
                <c:pt idx="6">
                  <c:v>1</c:v>
                </c:pt>
                <c:pt idx="7">
                  <c:v>8</c:v>
                </c:pt>
                <c:pt idx="8">
                  <c:v>549</c:v>
                </c:pt>
                <c:pt idx="9">
                  <c:v>2</c:v>
                </c:pt>
                <c:pt idx="10">
                  <c:v>0</c:v>
                </c:pt>
                <c:pt idx="11">
                  <c:v>626</c:v>
                </c:pt>
                <c:pt idx="12">
                  <c:v>517</c:v>
                </c:pt>
                <c:pt idx="13">
                  <c:v>724</c:v>
                </c:pt>
                <c:pt idx="14">
                  <c:v>872</c:v>
                </c:pt>
                <c:pt idx="15">
                  <c:v>312</c:v>
                </c:pt>
                <c:pt idx="16">
                  <c:v>3293</c:v>
                </c:pt>
                <c:pt idx="17">
                  <c:v>1179</c:v>
                </c:pt>
                <c:pt idx="18">
                  <c:v>4691</c:v>
                </c:pt>
                <c:pt idx="19">
                  <c:v>4513</c:v>
                </c:pt>
                <c:pt idx="20">
                  <c:v>5432</c:v>
                </c:pt>
                <c:pt idx="21">
                  <c:v>2001</c:v>
                </c:pt>
                <c:pt idx="22">
                  <c:v>3651</c:v>
                </c:pt>
                <c:pt idx="23">
                  <c:v>6184</c:v>
                </c:pt>
                <c:pt idx="24">
                  <c:v>5338</c:v>
                </c:pt>
                <c:pt idx="25">
                  <c:v>7942</c:v>
                </c:pt>
                <c:pt idx="26">
                  <c:v>5410</c:v>
                </c:pt>
                <c:pt idx="27">
                  <c:v>5433</c:v>
                </c:pt>
                <c:pt idx="28">
                  <c:v>6808</c:v>
                </c:pt>
                <c:pt idx="29">
                  <c:v>5114</c:v>
                </c:pt>
                <c:pt idx="30">
                  <c:v>5290</c:v>
                </c:pt>
                <c:pt idx="31">
                  <c:v>6436</c:v>
                </c:pt>
                <c:pt idx="32">
                  <c:v>4972</c:v>
                </c:pt>
                <c:pt idx="33">
                  <c:v>5679</c:v>
                </c:pt>
                <c:pt idx="34">
                  <c:v>7083</c:v>
                </c:pt>
                <c:pt idx="35">
                  <c:v>1718</c:v>
                </c:pt>
                <c:pt idx="36">
                  <c:v>1143</c:v>
                </c:pt>
                <c:pt idx="37">
                  <c:v>2237</c:v>
                </c:pt>
                <c:pt idx="38">
                  <c:v>4905</c:v>
                </c:pt>
                <c:pt idx="39">
                  <c:v>11411</c:v>
                </c:pt>
                <c:pt idx="40">
                  <c:v>6162</c:v>
                </c:pt>
                <c:pt idx="41">
                  <c:v>2125</c:v>
                </c:pt>
                <c:pt idx="42">
                  <c:v>3266</c:v>
                </c:pt>
                <c:pt idx="43">
                  <c:v>2513</c:v>
                </c:pt>
                <c:pt idx="44">
                  <c:v>3517</c:v>
                </c:pt>
                <c:pt idx="45">
                  <c:v>1139</c:v>
                </c:pt>
                <c:pt idx="46">
                  <c:v>3744</c:v>
                </c:pt>
                <c:pt idx="47">
                  <c:v>3006</c:v>
                </c:pt>
                <c:pt idx="48">
                  <c:v>5891</c:v>
                </c:pt>
                <c:pt idx="49">
                  <c:v>4471</c:v>
                </c:pt>
                <c:pt idx="50">
                  <c:v>6756</c:v>
                </c:pt>
                <c:pt idx="51">
                  <c:v>3947</c:v>
                </c:pt>
                <c:pt idx="52">
                  <c:v>2715</c:v>
                </c:pt>
                <c:pt idx="53">
                  <c:v>6177</c:v>
                </c:pt>
                <c:pt idx="54">
                  <c:v>6462</c:v>
                </c:pt>
                <c:pt idx="55">
                  <c:v>1369</c:v>
                </c:pt>
                <c:pt idx="56">
                  <c:v>4803</c:v>
                </c:pt>
                <c:pt idx="57">
                  <c:v>3712</c:v>
                </c:pt>
                <c:pt idx="58">
                  <c:v>0</c:v>
                </c:pt>
                <c:pt idx="59">
                  <c:v>4723</c:v>
                </c:pt>
                <c:pt idx="60">
                  <c:v>8020</c:v>
                </c:pt>
                <c:pt idx="61">
                  <c:v>1674</c:v>
                </c:pt>
                <c:pt idx="62">
                  <c:v>2504</c:v>
                </c:pt>
                <c:pt idx="63">
                  <c:v>2502</c:v>
                </c:pt>
                <c:pt idx="64">
                  <c:v>1088</c:v>
                </c:pt>
                <c:pt idx="65">
                  <c:v>2278</c:v>
                </c:pt>
                <c:pt idx="66">
                  <c:v>2149</c:v>
                </c:pt>
                <c:pt idx="67">
                  <c:v>1335</c:v>
                </c:pt>
                <c:pt idx="68">
                  <c:v>726</c:v>
                </c:pt>
                <c:pt idx="69">
                  <c:v>1033</c:v>
                </c:pt>
                <c:pt idx="70">
                  <c:v>838</c:v>
                </c:pt>
                <c:pt idx="71">
                  <c:v>1560</c:v>
                </c:pt>
                <c:pt idx="72">
                  <c:v>1224</c:v>
                </c:pt>
                <c:pt idx="73">
                  <c:v>933</c:v>
                </c:pt>
                <c:pt idx="74">
                  <c:v>940</c:v>
                </c:pt>
                <c:pt idx="75">
                  <c:v>567</c:v>
                </c:pt>
                <c:pt idx="76">
                  <c:v>417</c:v>
                </c:pt>
                <c:pt idx="77">
                  <c:v>292</c:v>
                </c:pt>
                <c:pt idx="78">
                  <c:v>287</c:v>
                </c:pt>
                <c:pt idx="79">
                  <c:v>190</c:v>
                </c:pt>
                <c:pt idx="80">
                  <c:v>417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EA73-48EF-B0CC-C34ABB2E5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703296"/>
        <c:axId val="107709184"/>
      </c:lineChart>
      <c:dateAx>
        <c:axId val="107703296"/>
        <c:scaling>
          <c:orientation val="minMax"/>
        </c:scaling>
        <c:delete val="0"/>
        <c:axPos val="b"/>
        <c:numFmt formatCode="m/d;@" sourceLinked="0"/>
        <c:majorTickMark val="in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7709184"/>
        <c:crosses val="autoZero"/>
        <c:auto val="1"/>
        <c:lblOffset val="100"/>
        <c:baseTimeUnit val="days"/>
        <c:majorUnit val="7"/>
        <c:minorUnit val="1"/>
      </c:dateAx>
      <c:valAx>
        <c:axId val="107709184"/>
        <c:scaling>
          <c:orientation val="minMax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7703296"/>
        <c:crosses val="autoZero"/>
        <c:crossBetween val="between"/>
      </c:valAx>
      <c:spPr>
        <a:solidFill>
          <a:srgbClr val="FFFFFF"/>
        </a:solidFill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57289925166397704"/>
          <c:y val="0.17279602921720588"/>
          <c:w val="0.35307662503253301"/>
          <c:h val="0.10856898254633172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10" b="0" i="0" u="none" strike="noStrike" kern="120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 horizontalDpi="-3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Times New Roman" pitchFamily="18" charset="0"/>
                <a:ea typeface="+mn-ea"/>
                <a:cs typeface="Times New Roman" pitchFamily="18" charset="0"/>
              </a:defRPr>
            </a:pPr>
            <a:r>
              <a:rPr lang="en-US" sz="1200">
                <a:latin typeface="Times New Roman" pitchFamily="18" charset="0"/>
                <a:cs typeface="Times New Roman" pitchFamily="18" charset="0"/>
              </a:rPr>
              <a:t>Redoubt Sockeye Salmon    </a:t>
            </a:r>
            <a:r>
              <a:rPr lang="en-US" sz="1200" baseline="0">
                <a:latin typeface="Times New Roman" pitchFamily="18" charset="0"/>
                <a:cs typeface="Times New Roman" pitchFamily="18" charset="0"/>
              </a:rPr>
              <a:t> </a:t>
            </a:r>
          </a:p>
          <a:p>
            <a:pPr>
              <a:defRPr>
                <a:latin typeface="Times New Roman" pitchFamily="18" charset="0"/>
                <a:cs typeface="Times New Roman" pitchFamily="18" charset="0"/>
              </a:defRPr>
            </a:pPr>
            <a:r>
              <a:rPr lang="en-US" sz="1200" baseline="0">
                <a:latin typeface="Times New Roman" pitchFamily="18" charset="0"/>
                <a:cs typeface="Times New Roman" pitchFamily="18" charset="0"/>
              </a:rPr>
              <a:t>Cum Weir Counts  (2009-2024)   </a:t>
            </a:r>
            <a:endParaRPr lang="en-US" sz="1200">
              <a:latin typeface="Times New Roman" pitchFamily="18" charset="0"/>
              <a:cs typeface="Times New Roman" pitchFamily="18" charset="0"/>
            </a:endParaRPr>
          </a:p>
        </c:rich>
      </c:tx>
      <c:layout>
        <c:manualLayout>
          <c:xMode val="edge"/>
          <c:yMode val="edge"/>
          <c:x val="0.27643595579828167"/>
          <c:y val="3.790180203186546E-2"/>
        </c:manualLayout>
      </c:layout>
      <c:overlay val="1"/>
      <c:spPr>
        <a:solidFill>
          <a:srgbClr val="5FE8EF"/>
        </a:solidFill>
        <a:ln>
          <a:solidFill>
            <a:srgbClr val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Times New Roman" pitchFamily="18" charset="0"/>
              <a:ea typeface="+mn-ea"/>
              <a:cs typeface="Times New Roman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75141634388686"/>
          <c:y val="0.16546228818302713"/>
          <c:w val="0.74336115520860002"/>
          <c:h val="0.7125989124522587"/>
        </c:manualLayout>
      </c:layout>
      <c:lineChart>
        <c:grouping val="standard"/>
        <c:varyColors val="0"/>
        <c:ser>
          <c:idx val="2"/>
          <c:order val="5"/>
          <c:tx>
            <c:v>2014</c:v>
          </c:tx>
          <c:spPr>
            <a:ln w="28575" cap="rnd" cmpd="sng" algn="ctr">
              <a:solidFill>
                <a:schemeClr val="accent6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HistData!$EG$5:$EG$102</c:f>
              <c:numCache>
                <c:formatCode>#,##0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19</c:v>
                </c:pt>
                <c:pt idx="7">
                  <c:v>23</c:v>
                </c:pt>
                <c:pt idx="8">
                  <c:v>264</c:v>
                </c:pt>
                <c:pt idx="9">
                  <c:v>306</c:v>
                </c:pt>
                <c:pt idx="10">
                  <c:v>372</c:v>
                </c:pt>
                <c:pt idx="11">
                  <c:v>721</c:v>
                </c:pt>
                <c:pt idx="12">
                  <c:v>876</c:v>
                </c:pt>
                <c:pt idx="13">
                  <c:v>1019</c:v>
                </c:pt>
                <c:pt idx="14">
                  <c:v>1069</c:v>
                </c:pt>
                <c:pt idx="15">
                  <c:v>1996</c:v>
                </c:pt>
                <c:pt idx="16">
                  <c:v>2120</c:v>
                </c:pt>
                <c:pt idx="17">
                  <c:v>2266</c:v>
                </c:pt>
                <c:pt idx="18">
                  <c:v>2570</c:v>
                </c:pt>
                <c:pt idx="19">
                  <c:v>2661</c:v>
                </c:pt>
                <c:pt idx="20">
                  <c:v>2905</c:v>
                </c:pt>
                <c:pt idx="21">
                  <c:v>2949</c:v>
                </c:pt>
                <c:pt idx="22">
                  <c:v>3078</c:v>
                </c:pt>
                <c:pt idx="23">
                  <c:v>3234</c:v>
                </c:pt>
                <c:pt idx="24">
                  <c:v>3707</c:v>
                </c:pt>
                <c:pt idx="25">
                  <c:v>3953</c:v>
                </c:pt>
                <c:pt idx="26">
                  <c:v>4392</c:v>
                </c:pt>
                <c:pt idx="27">
                  <c:v>4512</c:v>
                </c:pt>
                <c:pt idx="28">
                  <c:v>5920</c:v>
                </c:pt>
                <c:pt idx="29">
                  <c:v>6692</c:v>
                </c:pt>
                <c:pt idx="30">
                  <c:v>6844</c:v>
                </c:pt>
                <c:pt idx="31">
                  <c:v>6892</c:v>
                </c:pt>
                <c:pt idx="32">
                  <c:v>7335</c:v>
                </c:pt>
                <c:pt idx="33">
                  <c:v>7723</c:v>
                </c:pt>
                <c:pt idx="34">
                  <c:v>8321</c:v>
                </c:pt>
                <c:pt idx="35">
                  <c:v>8481</c:v>
                </c:pt>
                <c:pt idx="36">
                  <c:v>8961</c:v>
                </c:pt>
                <c:pt idx="37">
                  <c:v>9389</c:v>
                </c:pt>
                <c:pt idx="38">
                  <c:v>10362</c:v>
                </c:pt>
                <c:pt idx="39">
                  <c:v>10585</c:v>
                </c:pt>
                <c:pt idx="40">
                  <c:v>10964</c:v>
                </c:pt>
                <c:pt idx="41">
                  <c:v>11293</c:v>
                </c:pt>
                <c:pt idx="42">
                  <c:v>11809</c:v>
                </c:pt>
                <c:pt idx="43">
                  <c:v>12091</c:v>
                </c:pt>
                <c:pt idx="44">
                  <c:v>12632</c:v>
                </c:pt>
                <c:pt idx="45">
                  <c:v>12852</c:v>
                </c:pt>
                <c:pt idx="46">
                  <c:v>12912</c:v>
                </c:pt>
                <c:pt idx="47">
                  <c:v>13263</c:v>
                </c:pt>
                <c:pt idx="48">
                  <c:v>13530</c:v>
                </c:pt>
                <c:pt idx="49">
                  <c:v>14083</c:v>
                </c:pt>
                <c:pt idx="50">
                  <c:v>14412</c:v>
                </c:pt>
                <c:pt idx="51">
                  <c:v>14776</c:v>
                </c:pt>
                <c:pt idx="52">
                  <c:v>14987</c:v>
                </c:pt>
                <c:pt idx="53">
                  <c:v>15059</c:v>
                </c:pt>
                <c:pt idx="54">
                  <c:v>15277</c:v>
                </c:pt>
                <c:pt idx="55">
                  <c:v>15604</c:v>
                </c:pt>
                <c:pt idx="56">
                  <c:v>15937</c:v>
                </c:pt>
                <c:pt idx="57">
                  <c:v>16056</c:v>
                </c:pt>
                <c:pt idx="58">
                  <c:v>16315</c:v>
                </c:pt>
                <c:pt idx="59">
                  <c:v>16427</c:v>
                </c:pt>
                <c:pt idx="60">
                  <c:v>16453</c:v>
                </c:pt>
                <c:pt idx="61">
                  <c:v>16742.252296752096</c:v>
                </c:pt>
                <c:pt idx="62">
                  <c:v>17030.61330295325</c:v>
                </c:pt>
                <c:pt idx="63">
                  <c:v>17244.409303526412</c:v>
                </c:pt>
                <c:pt idx="64">
                  <c:v>17588.409303526412</c:v>
                </c:pt>
                <c:pt idx="65">
                  <c:v>17683.409303526412</c:v>
                </c:pt>
                <c:pt idx="66">
                  <c:v>17732.409303526412</c:v>
                </c:pt>
                <c:pt idx="67">
                  <c:v>17844.409303526412</c:v>
                </c:pt>
                <c:pt idx="68">
                  <c:v>17857.409303526412</c:v>
                </c:pt>
                <c:pt idx="69">
                  <c:v>17873.409303526412</c:v>
                </c:pt>
                <c:pt idx="70">
                  <c:v>17924.409303526412</c:v>
                </c:pt>
                <c:pt idx="71">
                  <c:v>17984.409303526412</c:v>
                </c:pt>
                <c:pt idx="72">
                  <c:v>18027.409303526412</c:v>
                </c:pt>
                <c:pt idx="73">
                  <c:v>18194.409303526412</c:v>
                </c:pt>
                <c:pt idx="74">
                  <c:v>18253.409303526412</c:v>
                </c:pt>
                <c:pt idx="75">
                  <c:v>18388.409303526412</c:v>
                </c:pt>
                <c:pt idx="76">
                  <c:v>18597.409303526412</c:v>
                </c:pt>
                <c:pt idx="77">
                  <c:v>18609.409303526412</c:v>
                </c:pt>
                <c:pt idx="78">
                  <c:v>18956.409303526412</c:v>
                </c:pt>
                <c:pt idx="79">
                  <c:v>19084.409303526412</c:v>
                </c:pt>
                <c:pt idx="80">
                  <c:v>19138.409303526412</c:v>
                </c:pt>
                <c:pt idx="81">
                  <c:v>19359.409303526412</c:v>
                </c:pt>
                <c:pt idx="82">
                  <c:v>19485.409303526412</c:v>
                </c:pt>
                <c:pt idx="83">
                  <c:v>19485.409303526412</c:v>
                </c:pt>
                <c:pt idx="84">
                  <c:v>19485.409303526412</c:v>
                </c:pt>
                <c:pt idx="85">
                  <c:v>19485.409303526412</c:v>
                </c:pt>
                <c:pt idx="86">
                  <c:v>19485.409303526412</c:v>
                </c:pt>
                <c:pt idx="87">
                  <c:v>19485.409303526412</c:v>
                </c:pt>
                <c:pt idx="88">
                  <c:v>19485.409303526412</c:v>
                </c:pt>
                <c:pt idx="89">
                  <c:v>19485.409303526412</c:v>
                </c:pt>
                <c:pt idx="90">
                  <c:v>19485.409303526412</c:v>
                </c:pt>
                <c:pt idx="91">
                  <c:v>19485.409303526412</c:v>
                </c:pt>
                <c:pt idx="92">
                  <c:v>19485.409303526412</c:v>
                </c:pt>
                <c:pt idx="93">
                  <c:v>19485.409303526412</c:v>
                </c:pt>
                <c:pt idx="94">
                  <c:v>19485.409303526412</c:v>
                </c:pt>
                <c:pt idx="95">
                  <c:v>19485.409303526412</c:v>
                </c:pt>
                <c:pt idx="96">
                  <c:v>19485.409303526412</c:v>
                </c:pt>
                <c:pt idx="97">
                  <c:v>19485.409303526412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E58-48CD-9066-CA558FDC5107}"/>
            </c:ext>
          </c:extLst>
        </c:ser>
        <c:ser>
          <c:idx val="3"/>
          <c:order val="6"/>
          <c:tx>
            <c:v>2015</c:v>
          </c:tx>
          <c:spPr>
            <a:ln w="28575" cap="rnd" cmpd="sng" algn="ctr">
              <a:solidFill>
                <a:schemeClr val="accent2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HistData!$EH$5:$EH$102</c:f>
              <c:numCache>
                <c:formatCode>#,##0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  <c:pt idx="12">
                  <c:v>5</c:v>
                </c:pt>
                <c:pt idx="13">
                  <c:v>8</c:v>
                </c:pt>
                <c:pt idx="14">
                  <c:v>8</c:v>
                </c:pt>
                <c:pt idx="15">
                  <c:v>21</c:v>
                </c:pt>
                <c:pt idx="16">
                  <c:v>33</c:v>
                </c:pt>
                <c:pt idx="17">
                  <c:v>126</c:v>
                </c:pt>
                <c:pt idx="18">
                  <c:v>128</c:v>
                </c:pt>
                <c:pt idx="19">
                  <c:v>129</c:v>
                </c:pt>
                <c:pt idx="20">
                  <c:v>134</c:v>
                </c:pt>
                <c:pt idx="21">
                  <c:v>331</c:v>
                </c:pt>
                <c:pt idx="22">
                  <c:v>331</c:v>
                </c:pt>
                <c:pt idx="23">
                  <c:v>333</c:v>
                </c:pt>
                <c:pt idx="24">
                  <c:v>335</c:v>
                </c:pt>
                <c:pt idx="25">
                  <c:v>341</c:v>
                </c:pt>
                <c:pt idx="26">
                  <c:v>857</c:v>
                </c:pt>
                <c:pt idx="27">
                  <c:v>1255</c:v>
                </c:pt>
                <c:pt idx="28">
                  <c:v>1430</c:v>
                </c:pt>
                <c:pt idx="29">
                  <c:v>1685</c:v>
                </c:pt>
                <c:pt idx="30">
                  <c:v>1842</c:v>
                </c:pt>
                <c:pt idx="31">
                  <c:v>2143</c:v>
                </c:pt>
                <c:pt idx="32">
                  <c:v>2195</c:v>
                </c:pt>
                <c:pt idx="33">
                  <c:v>2438</c:v>
                </c:pt>
                <c:pt idx="34">
                  <c:v>2750</c:v>
                </c:pt>
                <c:pt idx="35">
                  <c:v>2836</c:v>
                </c:pt>
                <c:pt idx="36">
                  <c:v>2855</c:v>
                </c:pt>
                <c:pt idx="37">
                  <c:v>2935</c:v>
                </c:pt>
                <c:pt idx="38">
                  <c:v>3261</c:v>
                </c:pt>
                <c:pt idx="39">
                  <c:v>3379</c:v>
                </c:pt>
                <c:pt idx="40">
                  <c:v>3674</c:v>
                </c:pt>
                <c:pt idx="41">
                  <c:v>3997</c:v>
                </c:pt>
                <c:pt idx="42">
                  <c:v>4363</c:v>
                </c:pt>
                <c:pt idx="43">
                  <c:v>4906</c:v>
                </c:pt>
                <c:pt idx="44">
                  <c:v>5267</c:v>
                </c:pt>
                <c:pt idx="45">
                  <c:v>5445</c:v>
                </c:pt>
                <c:pt idx="46">
                  <c:v>5547</c:v>
                </c:pt>
                <c:pt idx="47">
                  <c:v>5739</c:v>
                </c:pt>
                <c:pt idx="48">
                  <c:v>6119.5054055643122</c:v>
                </c:pt>
                <c:pt idx="49">
                  <c:v>6559.9769712907191</c:v>
                </c:pt>
                <c:pt idx="50">
                  <c:v>6569.9769712907191</c:v>
                </c:pt>
                <c:pt idx="51">
                  <c:v>6674.9769712907191</c:v>
                </c:pt>
                <c:pt idx="52">
                  <c:v>7063.9769712907191</c:v>
                </c:pt>
                <c:pt idx="53">
                  <c:v>7440.9769712907191</c:v>
                </c:pt>
                <c:pt idx="54">
                  <c:v>7786.9769712907191</c:v>
                </c:pt>
                <c:pt idx="55">
                  <c:v>8176.9769712907191</c:v>
                </c:pt>
                <c:pt idx="56">
                  <c:v>8565.9769712907182</c:v>
                </c:pt>
                <c:pt idx="57">
                  <c:v>8841.9769712907182</c:v>
                </c:pt>
                <c:pt idx="58">
                  <c:v>8943.9769712907182</c:v>
                </c:pt>
                <c:pt idx="59">
                  <c:v>9304.9769712907182</c:v>
                </c:pt>
                <c:pt idx="60">
                  <c:v>9644.9769712907182</c:v>
                </c:pt>
                <c:pt idx="61">
                  <c:v>9854.9769712907182</c:v>
                </c:pt>
                <c:pt idx="62">
                  <c:v>10052.976971290718</c:v>
                </c:pt>
                <c:pt idx="63">
                  <c:v>10283.976971290718</c:v>
                </c:pt>
                <c:pt idx="64">
                  <c:v>10748.976971290718</c:v>
                </c:pt>
                <c:pt idx="65">
                  <c:v>10817.976971290718</c:v>
                </c:pt>
                <c:pt idx="66">
                  <c:v>11017.976971290718</c:v>
                </c:pt>
                <c:pt idx="67">
                  <c:v>11253.976971290718</c:v>
                </c:pt>
                <c:pt idx="68">
                  <c:v>11550.976971290718</c:v>
                </c:pt>
                <c:pt idx="69">
                  <c:v>11998.976971290718</c:v>
                </c:pt>
                <c:pt idx="70">
                  <c:v>12292.976971290718</c:v>
                </c:pt>
                <c:pt idx="71">
                  <c:v>12349.976971290718</c:v>
                </c:pt>
                <c:pt idx="72">
                  <c:v>12555.976971290718</c:v>
                </c:pt>
                <c:pt idx="73">
                  <c:v>12609.976971290718</c:v>
                </c:pt>
                <c:pt idx="74">
                  <c:v>12705.517342235155</c:v>
                </c:pt>
                <c:pt idx="75">
                  <c:v>12788.404372589403</c:v>
                </c:pt>
                <c:pt idx="76">
                  <c:v>12861.404372589403</c:v>
                </c:pt>
                <c:pt idx="77">
                  <c:v>13086.404372589403</c:v>
                </c:pt>
                <c:pt idx="78">
                  <c:v>13109.404372589403</c:v>
                </c:pt>
                <c:pt idx="79">
                  <c:v>13332.404372589403</c:v>
                </c:pt>
                <c:pt idx="80">
                  <c:v>13539.404372589403</c:v>
                </c:pt>
                <c:pt idx="81">
                  <c:v>13539.404372589403</c:v>
                </c:pt>
                <c:pt idx="82">
                  <c:v>13539.404372589403</c:v>
                </c:pt>
                <c:pt idx="83">
                  <c:v>13539.404372589403</c:v>
                </c:pt>
                <c:pt idx="84">
                  <c:v>13539.404372589403</c:v>
                </c:pt>
                <c:pt idx="85">
                  <c:v>13539.404372589403</c:v>
                </c:pt>
                <c:pt idx="86">
                  <c:v>13539.404372589403</c:v>
                </c:pt>
                <c:pt idx="87">
                  <c:v>13539.404372589403</c:v>
                </c:pt>
                <c:pt idx="88">
                  <c:v>13539.404372589403</c:v>
                </c:pt>
                <c:pt idx="89">
                  <c:v>13539.404372589403</c:v>
                </c:pt>
                <c:pt idx="90">
                  <c:v>13539.404372589403</c:v>
                </c:pt>
                <c:pt idx="91">
                  <c:v>13539.404372589403</c:v>
                </c:pt>
                <c:pt idx="92">
                  <c:v>13539.404372589403</c:v>
                </c:pt>
                <c:pt idx="93">
                  <c:v>13539.404372589403</c:v>
                </c:pt>
                <c:pt idx="94">
                  <c:v>13539.404372589403</c:v>
                </c:pt>
                <c:pt idx="95">
                  <c:v>13539.404372589403</c:v>
                </c:pt>
                <c:pt idx="96">
                  <c:v>13539.404372589403</c:v>
                </c:pt>
                <c:pt idx="97">
                  <c:v>13539.404372589403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E58-48CD-9066-CA558FDC5107}"/>
            </c:ext>
          </c:extLst>
        </c:ser>
        <c:ser>
          <c:idx val="4"/>
          <c:order val="7"/>
          <c:tx>
            <c:v>2016</c:v>
          </c:tx>
          <c:spPr>
            <a:ln w="28575" cap="rnd" cmpd="sng" algn="ctr">
              <a:solidFill>
                <a:schemeClr val="accent4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HistData!$EI$5:$EI$102</c:f>
              <c:numCache>
                <c:formatCode>#,##0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4</c:v>
                </c:pt>
                <c:pt idx="5">
                  <c:v>7</c:v>
                </c:pt>
                <c:pt idx="6">
                  <c:v>16</c:v>
                </c:pt>
                <c:pt idx="7">
                  <c:v>24</c:v>
                </c:pt>
                <c:pt idx="8">
                  <c:v>28</c:v>
                </c:pt>
                <c:pt idx="9">
                  <c:v>40</c:v>
                </c:pt>
                <c:pt idx="10">
                  <c:v>42</c:v>
                </c:pt>
                <c:pt idx="11">
                  <c:v>48</c:v>
                </c:pt>
                <c:pt idx="12">
                  <c:v>49</c:v>
                </c:pt>
                <c:pt idx="13">
                  <c:v>130</c:v>
                </c:pt>
                <c:pt idx="14">
                  <c:v>390</c:v>
                </c:pt>
                <c:pt idx="15">
                  <c:v>459</c:v>
                </c:pt>
                <c:pt idx="16">
                  <c:v>619</c:v>
                </c:pt>
                <c:pt idx="17">
                  <c:v>795</c:v>
                </c:pt>
                <c:pt idx="18">
                  <c:v>1232</c:v>
                </c:pt>
                <c:pt idx="19">
                  <c:v>1408</c:v>
                </c:pt>
                <c:pt idx="20">
                  <c:v>1529</c:v>
                </c:pt>
                <c:pt idx="21">
                  <c:v>1539</c:v>
                </c:pt>
                <c:pt idx="22">
                  <c:v>1997</c:v>
                </c:pt>
                <c:pt idx="23">
                  <c:v>2056</c:v>
                </c:pt>
                <c:pt idx="24">
                  <c:v>2244</c:v>
                </c:pt>
                <c:pt idx="25">
                  <c:v>2251</c:v>
                </c:pt>
                <c:pt idx="26">
                  <c:v>2814</c:v>
                </c:pt>
                <c:pt idx="27">
                  <c:v>3964</c:v>
                </c:pt>
                <c:pt idx="28">
                  <c:v>4642</c:v>
                </c:pt>
                <c:pt idx="29">
                  <c:v>4924</c:v>
                </c:pt>
                <c:pt idx="30">
                  <c:v>5504</c:v>
                </c:pt>
                <c:pt idx="31">
                  <c:v>6865</c:v>
                </c:pt>
                <c:pt idx="32">
                  <c:v>6871</c:v>
                </c:pt>
                <c:pt idx="33">
                  <c:v>7801</c:v>
                </c:pt>
                <c:pt idx="34">
                  <c:v>8223</c:v>
                </c:pt>
                <c:pt idx="35">
                  <c:v>8225</c:v>
                </c:pt>
                <c:pt idx="36">
                  <c:v>8678</c:v>
                </c:pt>
                <c:pt idx="37">
                  <c:v>8950</c:v>
                </c:pt>
                <c:pt idx="38">
                  <c:v>9481</c:v>
                </c:pt>
                <c:pt idx="39">
                  <c:v>9598</c:v>
                </c:pt>
                <c:pt idx="40">
                  <c:v>10531</c:v>
                </c:pt>
                <c:pt idx="41">
                  <c:v>10608</c:v>
                </c:pt>
                <c:pt idx="42">
                  <c:v>10621</c:v>
                </c:pt>
                <c:pt idx="43">
                  <c:v>11083</c:v>
                </c:pt>
                <c:pt idx="44">
                  <c:v>12900</c:v>
                </c:pt>
                <c:pt idx="45">
                  <c:v>13441</c:v>
                </c:pt>
                <c:pt idx="46">
                  <c:v>13854</c:v>
                </c:pt>
                <c:pt idx="47">
                  <c:v>13992</c:v>
                </c:pt>
                <c:pt idx="48">
                  <c:v>14186</c:v>
                </c:pt>
                <c:pt idx="49">
                  <c:v>14234</c:v>
                </c:pt>
                <c:pt idx="50">
                  <c:v>14588</c:v>
                </c:pt>
                <c:pt idx="51">
                  <c:v>14750</c:v>
                </c:pt>
                <c:pt idx="52">
                  <c:v>14888</c:v>
                </c:pt>
                <c:pt idx="53">
                  <c:v>14921</c:v>
                </c:pt>
                <c:pt idx="54">
                  <c:v>15178</c:v>
                </c:pt>
                <c:pt idx="55">
                  <c:v>15312</c:v>
                </c:pt>
                <c:pt idx="56">
                  <c:v>15708</c:v>
                </c:pt>
                <c:pt idx="57">
                  <c:v>15959</c:v>
                </c:pt>
                <c:pt idx="58">
                  <c:v>16903</c:v>
                </c:pt>
                <c:pt idx="59">
                  <c:v>17191</c:v>
                </c:pt>
                <c:pt idx="60">
                  <c:v>17827</c:v>
                </c:pt>
                <c:pt idx="61">
                  <c:v>18408</c:v>
                </c:pt>
                <c:pt idx="62">
                  <c:v>18865</c:v>
                </c:pt>
                <c:pt idx="63">
                  <c:v>19273</c:v>
                </c:pt>
                <c:pt idx="64">
                  <c:v>19417</c:v>
                </c:pt>
                <c:pt idx="65">
                  <c:v>19548</c:v>
                </c:pt>
                <c:pt idx="66">
                  <c:v>20192</c:v>
                </c:pt>
                <c:pt idx="67">
                  <c:v>20324</c:v>
                </c:pt>
                <c:pt idx="68">
                  <c:v>20424</c:v>
                </c:pt>
                <c:pt idx="69">
                  <c:v>20512</c:v>
                </c:pt>
                <c:pt idx="70">
                  <c:v>20735</c:v>
                </c:pt>
                <c:pt idx="71">
                  <c:v>20946</c:v>
                </c:pt>
                <c:pt idx="72">
                  <c:v>21022</c:v>
                </c:pt>
                <c:pt idx="73">
                  <c:v>21302</c:v>
                </c:pt>
                <c:pt idx="74">
                  <c:v>21635</c:v>
                </c:pt>
                <c:pt idx="75">
                  <c:v>21864</c:v>
                </c:pt>
                <c:pt idx="76">
                  <c:v>21953</c:v>
                </c:pt>
                <c:pt idx="77">
                  <c:v>22185</c:v>
                </c:pt>
                <c:pt idx="78">
                  <c:v>22263</c:v>
                </c:pt>
                <c:pt idx="79">
                  <c:v>22307</c:v>
                </c:pt>
                <c:pt idx="80">
                  <c:v>22338</c:v>
                </c:pt>
                <c:pt idx="81">
                  <c:v>22353</c:v>
                </c:pt>
                <c:pt idx="82">
                  <c:v>22458</c:v>
                </c:pt>
                <c:pt idx="83">
                  <c:v>22478</c:v>
                </c:pt>
                <c:pt idx="84">
                  <c:v>22509</c:v>
                </c:pt>
                <c:pt idx="85">
                  <c:v>22521</c:v>
                </c:pt>
                <c:pt idx="86">
                  <c:v>22553</c:v>
                </c:pt>
                <c:pt idx="87">
                  <c:v>22553</c:v>
                </c:pt>
                <c:pt idx="88">
                  <c:v>22553</c:v>
                </c:pt>
                <c:pt idx="89">
                  <c:v>22553</c:v>
                </c:pt>
                <c:pt idx="90">
                  <c:v>22553</c:v>
                </c:pt>
                <c:pt idx="91">
                  <c:v>22553</c:v>
                </c:pt>
                <c:pt idx="92">
                  <c:v>22553</c:v>
                </c:pt>
                <c:pt idx="93">
                  <c:v>22553</c:v>
                </c:pt>
                <c:pt idx="94">
                  <c:v>22553</c:v>
                </c:pt>
                <c:pt idx="95">
                  <c:v>22553</c:v>
                </c:pt>
                <c:pt idx="96">
                  <c:v>22553</c:v>
                </c:pt>
                <c:pt idx="97">
                  <c:v>22553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HistData!#REF!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9E58-48CD-9066-CA558FDC5107}"/>
            </c:ext>
          </c:extLst>
        </c:ser>
        <c:ser>
          <c:idx val="6"/>
          <c:order val="8"/>
          <c:tx>
            <c:v>2017</c:v>
          </c:tx>
          <c:spPr>
            <a:ln w="28575" cap="rnd" cmpd="sng" algn="ctr">
              <a:solidFill>
                <a:schemeClr val="accent2">
                  <a:lumMod val="80000"/>
                  <a:lumOff val="2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HistData!$EJ$5:$EJ$102</c:f>
              <c:numCache>
                <c:formatCode>#,##0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4</c:v>
                </c:pt>
                <c:pt idx="9">
                  <c:v>52</c:v>
                </c:pt>
                <c:pt idx="10">
                  <c:v>104</c:v>
                </c:pt>
                <c:pt idx="11">
                  <c:v>274</c:v>
                </c:pt>
                <c:pt idx="12">
                  <c:v>608</c:v>
                </c:pt>
                <c:pt idx="13">
                  <c:v>716</c:v>
                </c:pt>
                <c:pt idx="14">
                  <c:v>1771</c:v>
                </c:pt>
                <c:pt idx="15">
                  <c:v>1964</c:v>
                </c:pt>
                <c:pt idx="16">
                  <c:v>1996</c:v>
                </c:pt>
                <c:pt idx="17">
                  <c:v>1999</c:v>
                </c:pt>
                <c:pt idx="18">
                  <c:v>2456</c:v>
                </c:pt>
                <c:pt idx="19">
                  <c:v>2711</c:v>
                </c:pt>
                <c:pt idx="20">
                  <c:v>2807</c:v>
                </c:pt>
                <c:pt idx="21">
                  <c:v>3987</c:v>
                </c:pt>
                <c:pt idx="22">
                  <c:v>3987</c:v>
                </c:pt>
                <c:pt idx="23">
                  <c:v>5505</c:v>
                </c:pt>
                <c:pt idx="24">
                  <c:v>5667</c:v>
                </c:pt>
                <c:pt idx="25">
                  <c:v>5934</c:v>
                </c:pt>
                <c:pt idx="26">
                  <c:v>6911</c:v>
                </c:pt>
                <c:pt idx="27">
                  <c:v>7303</c:v>
                </c:pt>
                <c:pt idx="28">
                  <c:v>7362</c:v>
                </c:pt>
                <c:pt idx="29">
                  <c:v>8219</c:v>
                </c:pt>
                <c:pt idx="30">
                  <c:v>8903</c:v>
                </c:pt>
                <c:pt idx="31">
                  <c:v>10040</c:v>
                </c:pt>
                <c:pt idx="32">
                  <c:v>10535</c:v>
                </c:pt>
                <c:pt idx="33">
                  <c:v>11388</c:v>
                </c:pt>
                <c:pt idx="34">
                  <c:v>11760</c:v>
                </c:pt>
                <c:pt idx="35">
                  <c:v>12311</c:v>
                </c:pt>
                <c:pt idx="36">
                  <c:v>14550</c:v>
                </c:pt>
                <c:pt idx="37">
                  <c:v>16443</c:v>
                </c:pt>
                <c:pt idx="38">
                  <c:v>18135</c:v>
                </c:pt>
                <c:pt idx="39">
                  <c:v>19034</c:v>
                </c:pt>
                <c:pt idx="40">
                  <c:v>19719</c:v>
                </c:pt>
                <c:pt idx="41">
                  <c:v>21104</c:v>
                </c:pt>
                <c:pt idx="42">
                  <c:v>21370</c:v>
                </c:pt>
                <c:pt idx="43">
                  <c:v>21417</c:v>
                </c:pt>
                <c:pt idx="44">
                  <c:v>21836</c:v>
                </c:pt>
                <c:pt idx="45">
                  <c:v>23114</c:v>
                </c:pt>
                <c:pt idx="46">
                  <c:v>24853</c:v>
                </c:pt>
                <c:pt idx="47">
                  <c:v>25203</c:v>
                </c:pt>
                <c:pt idx="48">
                  <c:v>26489</c:v>
                </c:pt>
                <c:pt idx="49">
                  <c:v>26650</c:v>
                </c:pt>
                <c:pt idx="50">
                  <c:v>29076</c:v>
                </c:pt>
                <c:pt idx="51">
                  <c:v>29910</c:v>
                </c:pt>
                <c:pt idx="52">
                  <c:v>30821</c:v>
                </c:pt>
                <c:pt idx="53">
                  <c:v>31999</c:v>
                </c:pt>
                <c:pt idx="54">
                  <c:v>34919</c:v>
                </c:pt>
                <c:pt idx="55">
                  <c:v>35868</c:v>
                </c:pt>
                <c:pt idx="56">
                  <c:v>36381</c:v>
                </c:pt>
                <c:pt idx="57">
                  <c:v>37187</c:v>
                </c:pt>
                <c:pt idx="58">
                  <c:v>38221</c:v>
                </c:pt>
                <c:pt idx="59">
                  <c:v>39946</c:v>
                </c:pt>
                <c:pt idx="60">
                  <c:v>40701</c:v>
                </c:pt>
                <c:pt idx="61">
                  <c:v>41556</c:v>
                </c:pt>
                <c:pt idx="62">
                  <c:v>42310</c:v>
                </c:pt>
                <c:pt idx="63">
                  <c:v>43110</c:v>
                </c:pt>
                <c:pt idx="64">
                  <c:v>44820</c:v>
                </c:pt>
                <c:pt idx="65">
                  <c:v>45345</c:v>
                </c:pt>
                <c:pt idx="66">
                  <c:v>46370</c:v>
                </c:pt>
                <c:pt idx="67">
                  <c:v>46980</c:v>
                </c:pt>
                <c:pt idx="68">
                  <c:v>48212</c:v>
                </c:pt>
                <c:pt idx="69">
                  <c:v>49157</c:v>
                </c:pt>
                <c:pt idx="70">
                  <c:v>49281</c:v>
                </c:pt>
                <c:pt idx="71">
                  <c:v>49521</c:v>
                </c:pt>
                <c:pt idx="72">
                  <c:v>50410</c:v>
                </c:pt>
                <c:pt idx="73">
                  <c:v>51502</c:v>
                </c:pt>
                <c:pt idx="74">
                  <c:v>51891</c:v>
                </c:pt>
                <c:pt idx="75">
                  <c:v>52039</c:v>
                </c:pt>
                <c:pt idx="76">
                  <c:v>52370</c:v>
                </c:pt>
                <c:pt idx="77">
                  <c:v>52596</c:v>
                </c:pt>
                <c:pt idx="78">
                  <c:v>52723</c:v>
                </c:pt>
                <c:pt idx="79">
                  <c:v>52975</c:v>
                </c:pt>
                <c:pt idx="80">
                  <c:v>53313</c:v>
                </c:pt>
                <c:pt idx="81">
                  <c:v>53566</c:v>
                </c:pt>
                <c:pt idx="82">
                  <c:v>53937</c:v>
                </c:pt>
                <c:pt idx="83">
                  <c:v>54059</c:v>
                </c:pt>
                <c:pt idx="84">
                  <c:v>54366</c:v>
                </c:pt>
                <c:pt idx="85">
                  <c:v>54610</c:v>
                </c:pt>
                <c:pt idx="86">
                  <c:v>54834</c:v>
                </c:pt>
                <c:pt idx="87">
                  <c:v>55090</c:v>
                </c:pt>
                <c:pt idx="88">
                  <c:v>55144</c:v>
                </c:pt>
                <c:pt idx="89">
                  <c:v>55397</c:v>
                </c:pt>
                <c:pt idx="90">
                  <c:v>55397</c:v>
                </c:pt>
                <c:pt idx="91">
                  <c:v>55397</c:v>
                </c:pt>
                <c:pt idx="92">
                  <c:v>55397</c:v>
                </c:pt>
                <c:pt idx="93">
                  <c:v>55397</c:v>
                </c:pt>
                <c:pt idx="94">
                  <c:v>55397</c:v>
                </c:pt>
                <c:pt idx="95">
                  <c:v>55397</c:v>
                </c:pt>
                <c:pt idx="96">
                  <c:v>55397</c:v>
                </c:pt>
                <c:pt idx="97">
                  <c:v>55397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HistData!#REF!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9E58-48CD-9066-CA558FDC5107}"/>
            </c:ext>
          </c:extLst>
        </c:ser>
        <c:ser>
          <c:idx val="11"/>
          <c:order val="9"/>
          <c:tx>
            <c:v>2018</c:v>
          </c:tx>
          <c:spPr>
            <a:ln w="28575" cap="rnd" cmpd="sng" algn="ctr">
              <a:solidFill>
                <a:schemeClr val="accent6">
                  <a:lumMod val="8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HistData!$EK$5:$EK$102</c:f>
              <c:numCache>
                <c:formatCode>#,##0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44</c:v>
                </c:pt>
                <c:pt idx="8">
                  <c:v>46</c:v>
                </c:pt>
                <c:pt idx="9">
                  <c:v>48</c:v>
                </c:pt>
                <c:pt idx="10">
                  <c:v>48</c:v>
                </c:pt>
                <c:pt idx="11">
                  <c:v>48</c:v>
                </c:pt>
                <c:pt idx="12">
                  <c:v>54</c:v>
                </c:pt>
                <c:pt idx="13">
                  <c:v>412</c:v>
                </c:pt>
                <c:pt idx="14">
                  <c:v>947</c:v>
                </c:pt>
                <c:pt idx="15">
                  <c:v>947</c:v>
                </c:pt>
                <c:pt idx="16">
                  <c:v>1746</c:v>
                </c:pt>
                <c:pt idx="17">
                  <c:v>2248</c:v>
                </c:pt>
                <c:pt idx="18">
                  <c:v>3117</c:v>
                </c:pt>
                <c:pt idx="19">
                  <c:v>3322</c:v>
                </c:pt>
                <c:pt idx="20">
                  <c:v>3479</c:v>
                </c:pt>
                <c:pt idx="21">
                  <c:v>3824</c:v>
                </c:pt>
                <c:pt idx="22">
                  <c:v>5045</c:v>
                </c:pt>
                <c:pt idx="23">
                  <c:v>5058</c:v>
                </c:pt>
                <c:pt idx="24">
                  <c:v>6538</c:v>
                </c:pt>
                <c:pt idx="25">
                  <c:v>7873</c:v>
                </c:pt>
                <c:pt idx="26">
                  <c:v>10346</c:v>
                </c:pt>
                <c:pt idx="27">
                  <c:v>10356</c:v>
                </c:pt>
                <c:pt idx="28">
                  <c:v>13361</c:v>
                </c:pt>
                <c:pt idx="29">
                  <c:v>13907</c:v>
                </c:pt>
                <c:pt idx="30">
                  <c:v>15165</c:v>
                </c:pt>
                <c:pt idx="31">
                  <c:v>18862</c:v>
                </c:pt>
                <c:pt idx="32">
                  <c:v>18992</c:v>
                </c:pt>
                <c:pt idx="33">
                  <c:v>21509</c:v>
                </c:pt>
                <c:pt idx="34">
                  <c:v>23370</c:v>
                </c:pt>
                <c:pt idx="35">
                  <c:v>25271</c:v>
                </c:pt>
                <c:pt idx="36">
                  <c:v>29333</c:v>
                </c:pt>
                <c:pt idx="37">
                  <c:v>29753</c:v>
                </c:pt>
                <c:pt idx="38">
                  <c:v>30379</c:v>
                </c:pt>
                <c:pt idx="39">
                  <c:v>31469</c:v>
                </c:pt>
                <c:pt idx="40">
                  <c:v>31682</c:v>
                </c:pt>
                <c:pt idx="41">
                  <c:v>32899</c:v>
                </c:pt>
                <c:pt idx="42">
                  <c:v>32993</c:v>
                </c:pt>
                <c:pt idx="43">
                  <c:v>40692</c:v>
                </c:pt>
                <c:pt idx="44">
                  <c:v>42461</c:v>
                </c:pt>
                <c:pt idx="45">
                  <c:v>42495</c:v>
                </c:pt>
                <c:pt idx="46">
                  <c:v>43656</c:v>
                </c:pt>
                <c:pt idx="47">
                  <c:v>44155</c:v>
                </c:pt>
                <c:pt idx="48">
                  <c:v>46371</c:v>
                </c:pt>
                <c:pt idx="49">
                  <c:v>50273</c:v>
                </c:pt>
                <c:pt idx="50">
                  <c:v>50601</c:v>
                </c:pt>
                <c:pt idx="51">
                  <c:v>54581</c:v>
                </c:pt>
                <c:pt idx="52">
                  <c:v>57075</c:v>
                </c:pt>
                <c:pt idx="53">
                  <c:v>57075</c:v>
                </c:pt>
                <c:pt idx="54">
                  <c:v>57114</c:v>
                </c:pt>
                <c:pt idx="55">
                  <c:v>57291</c:v>
                </c:pt>
                <c:pt idx="56">
                  <c:v>57394</c:v>
                </c:pt>
                <c:pt idx="57">
                  <c:v>57460</c:v>
                </c:pt>
                <c:pt idx="58">
                  <c:v>60594</c:v>
                </c:pt>
                <c:pt idx="59">
                  <c:v>60631</c:v>
                </c:pt>
                <c:pt idx="60">
                  <c:v>64582</c:v>
                </c:pt>
                <c:pt idx="61">
                  <c:v>65251</c:v>
                </c:pt>
                <c:pt idx="62">
                  <c:v>65490</c:v>
                </c:pt>
                <c:pt idx="63">
                  <c:v>65836</c:v>
                </c:pt>
                <c:pt idx="64">
                  <c:v>65836</c:v>
                </c:pt>
                <c:pt idx="65">
                  <c:v>67056</c:v>
                </c:pt>
                <c:pt idx="66">
                  <c:v>67086</c:v>
                </c:pt>
                <c:pt idx="67">
                  <c:v>67902</c:v>
                </c:pt>
                <c:pt idx="68">
                  <c:v>68206</c:v>
                </c:pt>
                <c:pt idx="69">
                  <c:v>68601</c:v>
                </c:pt>
                <c:pt idx="70">
                  <c:v>68924</c:v>
                </c:pt>
                <c:pt idx="71">
                  <c:v>69270</c:v>
                </c:pt>
                <c:pt idx="72">
                  <c:v>70004</c:v>
                </c:pt>
                <c:pt idx="73">
                  <c:v>70200</c:v>
                </c:pt>
                <c:pt idx="74">
                  <c:v>70973</c:v>
                </c:pt>
                <c:pt idx="75">
                  <c:v>71384</c:v>
                </c:pt>
                <c:pt idx="76">
                  <c:v>71421</c:v>
                </c:pt>
                <c:pt idx="77">
                  <c:v>71438</c:v>
                </c:pt>
                <c:pt idx="78">
                  <c:v>71438</c:v>
                </c:pt>
                <c:pt idx="79">
                  <c:v>71700</c:v>
                </c:pt>
                <c:pt idx="80">
                  <c:v>71988</c:v>
                </c:pt>
                <c:pt idx="81">
                  <c:v>72163</c:v>
                </c:pt>
                <c:pt idx="82">
                  <c:v>72283</c:v>
                </c:pt>
                <c:pt idx="83">
                  <c:v>72409</c:v>
                </c:pt>
                <c:pt idx="84">
                  <c:v>72409</c:v>
                </c:pt>
                <c:pt idx="85">
                  <c:v>72409</c:v>
                </c:pt>
                <c:pt idx="86">
                  <c:v>72409</c:v>
                </c:pt>
                <c:pt idx="87">
                  <c:v>72409</c:v>
                </c:pt>
                <c:pt idx="88">
                  <c:v>72409</c:v>
                </c:pt>
                <c:pt idx="89">
                  <c:v>72409</c:v>
                </c:pt>
                <c:pt idx="90">
                  <c:v>72409</c:v>
                </c:pt>
                <c:pt idx="91">
                  <c:v>72409</c:v>
                </c:pt>
                <c:pt idx="92">
                  <c:v>72409</c:v>
                </c:pt>
                <c:pt idx="93">
                  <c:v>72409</c:v>
                </c:pt>
                <c:pt idx="94">
                  <c:v>72409</c:v>
                </c:pt>
                <c:pt idx="95">
                  <c:v>72409</c:v>
                </c:pt>
                <c:pt idx="96">
                  <c:v>72409</c:v>
                </c:pt>
                <c:pt idx="97">
                  <c:v>72409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B8-4EB8-8895-C2491EAB5D6F}"/>
            </c:ext>
          </c:extLst>
        </c:ser>
        <c:ser>
          <c:idx val="0"/>
          <c:order val="10"/>
          <c:tx>
            <c:v>2019</c:v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HistData!$EL$5:$EL$102</c:f>
              <c:numCache>
                <c:formatCode>#,##0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26</c:v>
                </c:pt>
                <c:pt idx="4">
                  <c:v>33</c:v>
                </c:pt>
                <c:pt idx="5">
                  <c:v>90</c:v>
                </c:pt>
                <c:pt idx="6">
                  <c:v>164</c:v>
                </c:pt>
                <c:pt idx="7">
                  <c:v>252</c:v>
                </c:pt>
                <c:pt idx="8">
                  <c:v>283</c:v>
                </c:pt>
                <c:pt idx="9">
                  <c:v>309</c:v>
                </c:pt>
                <c:pt idx="10">
                  <c:v>340</c:v>
                </c:pt>
                <c:pt idx="11">
                  <c:v>370</c:v>
                </c:pt>
                <c:pt idx="12">
                  <c:v>380</c:v>
                </c:pt>
                <c:pt idx="13">
                  <c:v>386</c:v>
                </c:pt>
                <c:pt idx="14">
                  <c:v>398</c:v>
                </c:pt>
                <c:pt idx="15">
                  <c:v>1460</c:v>
                </c:pt>
                <c:pt idx="16">
                  <c:v>2482</c:v>
                </c:pt>
                <c:pt idx="17">
                  <c:v>4464</c:v>
                </c:pt>
                <c:pt idx="18">
                  <c:v>5230</c:v>
                </c:pt>
                <c:pt idx="19">
                  <c:v>5949</c:v>
                </c:pt>
                <c:pt idx="20">
                  <c:v>6285</c:v>
                </c:pt>
                <c:pt idx="21">
                  <c:v>6305</c:v>
                </c:pt>
                <c:pt idx="22">
                  <c:v>8629</c:v>
                </c:pt>
                <c:pt idx="23">
                  <c:v>8695</c:v>
                </c:pt>
                <c:pt idx="24">
                  <c:v>9258</c:v>
                </c:pt>
                <c:pt idx="25">
                  <c:v>9514</c:v>
                </c:pt>
                <c:pt idx="26">
                  <c:v>10908</c:v>
                </c:pt>
                <c:pt idx="27">
                  <c:v>11746</c:v>
                </c:pt>
                <c:pt idx="28">
                  <c:v>13659</c:v>
                </c:pt>
                <c:pt idx="29">
                  <c:v>15202</c:v>
                </c:pt>
                <c:pt idx="30">
                  <c:v>15459</c:v>
                </c:pt>
                <c:pt idx="31">
                  <c:v>16318</c:v>
                </c:pt>
                <c:pt idx="32">
                  <c:v>16352</c:v>
                </c:pt>
                <c:pt idx="33">
                  <c:v>16607</c:v>
                </c:pt>
                <c:pt idx="34">
                  <c:v>17777</c:v>
                </c:pt>
                <c:pt idx="35">
                  <c:v>18043</c:v>
                </c:pt>
                <c:pt idx="36">
                  <c:v>18487</c:v>
                </c:pt>
                <c:pt idx="37">
                  <c:v>18846</c:v>
                </c:pt>
                <c:pt idx="38">
                  <c:v>20352</c:v>
                </c:pt>
                <c:pt idx="39">
                  <c:v>22727</c:v>
                </c:pt>
                <c:pt idx="40">
                  <c:v>24048</c:v>
                </c:pt>
                <c:pt idx="41">
                  <c:v>25494</c:v>
                </c:pt>
                <c:pt idx="42">
                  <c:v>28095</c:v>
                </c:pt>
                <c:pt idx="43">
                  <c:v>29313</c:v>
                </c:pt>
                <c:pt idx="44">
                  <c:v>29748</c:v>
                </c:pt>
                <c:pt idx="45">
                  <c:v>31123</c:v>
                </c:pt>
                <c:pt idx="46">
                  <c:v>32455</c:v>
                </c:pt>
                <c:pt idx="47">
                  <c:v>33750</c:v>
                </c:pt>
                <c:pt idx="48">
                  <c:v>34738</c:v>
                </c:pt>
                <c:pt idx="49">
                  <c:v>35829</c:v>
                </c:pt>
                <c:pt idx="50">
                  <c:v>37137</c:v>
                </c:pt>
                <c:pt idx="51">
                  <c:v>37326</c:v>
                </c:pt>
                <c:pt idx="52">
                  <c:v>38308</c:v>
                </c:pt>
                <c:pt idx="53">
                  <c:v>41641</c:v>
                </c:pt>
                <c:pt idx="54">
                  <c:v>42722</c:v>
                </c:pt>
                <c:pt idx="55">
                  <c:v>43047</c:v>
                </c:pt>
                <c:pt idx="56">
                  <c:v>44002</c:v>
                </c:pt>
                <c:pt idx="57">
                  <c:v>45629</c:v>
                </c:pt>
                <c:pt idx="58">
                  <c:v>47366</c:v>
                </c:pt>
                <c:pt idx="59">
                  <c:v>48322</c:v>
                </c:pt>
                <c:pt idx="60">
                  <c:v>49431</c:v>
                </c:pt>
                <c:pt idx="61">
                  <c:v>49785</c:v>
                </c:pt>
                <c:pt idx="62">
                  <c:v>49836</c:v>
                </c:pt>
                <c:pt idx="63">
                  <c:v>49842</c:v>
                </c:pt>
                <c:pt idx="64">
                  <c:v>50635</c:v>
                </c:pt>
                <c:pt idx="65">
                  <c:v>51468</c:v>
                </c:pt>
                <c:pt idx="66">
                  <c:v>51731</c:v>
                </c:pt>
                <c:pt idx="67">
                  <c:v>53528</c:v>
                </c:pt>
                <c:pt idx="68">
                  <c:v>53543</c:v>
                </c:pt>
                <c:pt idx="69">
                  <c:v>54268</c:v>
                </c:pt>
                <c:pt idx="70">
                  <c:v>54281</c:v>
                </c:pt>
                <c:pt idx="71">
                  <c:v>54334</c:v>
                </c:pt>
                <c:pt idx="72">
                  <c:v>56275</c:v>
                </c:pt>
                <c:pt idx="73">
                  <c:v>56332</c:v>
                </c:pt>
                <c:pt idx="74">
                  <c:v>56367</c:v>
                </c:pt>
                <c:pt idx="75">
                  <c:v>56503</c:v>
                </c:pt>
                <c:pt idx="76">
                  <c:v>57690</c:v>
                </c:pt>
                <c:pt idx="77">
                  <c:v>58126</c:v>
                </c:pt>
                <c:pt idx="78">
                  <c:v>58228</c:v>
                </c:pt>
                <c:pt idx="79">
                  <c:v>58294</c:v>
                </c:pt>
                <c:pt idx="80">
                  <c:v>58327</c:v>
                </c:pt>
                <c:pt idx="81">
                  <c:v>58371</c:v>
                </c:pt>
                <c:pt idx="82">
                  <c:v>58400</c:v>
                </c:pt>
                <c:pt idx="83">
                  <c:v>58817</c:v>
                </c:pt>
                <c:pt idx="84">
                  <c:v>58882</c:v>
                </c:pt>
                <c:pt idx="85">
                  <c:v>58885</c:v>
                </c:pt>
                <c:pt idx="86">
                  <c:v>58998</c:v>
                </c:pt>
                <c:pt idx="87">
                  <c:v>59078</c:v>
                </c:pt>
                <c:pt idx="88">
                  <c:v>59106</c:v>
                </c:pt>
                <c:pt idx="89">
                  <c:v>59106</c:v>
                </c:pt>
                <c:pt idx="90">
                  <c:v>59106</c:v>
                </c:pt>
                <c:pt idx="91">
                  <c:v>59106</c:v>
                </c:pt>
                <c:pt idx="92">
                  <c:v>59106</c:v>
                </c:pt>
                <c:pt idx="93">
                  <c:v>59106</c:v>
                </c:pt>
                <c:pt idx="94">
                  <c:v>59106</c:v>
                </c:pt>
                <c:pt idx="95">
                  <c:v>59106</c:v>
                </c:pt>
                <c:pt idx="96">
                  <c:v>59106</c:v>
                </c:pt>
                <c:pt idx="97">
                  <c:v>59106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E58-48CD-9066-CA558FDC5107}"/>
            </c:ext>
          </c:extLst>
        </c:ser>
        <c:ser>
          <c:idx val="5"/>
          <c:order val="11"/>
          <c:tx>
            <c:v>2025</c:v>
          </c:tx>
          <c:spPr>
            <a:ln w="57150" cap="rnd" cmpd="sng" algn="ctr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'Data Entry - Projections'!$C$10:$C$107</c:f>
              <c:numCache>
                <c:formatCode>#,##0</c:formatCode>
                <c:ptCount val="98"/>
                <c:pt idx="2">
                  <c:v>1</c:v>
                </c:pt>
                <c:pt idx="3">
                  <c:v>8</c:v>
                </c:pt>
                <c:pt idx="4">
                  <c:v>21</c:v>
                </c:pt>
                <c:pt idx="5">
                  <c:v>28</c:v>
                </c:pt>
                <c:pt idx="6">
                  <c:v>29</c:v>
                </c:pt>
                <c:pt idx="7">
                  <c:v>37</c:v>
                </c:pt>
                <c:pt idx="8">
                  <c:v>586</c:v>
                </c:pt>
                <c:pt idx="9">
                  <c:v>588</c:v>
                </c:pt>
                <c:pt idx="10">
                  <c:v>588</c:v>
                </c:pt>
                <c:pt idx="11">
                  <c:v>1214</c:v>
                </c:pt>
                <c:pt idx="12">
                  <c:v>1731</c:v>
                </c:pt>
                <c:pt idx="13">
                  <c:v>2455</c:v>
                </c:pt>
                <c:pt idx="14">
                  <c:v>3327</c:v>
                </c:pt>
                <c:pt idx="15">
                  <c:v>3639</c:v>
                </c:pt>
                <c:pt idx="16">
                  <c:v>6932</c:v>
                </c:pt>
                <c:pt idx="17">
                  <c:v>8111</c:v>
                </c:pt>
                <c:pt idx="18">
                  <c:v>12802</c:v>
                </c:pt>
                <c:pt idx="19">
                  <c:v>17315</c:v>
                </c:pt>
                <c:pt idx="20">
                  <c:v>22747</c:v>
                </c:pt>
                <c:pt idx="21">
                  <c:v>24748</c:v>
                </c:pt>
                <c:pt idx="22">
                  <c:v>28399</c:v>
                </c:pt>
                <c:pt idx="23">
                  <c:v>34583</c:v>
                </c:pt>
                <c:pt idx="24">
                  <c:v>39921</c:v>
                </c:pt>
                <c:pt idx="25">
                  <c:v>47863</c:v>
                </c:pt>
                <c:pt idx="26">
                  <c:v>53273</c:v>
                </c:pt>
                <c:pt idx="27">
                  <c:v>58706</c:v>
                </c:pt>
                <c:pt idx="28">
                  <c:v>65514</c:v>
                </c:pt>
                <c:pt idx="29">
                  <c:v>70628</c:v>
                </c:pt>
                <c:pt idx="30">
                  <c:v>75918</c:v>
                </c:pt>
                <c:pt idx="31">
                  <c:v>82354</c:v>
                </c:pt>
                <c:pt idx="32">
                  <c:v>87326</c:v>
                </c:pt>
                <c:pt idx="33">
                  <c:v>93005</c:v>
                </c:pt>
                <c:pt idx="34">
                  <c:v>100088</c:v>
                </c:pt>
                <c:pt idx="35">
                  <c:v>101806</c:v>
                </c:pt>
                <c:pt idx="36">
                  <c:v>102949</c:v>
                </c:pt>
                <c:pt idx="37">
                  <c:v>105186</c:v>
                </c:pt>
                <c:pt idx="38">
                  <c:v>110091</c:v>
                </c:pt>
                <c:pt idx="39">
                  <c:v>121502</c:v>
                </c:pt>
                <c:pt idx="40">
                  <c:v>127664</c:v>
                </c:pt>
                <c:pt idx="41">
                  <c:v>129789</c:v>
                </c:pt>
                <c:pt idx="42">
                  <c:v>133055</c:v>
                </c:pt>
                <c:pt idx="43">
                  <c:v>135568</c:v>
                </c:pt>
                <c:pt idx="44">
                  <c:v>139085</c:v>
                </c:pt>
                <c:pt idx="45">
                  <c:v>140224</c:v>
                </c:pt>
                <c:pt idx="46">
                  <c:v>143968</c:v>
                </c:pt>
                <c:pt idx="47">
                  <c:v>146974</c:v>
                </c:pt>
                <c:pt idx="48">
                  <c:v>152865</c:v>
                </c:pt>
                <c:pt idx="49">
                  <c:v>157336</c:v>
                </c:pt>
                <c:pt idx="50">
                  <c:v>164092</c:v>
                </c:pt>
                <c:pt idx="51">
                  <c:v>168039</c:v>
                </c:pt>
                <c:pt idx="52">
                  <c:v>170754</c:v>
                </c:pt>
                <c:pt idx="53">
                  <c:v>176931</c:v>
                </c:pt>
                <c:pt idx="54">
                  <c:v>183393</c:v>
                </c:pt>
                <c:pt idx="55">
                  <c:v>184762</c:v>
                </c:pt>
                <c:pt idx="56">
                  <c:v>189565</c:v>
                </c:pt>
                <c:pt idx="57">
                  <c:v>193277</c:v>
                </c:pt>
                <c:pt idx="58">
                  <c:v>193277</c:v>
                </c:pt>
                <c:pt idx="59">
                  <c:v>198000</c:v>
                </c:pt>
                <c:pt idx="60">
                  <c:v>206020</c:v>
                </c:pt>
                <c:pt idx="61">
                  <c:v>207694</c:v>
                </c:pt>
                <c:pt idx="62">
                  <c:v>210198</c:v>
                </c:pt>
                <c:pt idx="63">
                  <c:v>212700</c:v>
                </c:pt>
                <c:pt idx="64">
                  <c:v>213788</c:v>
                </c:pt>
                <c:pt idx="65">
                  <c:v>216066</c:v>
                </c:pt>
                <c:pt idx="66">
                  <c:v>218215</c:v>
                </c:pt>
                <c:pt idx="67">
                  <c:v>219550</c:v>
                </c:pt>
                <c:pt idx="68">
                  <c:v>220276</c:v>
                </c:pt>
                <c:pt idx="69">
                  <c:v>221309</c:v>
                </c:pt>
                <c:pt idx="70">
                  <c:v>222147</c:v>
                </c:pt>
                <c:pt idx="71">
                  <c:v>223707</c:v>
                </c:pt>
                <c:pt idx="72">
                  <c:v>224931</c:v>
                </c:pt>
                <c:pt idx="73">
                  <c:v>225864</c:v>
                </c:pt>
                <c:pt idx="74">
                  <c:v>226804</c:v>
                </c:pt>
                <c:pt idx="75">
                  <c:v>227371</c:v>
                </c:pt>
                <c:pt idx="76">
                  <c:v>227788</c:v>
                </c:pt>
                <c:pt idx="77">
                  <c:v>228080</c:v>
                </c:pt>
                <c:pt idx="78">
                  <c:v>228367</c:v>
                </c:pt>
                <c:pt idx="79">
                  <c:v>228557</c:v>
                </c:pt>
                <c:pt idx="80">
                  <c:v>228974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6A-4BBA-A1DF-4D16B51DA4D5}"/>
            </c:ext>
          </c:extLst>
        </c:ser>
        <c:ser>
          <c:idx val="12"/>
          <c:order val="12"/>
          <c:tx>
            <c:v>2020</c:v>
          </c:tx>
          <c:spPr>
            <a:ln w="28575" cap="rnd" cmpd="sng" algn="ctr">
              <a:solidFill>
                <a:schemeClr val="accent2">
                  <a:lumMod val="60000"/>
                  <a:lumOff val="4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HistData!$EM$5:$EM$102</c:f>
              <c:numCache>
                <c:formatCode>#,##0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14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39</c:v>
                </c:pt>
                <c:pt idx="19">
                  <c:v>40</c:v>
                </c:pt>
                <c:pt idx="20">
                  <c:v>54</c:v>
                </c:pt>
                <c:pt idx="21">
                  <c:v>250</c:v>
                </c:pt>
                <c:pt idx="22">
                  <c:v>278</c:v>
                </c:pt>
                <c:pt idx="23">
                  <c:v>468</c:v>
                </c:pt>
                <c:pt idx="24">
                  <c:v>493</c:v>
                </c:pt>
                <c:pt idx="25">
                  <c:v>558</c:v>
                </c:pt>
                <c:pt idx="26">
                  <c:v>613</c:v>
                </c:pt>
                <c:pt idx="27">
                  <c:v>676</c:v>
                </c:pt>
                <c:pt idx="28">
                  <c:v>1950</c:v>
                </c:pt>
                <c:pt idx="29">
                  <c:v>2628</c:v>
                </c:pt>
                <c:pt idx="30">
                  <c:v>2733</c:v>
                </c:pt>
                <c:pt idx="31">
                  <c:v>2952</c:v>
                </c:pt>
                <c:pt idx="32">
                  <c:v>4710</c:v>
                </c:pt>
                <c:pt idx="33">
                  <c:v>6668</c:v>
                </c:pt>
                <c:pt idx="34">
                  <c:v>6811</c:v>
                </c:pt>
                <c:pt idx="35">
                  <c:v>7558</c:v>
                </c:pt>
                <c:pt idx="36">
                  <c:v>8709</c:v>
                </c:pt>
                <c:pt idx="37">
                  <c:v>9880</c:v>
                </c:pt>
                <c:pt idx="38">
                  <c:v>11572</c:v>
                </c:pt>
                <c:pt idx="39">
                  <c:v>11682</c:v>
                </c:pt>
                <c:pt idx="40">
                  <c:v>11762</c:v>
                </c:pt>
                <c:pt idx="41">
                  <c:v>11768</c:v>
                </c:pt>
                <c:pt idx="42">
                  <c:v>11811</c:v>
                </c:pt>
                <c:pt idx="43">
                  <c:v>12024</c:v>
                </c:pt>
                <c:pt idx="44">
                  <c:v>15689</c:v>
                </c:pt>
                <c:pt idx="45">
                  <c:v>17368</c:v>
                </c:pt>
                <c:pt idx="46">
                  <c:v>18418</c:v>
                </c:pt>
                <c:pt idx="47">
                  <c:v>18755</c:v>
                </c:pt>
                <c:pt idx="48">
                  <c:v>19556</c:v>
                </c:pt>
                <c:pt idx="49">
                  <c:v>20249</c:v>
                </c:pt>
                <c:pt idx="50">
                  <c:v>21320</c:v>
                </c:pt>
                <c:pt idx="51">
                  <c:v>21972</c:v>
                </c:pt>
                <c:pt idx="52">
                  <c:v>23641</c:v>
                </c:pt>
                <c:pt idx="53">
                  <c:v>25262</c:v>
                </c:pt>
                <c:pt idx="54">
                  <c:v>27354</c:v>
                </c:pt>
                <c:pt idx="55">
                  <c:v>27842</c:v>
                </c:pt>
                <c:pt idx="56">
                  <c:v>30511</c:v>
                </c:pt>
                <c:pt idx="57">
                  <c:v>31774</c:v>
                </c:pt>
                <c:pt idx="58">
                  <c:v>32649</c:v>
                </c:pt>
                <c:pt idx="59">
                  <c:v>32890</c:v>
                </c:pt>
                <c:pt idx="60">
                  <c:v>33630</c:v>
                </c:pt>
                <c:pt idx="61">
                  <c:v>34040</c:v>
                </c:pt>
                <c:pt idx="62">
                  <c:v>34520</c:v>
                </c:pt>
                <c:pt idx="63">
                  <c:v>34636</c:v>
                </c:pt>
                <c:pt idx="64">
                  <c:v>35209</c:v>
                </c:pt>
                <c:pt idx="65">
                  <c:v>35974</c:v>
                </c:pt>
                <c:pt idx="66">
                  <c:v>36449</c:v>
                </c:pt>
                <c:pt idx="67">
                  <c:v>36580</c:v>
                </c:pt>
                <c:pt idx="68">
                  <c:v>37079</c:v>
                </c:pt>
                <c:pt idx="69">
                  <c:v>37205</c:v>
                </c:pt>
                <c:pt idx="70">
                  <c:v>37524</c:v>
                </c:pt>
                <c:pt idx="71">
                  <c:v>37784</c:v>
                </c:pt>
                <c:pt idx="72">
                  <c:v>37929</c:v>
                </c:pt>
                <c:pt idx="73">
                  <c:v>38074</c:v>
                </c:pt>
                <c:pt idx="74">
                  <c:v>38339</c:v>
                </c:pt>
                <c:pt idx="75">
                  <c:v>38905</c:v>
                </c:pt>
                <c:pt idx="76">
                  <c:v>39392</c:v>
                </c:pt>
                <c:pt idx="77">
                  <c:v>39504</c:v>
                </c:pt>
                <c:pt idx="78">
                  <c:v>39835</c:v>
                </c:pt>
                <c:pt idx="79">
                  <c:v>40008</c:v>
                </c:pt>
                <c:pt idx="80">
                  <c:v>40452</c:v>
                </c:pt>
                <c:pt idx="81">
                  <c:v>40602</c:v>
                </c:pt>
                <c:pt idx="82">
                  <c:v>40773</c:v>
                </c:pt>
                <c:pt idx="83">
                  <c:v>40947</c:v>
                </c:pt>
                <c:pt idx="84">
                  <c:v>41004</c:v>
                </c:pt>
                <c:pt idx="85">
                  <c:v>41140</c:v>
                </c:pt>
                <c:pt idx="86">
                  <c:v>41231</c:v>
                </c:pt>
                <c:pt idx="87">
                  <c:v>41289</c:v>
                </c:pt>
                <c:pt idx="88">
                  <c:v>41289</c:v>
                </c:pt>
                <c:pt idx="89">
                  <c:v>41289</c:v>
                </c:pt>
                <c:pt idx="90">
                  <c:v>41289</c:v>
                </c:pt>
                <c:pt idx="91">
                  <c:v>41289</c:v>
                </c:pt>
                <c:pt idx="92">
                  <c:v>41289</c:v>
                </c:pt>
                <c:pt idx="93">
                  <c:v>41289</c:v>
                </c:pt>
                <c:pt idx="94">
                  <c:v>41289</c:v>
                </c:pt>
                <c:pt idx="95">
                  <c:v>41289</c:v>
                </c:pt>
                <c:pt idx="96">
                  <c:v>41289</c:v>
                </c:pt>
                <c:pt idx="97">
                  <c:v>41289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B65-4B7D-8C99-5DF7FD4F7A9D}"/>
            </c:ext>
          </c:extLst>
        </c:ser>
        <c:ser>
          <c:idx val="13"/>
          <c:order val="13"/>
          <c:tx>
            <c:v>2021</c:v>
          </c:tx>
          <c:spPr>
            <a:ln w="28575" cap="rnd" cmpd="sng" algn="ctr">
              <a:solidFill>
                <a:schemeClr val="accent4">
                  <a:lumMod val="60000"/>
                  <a:lumOff val="4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HistData!$EN$5:$EN$101</c:f>
              <c:numCache>
                <c:formatCode>#,##0</c:formatCode>
                <c:ptCount val="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7</c:v>
                </c:pt>
                <c:pt idx="5">
                  <c:v>8</c:v>
                </c:pt>
                <c:pt idx="6">
                  <c:v>30</c:v>
                </c:pt>
                <c:pt idx="7">
                  <c:v>41</c:v>
                </c:pt>
                <c:pt idx="8">
                  <c:v>118</c:v>
                </c:pt>
                <c:pt idx="9">
                  <c:v>178</c:v>
                </c:pt>
                <c:pt idx="10">
                  <c:v>274</c:v>
                </c:pt>
                <c:pt idx="11">
                  <c:v>378</c:v>
                </c:pt>
                <c:pt idx="12">
                  <c:v>496</c:v>
                </c:pt>
                <c:pt idx="13">
                  <c:v>800</c:v>
                </c:pt>
                <c:pt idx="14">
                  <c:v>835</c:v>
                </c:pt>
                <c:pt idx="15">
                  <c:v>1325</c:v>
                </c:pt>
                <c:pt idx="16">
                  <c:v>1586</c:v>
                </c:pt>
                <c:pt idx="17">
                  <c:v>1868</c:v>
                </c:pt>
                <c:pt idx="18">
                  <c:v>2018</c:v>
                </c:pt>
                <c:pt idx="19">
                  <c:v>2140</c:v>
                </c:pt>
                <c:pt idx="20">
                  <c:v>2201</c:v>
                </c:pt>
                <c:pt idx="21">
                  <c:v>2490</c:v>
                </c:pt>
                <c:pt idx="22">
                  <c:v>2796</c:v>
                </c:pt>
                <c:pt idx="23">
                  <c:v>2880</c:v>
                </c:pt>
                <c:pt idx="24">
                  <c:v>4740</c:v>
                </c:pt>
                <c:pt idx="25">
                  <c:v>5382</c:v>
                </c:pt>
                <c:pt idx="26">
                  <c:v>7156</c:v>
                </c:pt>
                <c:pt idx="27">
                  <c:v>7602</c:v>
                </c:pt>
                <c:pt idx="28">
                  <c:v>7905</c:v>
                </c:pt>
                <c:pt idx="29">
                  <c:v>8634</c:v>
                </c:pt>
                <c:pt idx="30">
                  <c:v>10058</c:v>
                </c:pt>
                <c:pt idx="31">
                  <c:v>10446</c:v>
                </c:pt>
                <c:pt idx="32">
                  <c:v>10543</c:v>
                </c:pt>
                <c:pt idx="33">
                  <c:v>11856</c:v>
                </c:pt>
                <c:pt idx="34">
                  <c:v>12662</c:v>
                </c:pt>
                <c:pt idx="35">
                  <c:v>14856</c:v>
                </c:pt>
                <c:pt idx="36">
                  <c:v>16388</c:v>
                </c:pt>
                <c:pt idx="37">
                  <c:v>17944</c:v>
                </c:pt>
                <c:pt idx="38">
                  <c:v>18728</c:v>
                </c:pt>
                <c:pt idx="39">
                  <c:v>18905</c:v>
                </c:pt>
                <c:pt idx="40">
                  <c:v>22136</c:v>
                </c:pt>
                <c:pt idx="41">
                  <c:v>22448</c:v>
                </c:pt>
                <c:pt idx="42">
                  <c:v>22679</c:v>
                </c:pt>
                <c:pt idx="43">
                  <c:v>23540</c:v>
                </c:pt>
                <c:pt idx="44">
                  <c:v>23794</c:v>
                </c:pt>
                <c:pt idx="45">
                  <c:v>24581</c:v>
                </c:pt>
                <c:pt idx="46">
                  <c:v>26335</c:v>
                </c:pt>
                <c:pt idx="47">
                  <c:v>29781</c:v>
                </c:pt>
                <c:pt idx="48">
                  <c:v>30843</c:v>
                </c:pt>
                <c:pt idx="49">
                  <c:v>31825</c:v>
                </c:pt>
                <c:pt idx="50">
                  <c:v>33171</c:v>
                </c:pt>
                <c:pt idx="51">
                  <c:v>35642</c:v>
                </c:pt>
                <c:pt idx="52">
                  <c:v>38316</c:v>
                </c:pt>
                <c:pt idx="53">
                  <c:v>38893</c:v>
                </c:pt>
                <c:pt idx="54">
                  <c:v>39871</c:v>
                </c:pt>
                <c:pt idx="55">
                  <c:v>40351</c:v>
                </c:pt>
                <c:pt idx="56">
                  <c:v>42885</c:v>
                </c:pt>
                <c:pt idx="57">
                  <c:v>43379</c:v>
                </c:pt>
                <c:pt idx="58">
                  <c:v>43510</c:v>
                </c:pt>
                <c:pt idx="59">
                  <c:v>46122</c:v>
                </c:pt>
                <c:pt idx="60">
                  <c:v>47181</c:v>
                </c:pt>
                <c:pt idx="61">
                  <c:v>48205</c:v>
                </c:pt>
                <c:pt idx="62">
                  <c:v>48421</c:v>
                </c:pt>
                <c:pt idx="63">
                  <c:v>49962</c:v>
                </c:pt>
                <c:pt idx="64">
                  <c:v>50850</c:v>
                </c:pt>
                <c:pt idx="65">
                  <c:v>51687</c:v>
                </c:pt>
                <c:pt idx="66">
                  <c:v>52054</c:v>
                </c:pt>
                <c:pt idx="67">
                  <c:v>52604</c:v>
                </c:pt>
                <c:pt idx="68">
                  <c:v>53195</c:v>
                </c:pt>
                <c:pt idx="69">
                  <c:v>53553</c:v>
                </c:pt>
                <c:pt idx="70">
                  <c:v>53860</c:v>
                </c:pt>
                <c:pt idx="71">
                  <c:v>54165</c:v>
                </c:pt>
                <c:pt idx="72">
                  <c:v>54436</c:v>
                </c:pt>
                <c:pt idx="73">
                  <c:v>55348</c:v>
                </c:pt>
                <c:pt idx="74">
                  <c:v>55659</c:v>
                </c:pt>
                <c:pt idx="75">
                  <c:v>56230</c:v>
                </c:pt>
                <c:pt idx="76">
                  <c:v>56878</c:v>
                </c:pt>
                <c:pt idx="77">
                  <c:v>57708</c:v>
                </c:pt>
                <c:pt idx="78">
                  <c:v>58084</c:v>
                </c:pt>
                <c:pt idx="79">
                  <c:v>58616</c:v>
                </c:pt>
                <c:pt idx="80">
                  <c:v>59028</c:v>
                </c:pt>
                <c:pt idx="81">
                  <c:v>59279</c:v>
                </c:pt>
                <c:pt idx="82">
                  <c:v>59691</c:v>
                </c:pt>
                <c:pt idx="83">
                  <c:v>60004</c:v>
                </c:pt>
                <c:pt idx="84">
                  <c:v>60004</c:v>
                </c:pt>
                <c:pt idx="85">
                  <c:v>60004</c:v>
                </c:pt>
                <c:pt idx="86">
                  <c:v>60004</c:v>
                </c:pt>
                <c:pt idx="87">
                  <c:v>60004</c:v>
                </c:pt>
                <c:pt idx="88">
                  <c:v>60004</c:v>
                </c:pt>
                <c:pt idx="89">
                  <c:v>60004</c:v>
                </c:pt>
                <c:pt idx="90">
                  <c:v>60004</c:v>
                </c:pt>
                <c:pt idx="91">
                  <c:v>60004</c:v>
                </c:pt>
                <c:pt idx="92">
                  <c:v>60004</c:v>
                </c:pt>
                <c:pt idx="93">
                  <c:v>60004</c:v>
                </c:pt>
                <c:pt idx="94">
                  <c:v>60004</c:v>
                </c:pt>
                <c:pt idx="95">
                  <c:v>60004</c:v>
                </c:pt>
                <c:pt idx="96">
                  <c:v>60004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1F-4577-B8C0-B1D1A1142205}"/>
            </c:ext>
          </c:extLst>
        </c:ser>
        <c:ser>
          <c:idx val="14"/>
          <c:order val="14"/>
          <c:tx>
            <c:v>2022</c:v>
          </c:tx>
          <c:spPr>
            <a:ln w="28575" cap="rnd" cmpd="sng" algn="ctr">
              <a:solidFill>
                <a:schemeClr val="accent6">
                  <a:lumMod val="60000"/>
                  <a:lumOff val="4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HistData!$EO$5:$EO$102</c:f>
              <c:numCache>
                <c:formatCode>#,##0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56</c:v>
                </c:pt>
                <c:pt idx="8">
                  <c:v>56</c:v>
                </c:pt>
                <c:pt idx="9">
                  <c:v>89</c:v>
                </c:pt>
                <c:pt idx="10">
                  <c:v>92</c:v>
                </c:pt>
                <c:pt idx="11">
                  <c:v>95</c:v>
                </c:pt>
                <c:pt idx="12">
                  <c:v>109</c:v>
                </c:pt>
                <c:pt idx="13">
                  <c:v>143</c:v>
                </c:pt>
                <c:pt idx="14">
                  <c:v>300</c:v>
                </c:pt>
                <c:pt idx="15">
                  <c:v>300</c:v>
                </c:pt>
                <c:pt idx="16">
                  <c:v>413</c:v>
                </c:pt>
                <c:pt idx="17">
                  <c:v>2068</c:v>
                </c:pt>
                <c:pt idx="18">
                  <c:v>2412</c:v>
                </c:pt>
                <c:pt idx="19">
                  <c:v>2609</c:v>
                </c:pt>
                <c:pt idx="20">
                  <c:v>2908</c:v>
                </c:pt>
                <c:pt idx="21">
                  <c:v>3013</c:v>
                </c:pt>
                <c:pt idx="22">
                  <c:v>3754</c:v>
                </c:pt>
                <c:pt idx="23">
                  <c:v>9133</c:v>
                </c:pt>
                <c:pt idx="24">
                  <c:v>10104</c:v>
                </c:pt>
                <c:pt idx="25">
                  <c:v>10710</c:v>
                </c:pt>
                <c:pt idx="26">
                  <c:v>14643</c:v>
                </c:pt>
                <c:pt idx="27">
                  <c:v>14674</c:v>
                </c:pt>
                <c:pt idx="28">
                  <c:v>20214</c:v>
                </c:pt>
                <c:pt idx="29">
                  <c:v>26524</c:v>
                </c:pt>
                <c:pt idx="30">
                  <c:v>27028</c:v>
                </c:pt>
                <c:pt idx="31">
                  <c:v>28809</c:v>
                </c:pt>
                <c:pt idx="32">
                  <c:v>29512</c:v>
                </c:pt>
                <c:pt idx="33">
                  <c:v>30119</c:v>
                </c:pt>
                <c:pt idx="34">
                  <c:v>31183</c:v>
                </c:pt>
                <c:pt idx="35">
                  <c:v>31936</c:v>
                </c:pt>
                <c:pt idx="36">
                  <c:v>33015</c:v>
                </c:pt>
                <c:pt idx="37">
                  <c:v>35649</c:v>
                </c:pt>
                <c:pt idx="38">
                  <c:v>40726</c:v>
                </c:pt>
                <c:pt idx="39">
                  <c:v>42116</c:v>
                </c:pt>
                <c:pt idx="40">
                  <c:v>43055</c:v>
                </c:pt>
                <c:pt idx="41">
                  <c:v>43566</c:v>
                </c:pt>
                <c:pt idx="42">
                  <c:v>46145</c:v>
                </c:pt>
                <c:pt idx="43">
                  <c:v>50995</c:v>
                </c:pt>
                <c:pt idx="44">
                  <c:v>51729</c:v>
                </c:pt>
                <c:pt idx="45">
                  <c:v>53302</c:v>
                </c:pt>
                <c:pt idx="46">
                  <c:v>54166</c:v>
                </c:pt>
                <c:pt idx="47">
                  <c:v>55322</c:v>
                </c:pt>
                <c:pt idx="48">
                  <c:v>56772</c:v>
                </c:pt>
                <c:pt idx="49">
                  <c:v>56860</c:v>
                </c:pt>
                <c:pt idx="50">
                  <c:v>57555</c:v>
                </c:pt>
                <c:pt idx="51">
                  <c:v>59755</c:v>
                </c:pt>
                <c:pt idx="52">
                  <c:v>60972</c:v>
                </c:pt>
                <c:pt idx="53">
                  <c:v>67571</c:v>
                </c:pt>
                <c:pt idx="54">
                  <c:v>68266</c:v>
                </c:pt>
                <c:pt idx="55">
                  <c:v>71627</c:v>
                </c:pt>
                <c:pt idx="56">
                  <c:v>73290</c:v>
                </c:pt>
                <c:pt idx="57">
                  <c:v>74065</c:v>
                </c:pt>
                <c:pt idx="58">
                  <c:v>74373</c:v>
                </c:pt>
                <c:pt idx="59">
                  <c:v>75075</c:v>
                </c:pt>
                <c:pt idx="60">
                  <c:v>76201</c:v>
                </c:pt>
                <c:pt idx="61">
                  <c:v>77406</c:v>
                </c:pt>
                <c:pt idx="62">
                  <c:v>78393</c:v>
                </c:pt>
                <c:pt idx="63">
                  <c:v>79017</c:v>
                </c:pt>
                <c:pt idx="64">
                  <c:v>79504</c:v>
                </c:pt>
                <c:pt idx="65">
                  <c:v>79797</c:v>
                </c:pt>
                <c:pt idx="66">
                  <c:v>80890</c:v>
                </c:pt>
                <c:pt idx="67">
                  <c:v>81359</c:v>
                </c:pt>
                <c:pt idx="68">
                  <c:v>81549</c:v>
                </c:pt>
                <c:pt idx="69">
                  <c:v>82091</c:v>
                </c:pt>
                <c:pt idx="70">
                  <c:v>82174</c:v>
                </c:pt>
                <c:pt idx="71">
                  <c:v>82370</c:v>
                </c:pt>
                <c:pt idx="72">
                  <c:v>82554</c:v>
                </c:pt>
                <c:pt idx="73">
                  <c:v>82776</c:v>
                </c:pt>
                <c:pt idx="74">
                  <c:v>82954</c:v>
                </c:pt>
                <c:pt idx="75">
                  <c:v>83345</c:v>
                </c:pt>
                <c:pt idx="76">
                  <c:v>83719</c:v>
                </c:pt>
                <c:pt idx="77">
                  <c:v>83974</c:v>
                </c:pt>
                <c:pt idx="78">
                  <c:v>84916</c:v>
                </c:pt>
                <c:pt idx="79">
                  <c:v>85152</c:v>
                </c:pt>
                <c:pt idx="80">
                  <c:v>85426</c:v>
                </c:pt>
                <c:pt idx="81">
                  <c:v>85526</c:v>
                </c:pt>
                <c:pt idx="82">
                  <c:v>85570</c:v>
                </c:pt>
                <c:pt idx="83">
                  <c:v>85779</c:v>
                </c:pt>
                <c:pt idx="84">
                  <c:v>85785</c:v>
                </c:pt>
                <c:pt idx="85">
                  <c:v>85785</c:v>
                </c:pt>
                <c:pt idx="86">
                  <c:v>85785</c:v>
                </c:pt>
                <c:pt idx="87">
                  <c:v>85785</c:v>
                </c:pt>
                <c:pt idx="88">
                  <c:v>85785</c:v>
                </c:pt>
                <c:pt idx="89">
                  <c:v>85785</c:v>
                </c:pt>
                <c:pt idx="90">
                  <c:v>85785</c:v>
                </c:pt>
                <c:pt idx="91">
                  <c:v>85785</c:v>
                </c:pt>
                <c:pt idx="92">
                  <c:v>85785</c:v>
                </c:pt>
                <c:pt idx="93">
                  <c:v>85785</c:v>
                </c:pt>
                <c:pt idx="94">
                  <c:v>85785</c:v>
                </c:pt>
                <c:pt idx="95">
                  <c:v>85785</c:v>
                </c:pt>
                <c:pt idx="96">
                  <c:v>85785</c:v>
                </c:pt>
                <c:pt idx="97">
                  <c:v>85785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FA-47FB-9277-235450E3B0D1}"/>
            </c:ext>
          </c:extLst>
        </c:ser>
        <c:ser>
          <c:idx val="15"/>
          <c:order val="15"/>
          <c:tx>
            <c:v>2023</c:v>
          </c:tx>
          <c:spPr>
            <a:ln w="28575" cap="rnd" cmpd="sng" algn="ctr">
              <a:solidFill>
                <a:schemeClr val="accent2">
                  <a:lumMod val="5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HistData!$EP$5:$EP$102</c:f>
              <c:numCache>
                <c:formatCode>#,##0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12</c:v>
                </c:pt>
                <c:pt idx="4">
                  <c:v>112</c:v>
                </c:pt>
                <c:pt idx="5">
                  <c:v>272</c:v>
                </c:pt>
                <c:pt idx="6">
                  <c:v>623</c:v>
                </c:pt>
                <c:pt idx="7">
                  <c:v>643</c:v>
                </c:pt>
                <c:pt idx="8">
                  <c:v>751</c:v>
                </c:pt>
                <c:pt idx="9">
                  <c:v>780</c:v>
                </c:pt>
                <c:pt idx="10">
                  <c:v>1545</c:v>
                </c:pt>
                <c:pt idx="11">
                  <c:v>3605</c:v>
                </c:pt>
                <c:pt idx="12">
                  <c:v>3653</c:v>
                </c:pt>
                <c:pt idx="13">
                  <c:v>3972</c:v>
                </c:pt>
                <c:pt idx="14">
                  <c:v>5468</c:v>
                </c:pt>
                <c:pt idx="15">
                  <c:v>8828</c:v>
                </c:pt>
                <c:pt idx="16">
                  <c:v>9752</c:v>
                </c:pt>
                <c:pt idx="17">
                  <c:v>10050</c:v>
                </c:pt>
                <c:pt idx="18">
                  <c:v>11191</c:v>
                </c:pt>
                <c:pt idx="19">
                  <c:v>11379</c:v>
                </c:pt>
                <c:pt idx="20">
                  <c:v>11562</c:v>
                </c:pt>
                <c:pt idx="21">
                  <c:v>13697</c:v>
                </c:pt>
                <c:pt idx="22">
                  <c:v>14793</c:v>
                </c:pt>
                <c:pt idx="23">
                  <c:v>21312</c:v>
                </c:pt>
                <c:pt idx="24">
                  <c:v>21513</c:v>
                </c:pt>
                <c:pt idx="25">
                  <c:v>24841</c:v>
                </c:pt>
                <c:pt idx="26">
                  <c:v>28701</c:v>
                </c:pt>
                <c:pt idx="27">
                  <c:v>30514</c:v>
                </c:pt>
                <c:pt idx="28">
                  <c:v>31283</c:v>
                </c:pt>
                <c:pt idx="29">
                  <c:v>31353</c:v>
                </c:pt>
                <c:pt idx="30">
                  <c:v>31650</c:v>
                </c:pt>
                <c:pt idx="31">
                  <c:v>31850</c:v>
                </c:pt>
                <c:pt idx="32">
                  <c:v>35460</c:v>
                </c:pt>
                <c:pt idx="33">
                  <c:v>39905</c:v>
                </c:pt>
                <c:pt idx="34">
                  <c:v>42145</c:v>
                </c:pt>
                <c:pt idx="35">
                  <c:v>45538</c:v>
                </c:pt>
                <c:pt idx="36">
                  <c:v>49312</c:v>
                </c:pt>
                <c:pt idx="37">
                  <c:v>53167</c:v>
                </c:pt>
                <c:pt idx="38">
                  <c:v>54210</c:v>
                </c:pt>
                <c:pt idx="39">
                  <c:v>55731</c:v>
                </c:pt>
                <c:pt idx="40">
                  <c:v>58228</c:v>
                </c:pt>
                <c:pt idx="41">
                  <c:v>67609</c:v>
                </c:pt>
                <c:pt idx="42">
                  <c:v>73742</c:v>
                </c:pt>
                <c:pt idx="43">
                  <c:v>74956</c:v>
                </c:pt>
                <c:pt idx="44">
                  <c:v>75882</c:v>
                </c:pt>
                <c:pt idx="45">
                  <c:v>77314</c:v>
                </c:pt>
                <c:pt idx="46">
                  <c:v>81050</c:v>
                </c:pt>
                <c:pt idx="47">
                  <c:v>81209</c:v>
                </c:pt>
                <c:pt idx="48">
                  <c:v>82782</c:v>
                </c:pt>
                <c:pt idx="49">
                  <c:v>86788</c:v>
                </c:pt>
                <c:pt idx="50">
                  <c:v>88192</c:v>
                </c:pt>
                <c:pt idx="51">
                  <c:v>92675</c:v>
                </c:pt>
                <c:pt idx="52">
                  <c:v>94296</c:v>
                </c:pt>
                <c:pt idx="53">
                  <c:v>96977</c:v>
                </c:pt>
                <c:pt idx="54">
                  <c:v>100556</c:v>
                </c:pt>
                <c:pt idx="55">
                  <c:v>104089</c:v>
                </c:pt>
                <c:pt idx="56">
                  <c:v>108849</c:v>
                </c:pt>
                <c:pt idx="57">
                  <c:v>114074</c:v>
                </c:pt>
                <c:pt idx="58">
                  <c:v>119586</c:v>
                </c:pt>
                <c:pt idx="59">
                  <c:v>123616</c:v>
                </c:pt>
                <c:pt idx="60">
                  <c:v>127375</c:v>
                </c:pt>
                <c:pt idx="61">
                  <c:v>127899</c:v>
                </c:pt>
                <c:pt idx="62">
                  <c:v>134261</c:v>
                </c:pt>
                <c:pt idx="63">
                  <c:v>135318</c:v>
                </c:pt>
                <c:pt idx="64">
                  <c:v>137581</c:v>
                </c:pt>
                <c:pt idx="65">
                  <c:v>139250</c:v>
                </c:pt>
                <c:pt idx="66">
                  <c:v>140301</c:v>
                </c:pt>
                <c:pt idx="67">
                  <c:v>142048</c:v>
                </c:pt>
                <c:pt idx="68">
                  <c:v>142683</c:v>
                </c:pt>
                <c:pt idx="69">
                  <c:v>143655</c:v>
                </c:pt>
                <c:pt idx="70">
                  <c:v>145089</c:v>
                </c:pt>
                <c:pt idx="71">
                  <c:v>145957</c:v>
                </c:pt>
                <c:pt idx="72">
                  <c:v>146938</c:v>
                </c:pt>
                <c:pt idx="73">
                  <c:v>147397</c:v>
                </c:pt>
                <c:pt idx="74">
                  <c:v>147499</c:v>
                </c:pt>
                <c:pt idx="75">
                  <c:v>148038</c:v>
                </c:pt>
                <c:pt idx="76">
                  <c:v>148748</c:v>
                </c:pt>
                <c:pt idx="77">
                  <c:v>149158</c:v>
                </c:pt>
                <c:pt idx="78">
                  <c:v>149378</c:v>
                </c:pt>
                <c:pt idx="79">
                  <c:v>149853</c:v>
                </c:pt>
                <c:pt idx="80">
                  <c:v>150582</c:v>
                </c:pt>
                <c:pt idx="81">
                  <c:v>151358</c:v>
                </c:pt>
                <c:pt idx="82">
                  <c:v>152134</c:v>
                </c:pt>
                <c:pt idx="83">
                  <c:v>152609</c:v>
                </c:pt>
                <c:pt idx="84">
                  <c:v>153406</c:v>
                </c:pt>
                <c:pt idx="85">
                  <c:v>153406</c:v>
                </c:pt>
                <c:pt idx="86">
                  <c:v>153406</c:v>
                </c:pt>
                <c:pt idx="87">
                  <c:v>153406</c:v>
                </c:pt>
                <c:pt idx="88">
                  <c:v>153406</c:v>
                </c:pt>
                <c:pt idx="89">
                  <c:v>153406</c:v>
                </c:pt>
                <c:pt idx="90">
                  <c:v>153406</c:v>
                </c:pt>
                <c:pt idx="91">
                  <c:v>153406</c:v>
                </c:pt>
                <c:pt idx="92">
                  <c:v>153406</c:v>
                </c:pt>
                <c:pt idx="93">
                  <c:v>153406</c:v>
                </c:pt>
                <c:pt idx="94">
                  <c:v>153406</c:v>
                </c:pt>
                <c:pt idx="95">
                  <c:v>153406</c:v>
                </c:pt>
                <c:pt idx="96">
                  <c:v>153406</c:v>
                </c:pt>
                <c:pt idx="97">
                  <c:v>153406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3C-4489-B180-0E63734ACACC}"/>
            </c:ext>
          </c:extLst>
        </c:ser>
        <c:ser>
          <c:idx val="16"/>
          <c:order val="16"/>
          <c:tx>
            <c:v>2024</c:v>
          </c:tx>
          <c:spPr>
            <a:ln w="28575" cap="rnd" cmpd="sng" algn="ctr">
              <a:solidFill>
                <a:schemeClr val="accent4">
                  <a:lumMod val="5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HistData!$EQ$5:$EQ$102</c:f>
              <c:numCache>
                <c:formatCode>#,##0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</c:v>
                </c:pt>
                <c:pt idx="4">
                  <c:v>7</c:v>
                </c:pt>
                <c:pt idx="5">
                  <c:v>10</c:v>
                </c:pt>
                <c:pt idx="6">
                  <c:v>335</c:v>
                </c:pt>
                <c:pt idx="7">
                  <c:v>1754</c:v>
                </c:pt>
                <c:pt idx="8">
                  <c:v>1791</c:v>
                </c:pt>
                <c:pt idx="9">
                  <c:v>2858</c:v>
                </c:pt>
                <c:pt idx="10">
                  <c:v>4385</c:v>
                </c:pt>
                <c:pt idx="11">
                  <c:v>4430</c:v>
                </c:pt>
                <c:pt idx="12">
                  <c:v>4505</c:v>
                </c:pt>
                <c:pt idx="13">
                  <c:v>5347</c:v>
                </c:pt>
                <c:pt idx="14">
                  <c:v>5554</c:v>
                </c:pt>
                <c:pt idx="15">
                  <c:v>6663</c:v>
                </c:pt>
                <c:pt idx="16">
                  <c:v>8008</c:v>
                </c:pt>
                <c:pt idx="17">
                  <c:v>9398</c:v>
                </c:pt>
                <c:pt idx="18">
                  <c:v>10738</c:v>
                </c:pt>
                <c:pt idx="19">
                  <c:v>14343</c:v>
                </c:pt>
                <c:pt idx="20">
                  <c:v>17954</c:v>
                </c:pt>
                <c:pt idx="21">
                  <c:v>18930</c:v>
                </c:pt>
                <c:pt idx="22">
                  <c:v>19811</c:v>
                </c:pt>
                <c:pt idx="23">
                  <c:v>22786</c:v>
                </c:pt>
                <c:pt idx="24">
                  <c:v>23250</c:v>
                </c:pt>
                <c:pt idx="25">
                  <c:v>23475</c:v>
                </c:pt>
                <c:pt idx="26">
                  <c:v>26690</c:v>
                </c:pt>
                <c:pt idx="27">
                  <c:v>30403</c:v>
                </c:pt>
                <c:pt idx="28">
                  <c:v>44847</c:v>
                </c:pt>
                <c:pt idx="29">
                  <c:v>48344</c:v>
                </c:pt>
                <c:pt idx="30">
                  <c:v>57675</c:v>
                </c:pt>
                <c:pt idx="31">
                  <c:v>66813</c:v>
                </c:pt>
                <c:pt idx="32">
                  <c:v>77008</c:v>
                </c:pt>
                <c:pt idx="33">
                  <c:v>83346</c:v>
                </c:pt>
                <c:pt idx="34">
                  <c:v>84725</c:v>
                </c:pt>
                <c:pt idx="35">
                  <c:v>88951</c:v>
                </c:pt>
                <c:pt idx="36">
                  <c:v>91663</c:v>
                </c:pt>
                <c:pt idx="37">
                  <c:v>95724</c:v>
                </c:pt>
                <c:pt idx="38">
                  <c:v>101512</c:v>
                </c:pt>
                <c:pt idx="39">
                  <c:v>105148</c:v>
                </c:pt>
                <c:pt idx="40">
                  <c:v>105687</c:v>
                </c:pt>
                <c:pt idx="41">
                  <c:v>106086</c:v>
                </c:pt>
                <c:pt idx="42">
                  <c:v>109782</c:v>
                </c:pt>
                <c:pt idx="43">
                  <c:v>112501</c:v>
                </c:pt>
                <c:pt idx="44">
                  <c:v>113678</c:v>
                </c:pt>
                <c:pt idx="45">
                  <c:v>117263</c:v>
                </c:pt>
                <c:pt idx="46">
                  <c:v>124085</c:v>
                </c:pt>
                <c:pt idx="47">
                  <c:v>132655</c:v>
                </c:pt>
                <c:pt idx="48">
                  <c:v>136763</c:v>
                </c:pt>
                <c:pt idx="49">
                  <c:v>142397</c:v>
                </c:pt>
                <c:pt idx="50">
                  <c:v>147281</c:v>
                </c:pt>
                <c:pt idx="51">
                  <c:v>150908</c:v>
                </c:pt>
                <c:pt idx="52">
                  <c:v>160563</c:v>
                </c:pt>
                <c:pt idx="53">
                  <c:v>162571</c:v>
                </c:pt>
                <c:pt idx="54">
                  <c:v>164806</c:v>
                </c:pt>
                <c:pt idx="55">
                  <c:v>167537</c:v>
                </c:pt>
                <c:pt idx="56">
                  <c:v>173602</c:v>
                </c:pt>
                <c:pt idx="57">
                  <c:v>177651</c:v>
                </c:pt>
                <c:pt idx="58">
                  <c:v>185469</c:v>
                </c:pt>
                <c:pt idx="59">
                  <c:v>189087</c:v>
                </c:pt>
                <c:pt idx="60">
                  <c:v>189087</c:v>
                </c:pt>
                <c:pt idx="61">
                  <c:v>195690</c:v>
                </c:pt>
                <c:pt idx="62">
                  <c:v>199004</c:v>
                </c:pt>
                <c:pt idx="63">
                  <c:v>201802</c:v>
                </c:pt>
                <c:pt idx="64">
                  <c:v>203406</c:v>
                </c:pt>
                <c:pt idx="65">
                  <c:v>204885</c:v>
                </c:pt>
                <c:pt idx="66">
                  <c:v>205196</c:v>
                </c:pt>
                <c:pt idx="67">
                  <c:v>205328</c:v>
                </c:pt>
                <c:pt idx="68">
                  <c:v>206415</c:v>
                </c:pt>
                <c:pt idx="69">
                  <c:v>207764</c:v>
                </c:pt>
                <c:pt idx="70">
                  <c:v>208352</c:v>
                </c:pt>
                <c:pt idx="71">
                  <c:v>209355</c:v>
                </c:pt>
                <c:pt idx="72">
                  <c:v>210164</c:v>
                </c:pt>
                <c:pt idx="73">
                  <c:v>210253</c:v>
                </c:pt>
                <c:pt idx="74">
                  <c:v>210253</c:v>
                </c:pt>
                <c:pt idx="75">
                  <c:v>210253</c:v>
                </c:pt>
                <c:pt idx="76">
                  <c:v>210261</c:v>
                </c:pt>
                <c:pt idx="77">
                  <c:v>210277</c:v>
                </c:pt>
                <c:pt idx="78">
                  <c:v>210303</c:v>
                </c:pt>
                <c:pt idx="79">
                  <c:v>210303</c:v>
                </c:pt>
                <c:pt idx="80">
                  <c:v>210303</c:v>
                </c:pt>
                <c:pt idx="81">
                  <c:v>210303</c:v>
                </c:pt>
                <c:pt idx="82">
                  <c:v>210303</c:v>
                </c:pt>
                <c:pt idx="83">
                  <c:v>210303</c:v>
                </c:pt>
                <c:pt idx="84">
                  <c:v>210303</c:v>
                </c:pt>
                <c:pt idx="85">
                  <c:v>210303</c:v>
                </c:pt>
                <c:pt idx="86">
                  <c:v>210303</c:v>
                </c:pt>
                <c:pt idx="87">
                  <c:v>210303</c:v>
                </c:pt>
                <c:pt idx="88">
                  <c:v>210303</c:v>
                </c:pt>
                <c:pt idx="89">
                  <c:v>210303</c:v>
                </c:pt>
                <c:pt idx="90">
                  <c:v>210303</c:v>
                </c:pt>
                <c:pt idx="91">
                  <c:v>210303</c:v>
                </c:pt>
                <c:pt idx="92">
                  <c:v>210303</c:v>
                </c:pt>
                <c:pt idx="93">
                  <c:v>210303</c:v>
                </c:pt>
                <c:pt idx="94">
                  <c:v>210303</c:v>
                </c:pt>
                <c:pt idx="95">
                  <c:v>210303</c:v>
                </c:pt>
                <c:pt idx="96">
                  <c:v>210303</c:v>
                </c:pt>
                <c:pt idx="97">
                  <c:v>210303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43-4F37-9428-3C8CF7954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094400"/>
        <c:axId val="109095936"/>
        <c:extLst>
          <c:ext xmlns:c15="http://schemas.microsoft.com/office/drawing/2012/chart" uri="{02D57815-91ED-43cb-92C2-25804820EDAC}">
            <c15:filteredLineSeries>
              <c15:ser>
                <c:idx val="7"/>
                <c:order val="0"/>
                <c:tx>
                  <c:v>2009</c:v>
                </c:tx>
                <c:spPr>
                  <a:ln w="28575" cap="rnd" cmpd="sng" algn="ctr">
                    <a:solidFill>
                      <a:schemeClr val="accent4">
                        <a:lumMod val="80000"/>
                        <a:lumOff val="2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HistData!$EB$5:$EB$102</c15:sqref>
                        </c15:formulaRef>
                      </c:ext>
                    </c:extLst>
                    <c:numCache>
                      <c:formatCode>#,##0</c:formatCode>
                      <c:ptCount val="9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9</c:v>
                      </c:pt>
                      <c:pt idx="10">
                        <c:v>16</c:v>
                      </c:pt>
                      <c:pt idx="11">
                        <c:v>16</c:v>
                      </c:pt>
                      <c:pt idx="12">
                        <c:v>28</c:v>
                      </c:pt>
                      <c:pt idx="13">
                        <c:v>80</c:v>
                      </c:pt>
                      <c:pt idx="14">
                        <c:v>94</c:v>
                      </c:pt>
                      <c:pt idx="15">
                        <c:v>94</c:v>
                      </c:pt>
                      <c:pt idx="16">
                        <c:v>96</c:v>
                      </c:pt>
                      <c:pt idx="17">
                        <c:v>97</c:v>
                      </c:pt>
                      <c:pt idx="18">
                        <c:v>114</c:v>
                      </c:pt>
                      <c:pt idx="19">
                        <c:v>114</c:v>
                      </c:pt>
                      <c:pt idx="20">
                        <c:v>125</c:v>
                      </c:pt>
                      <c:pt idx="21">
                        <c:v>127</c:v>
                      </c:pt>
                      <c:pt idx="22">
                        <c:v>172</c:v>
                      </c:pt>
                      <c:pt idx="23">
                        <c:v>175</c:v>
                      </c:pt>
                      <c:pt idx="24">
                        <c:v>204</c:v>
                      </c:pt>
                      <c:pt idx="25">
                        <c:v>227</c:v>
                      </c:pt>
                      <c:pt idx="26">
                        <c:v>639</c:v>
                      </c:pt>
                      <c:pt idx="27">
                        <c:v>971</c:v>
                      </c:pt>
                      <c:pt idx="28">
                        <c:v>1337</c:v>
                      </c:pt>
                      <c:pt idx="29">
                        <c:v>2692</c:v>
                      </c:pt>
                      <c:pt idx="30">
                        <c:v>3107</c:v>
                      </c:pt>
                      <c:pt idx="31">
                        <c:v>3304</c:v>
                      </c:pt>
                      <c:pt idx="32">
                        <c:v>3887</c:v>
                      </c:pt>
                      <c:pt idx="33">
                        <c:v>4151</c:v>
                      </c:pt>
                      <c:pt idx="34">
                        <c:v>4155</c:v>
                      </c:pt>
                      <c:pt idx="35">
                        <c:v>4523</c:v>
                      </c:pt>
                      <c:pt idx="36">
                        <c:v>4558</c:v>
                      </c:pt>
                      <c:pt idx="37">
                        <c:v>4878</c:v>
                      </c:pt>
                      <c:pt idx="38">
                        <c:v>5650</c:v>
                      </c:pt>
                      <c:pt idx="39">
                        <c:v>5673</c:v>
                      </c:pt>
                      <c:pt idx="40">
                        <c:v>5823</c:v>
                      </c:pt>
                      <c:pt idx="41">
                        <c:v>6078</c:v>
                      </c:pt>
                      <c:pt idx="42">
                        <c:v>6408</c:v>
                      </c:pt>
                      <c:pt idx="43">
                        <c:v>6716</c:v>
                      </c:pt>
                      <c:pt idx="44">
                        <c:v>6884</c:v>
                      </c:pt>
                      <c:pt idx="45">
                        <c:v>6949</c:v>
                      </c:pt>
                      <c:pt idx="46">
                        <c:v>6958</c:v>
                      </c:pt>
                      <c:pt idx="47">
                        <c:v>7109</c:v>
                      </c:pt>
                      <c:pt idx="48">
                        <c:v>7403</c:v>
                      </c:pt>
                      <c:pt idx="49">
                        <c:v>7787</c:v>
                      </c:pt>
                      <c:pt idx="50">
                        <c:v>8119</c:v>
                      </c:pt>
                      <c:pt idx="51">
                        <c:v>8301</c:v>
                      </c:pt>
                      <c:pt idx="52">
                        <c:v>8339</c:v>
                      </c:pt>
                      <c:pt idx="53">
                        <c:v>8927</c:v>
                      </c:pt>
                      <c:pt idx="54">
                        <c:v>8981</c:v>
                      </c:pt>
                      <c:pt idx="55">
                        <c:v>9270</c:v>
                      </c:pt>
                      <c:pt idx="56">
                        <c:v>9389</c:v>
                      </c:pt>
                      <c:pt idx="57">
                        <c:v>9483</c:v>
                      </c:pt>
                      <c:pt idx="58">
                        <c:v>9631</c:v>
                      </c:pt>
                      <c:pt idx="59">
                        <c:v>10421</c:v>
                      </c:pt>
                      <c:pt idx="60">
                        <c:v>10428</c:v>
                      </c:pt>
                      <c:pt idx="61">
                        <c:v>10429</c:v>
                      </c:pt>
                      <c:pt idx="62">
                        <c:v>10477</c:v>
                      </c:pt>
                      <c:pt idx="63">
                        <c:v>10538</c:v>
                      </c:pt>
                      <c:pt idx="64">
                        <c:v>10639</c:v>
                      </c:pt>
                      <c:pt idx="65">
                        <c:v>10734</c:v>
                      </c:pt>
                      <c:pt idx="66">
                        <c:v>11158</c:v>
                      </c:pt>
                      <c:pt idx="67">
                        <c:v>11168</c:v>
                      </c:pt>
                      <c:pt idx="68">
                        <c:v>11443</c:v>
                      </c:pt>
                      <c:pt idx="69">
                        <c:v>11700</c:v>
                      </c:pt>
                      <c:pt idx="70">
                        <c:v>11880</c:v>
                      </c:pt>
                      <c:pt idx="71">
                        <c:v>11967</c:v>
                      </c:pt>
                      <c:pt idx="72">
                        <c:v>11990</c:v>
                      </c:pt>
                      <c:pt idx="73">
                        <c:v>12024</c:v>
                      </c:pt>
                      <c:pt idx="74">
                        <c:v>12057</c:v>
                      </c:pt>
                      <c:pt idx="75">
                        <c:v>12063</c:v>
                      </c:pt>
                      <c:pt idx="76">
                        <c:v>12102</c:v>
                      </c:pt>
                      <c:pt idx="77">
                        <c:v>12190</c:v>
                      </c:pt>
                      <c:pt idx="78">
                        <c:v>12190</c:v>
                      </c:pt>
                      <c:pt idx="79">
                        <c:v>12230</c:v>
                      </c:pt>
                      <c:pt idx="80">
                        <c:v>12245</c:v>
                      </c:pt>
                      <c:pt idx="81">
                        <c:v>12251</c:v>
                      </c:pt>
                      <c:pt idx="82">
                        <c:v>12292</c:v>
                      </c:pt>
                      <c:pt idx="83">
                        <c:v>12355</c:v>
                      </c:pt>
                      <c:pt idx="84">
                        <c:v>12423</c:v>
                      </c:pt>
                      <c:pt idx="85">
                        <c:v>12435</c:v>
                      </c:pt>
                      <c:pt idx="86">
                        <c:v>12448</c:v>
                      </c:pt>
                      <c:pt idx="87">
                        <c:v>12465</c:v>
                      </c:pt>
                      <c:pt idx="88">
                        <c:v>12496</c:v>
                      </c:pt>
                      <c:pt idx="89">
                        <c:v>12503</c:v>
                      </c:pt>
                      <c:pt idx="90">
                        <c:v>12503</c:v>
                      </c:pt>
                      <c:pt idx="91">
                        <c:v>12503</c:v>
                      </c:pt>
                      <c:pt idx="92">
                        <c:v>12503</c:v>
                      </c:pt>
                      <c:pt idx="93">
                        <c:v>12503</c:v>
                      </c:pt>
                      <c:pt idx="94">
                        <c:v>12503</c:v>
                      </c:pt>
                      <c:pt idx="95">
                        <c:v>12503</c:v>
                      </c:pt>
                      <c:pt idx="96">
                        <c:v>12503</c:v>
                      </c:pt>
                      <c:pt idx="97">
                        <c:v>12503</c:v>
                      </c:pt>
                    </c:numCache>
                  </c:numRef>
                </c:val>
                <c:smooth val="0"/>
                <c:extLst>
                  <c:ext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HistData!#REF!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2-9E58-48CD-9066-CA558FDC5107}"/>
                  </c:ext>
                </c:extLst>
              </c15:ser>
            </c15:filteredLineSeries>
            <c15:filteredLineSeries>
              <c15:ser>
                <c:idx val="8"/>
                <c:order val="1"/>
                <c:tx>
                  <c:v>2010</c:v>
                </c:tx>
                <c:spPr>
                  <a:ln w="28575" cap="rnd" cmpd="sng" algn="ctr">
                    <a:solidFill>
                      <a:schemeClr val="accent6">
                        <a:lumMod val="80000"/>
                        <a:lumOff val="2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HistData!$EC$5:$EC$102</c15:sqref>
                        </c15:formulaRef>
                      </c:ext>
                    </c:extLst>
                    <c:numCache>
                      <c:formatCode>#,##0</c:formatCode>
                      <c:ptCount val="9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18</c:v>
                      </c:pt>
                      <c:pt idx="13">
                        <c:v>18</c:v>
                      </c:pt>
                      <c:pt idx="14">
                        <c:v>22</c:v>
                      </c:pt>
                      <c:pt idx="15">
                        <c:v>24</c:v>
                      </c:pt>
                      <c:pt idx="16">
                        <c:v>27</c:v>
                      </c:pt>
                      <c:pt idx="17">
                        <c:v>36</c:v>
                      </c:pt>
                      <c:pt idx="18">
                        <c:v>37</c:v>
                      </c:pt>
                      <c:pt idx="19">
                        <c:v>40</c:v>
                      </c:pt>
                      <c:pt idx="20">
                        <c:v>41</c:v>
                      </c:pt>
                      <c:pt idx="21">
                        <c:v>59</c:v>
                      </c:pt>
                      <c:pt idx="22">
                        <c:v>130</c:v>
                      </c:pt>
                      <c:pt idx="23">
                        <c:v>137</c:v>
                      </c:pt>
                      <c:pt idx="24">
                        <c:v>733</c:v>
                      </c:pt>
                      <c:pt idx="25">
                        <c:v>1709</c:v>
                      </c:pt>
                      <c:pt idx="26">
                        <c:v>2382</c:v>
                      </c:pt>
                      <c:pt idx="27">
                        <c:v>2682</c:v>
                      </c:pt>
                      <c:pt idx="28">
                        <c:v>2894</c:v>
                      </c:pt>
                      <c:pt idx="29">
                        <c:v>3077</c:v>
                      </c:pt>
                      <c:pt idx="30">
                        <c:v>3200</c:v>
                      </c:pt>
                      <c:pt idx="31">
                        <c:v>3490</c:v>
                      </c:pt>
                      <c:pt idx="32">
                        <c:v>3957</c:v>
                      </c:pt>
                      <c:pt idx="33">
                        <c:v>4308</c:v>
                      </c:pt>
                      <c:pt idx="34">
                        <c:v>4479</c:v>
                      </c:pt>
                      <c:pt idx="35">
                        <c:v>4801</c:v>
                      </c:pt>
                      <c:pt idx="36">
                        <c:v>4984</c:v>
                      </c:pt>
                      <c:pt idx="37">
                        <c:v>5190</c:v>
                      </c:pt>
                      <c:pt idx="38">
                        <c:v>5522</c:v>
                      </c:pt>
                      <c:pt idx="39">
                        <c:v>5931</c:v>
                      </c:pt>
                      <c:pt idx="40">
                        <c:v>6512</c:v>
                      </c:pt>
                      <c:pt idx="41">
                        <c:v>7140</c:v>
                      </c:pt>
                      <c:pt idx="42">
                        <c:v>8022</c:v>
                      </c:pt>
                      <c:pt idx="43">
                        <c:v>8033</c:v>
                      </c:pt>
                      <c:pt idx="44">
                        <c:v>8033</c:v>
                      </c:pt>
                      <c:pt idx="45">
                        <c:v>9166</c:v>
                      </c:pt>
                      <c:pt idx="46">
                        <c:v>9353</c:v>
                      </c:pt>
                      <c:pt idx="47">
                        <c:v>9542</c:v>
                      </c:pt>
                      <c:pt idx="48">
                        <c:v>10470</c:v>
                      </c:pt>
                      <c:pt idx="49">
                        <c:v>11040</c:v>
                      </c:pt>
                      <c:pt idx="50">
                        <c:v>11160</c:v>
                      </c:pt>
                      <c:pt idx="51">
                        <c:v>11324</c:v>
                      </c:pt>
                      <c:pt idx="52">
                        <c:v>11585</c:v>
                      </c:pt>
                      <c:pt idx="53">
                        <c:v>11694</c:v>
                      </c:pt>
                      <c:pt idx="54">
                        <c:v>11822</c:v>
                      </c:pt>
                      <c:pt idx="55">
                        <c:v>12087</c:v>
                      </c:pt>
                      <c:pt idx="56">
                        <c:v>12245</c:v>
                      </c:pt>
                      <c:pt idx="57">
                        <c:v>13234</c:v>
                      </c:pt>
                      <c:pt idx="58">
                        <c:v>13275</c:v>
                      </c:pt>
                      <c:pt idx="59">
                        <c:v>13339</c:v>
                      </c:pt>
                      <c:pt idx="60">
                        <c:v>13461</c:v>
                      </c:pt>
                      <c:pt idx="61">
                        <c:v>13658</c:v>
                      </c:pt>
                      <c:pt idx="62">
                        <c:v>13805</c:v>
                      </c:pt>
                      <c:pt idx="63">
                        <c:v>13842</c:v>
                      </c:pt>
                      <c:pt idx="64">
                        <c:v>13889</c:v>
                      </c:pt>
                      <c:pt idx="65">
                        <c:v>13936</c:v>
                      </c:pt>
                      <c:pt idx="66">
                        <c:v>13955</c:v>
                      </c:pt>
                      <c:pt idx="67">
                        <c:v>14346</c:v>
                      </c:pt>
                      <c:pt idx="68">
                        <c:v>14351</c:v>
                      </c:pt>
                      <c:pt idx="69">
                        <c:v>15435</c:v>
                      </c:pt>
                      <c:pt idx="70">
                        <c:v>15823</c:v>
                      </c:pt>
                      <c:pt idx="71">
                        <c:v>15905</c:v>
                      </c:pt>
                      <c:pt idx="72">
                        <c:v>15934</c:v>
                      </c:pt>
                      <c:pt idx="73">
                        <c:v>16005</c:v>
                      </c:pt>
                      <c:pt idx="74">
                        <c:v>16164</c:v>
                      </c:pt>
                      <c:pt idx="75">
                        <c:v>16266</c:v>
                      </c:pt>
                      <c:pt idx="76">
                        <c:v>16319</c:v>
                      </c:pt>
                      <c:pt idx="77">
                        <c:v>16373</c:v>
                      </c:pt>
                      <c:pt idx="78">
                        <c:v>16442</c:v>
                      </c:pt>
                      <c:pt idx="79">
                        <c:v>16496</c:v>
                      </c:pt>
                      <c:pt idx="80">
                        <c:v>16555</c:v>
                      </c:pt>
                      <c:pt idx="81">
                        <c:v>16635</c:v>
                      </c:pt>
                      <c:pt idx="82">
                        <c:v>16653</c:v>
                      </c:pt>
                      <c:pt idx="83">
                        <c:v>16690</c:v>
                      </c:pt>
                      <c:pt idx="84">
                        <c:v>16848</c:v>
                      </c:pt>
                      <c:pt idx="85">
                        <c:v>16914</c:v>
                      </c:pt>
                      <c:pt idx="86">
                        <c:v>16938</c:v>
                      </c:pt>
                      <c:pt idx="87">
                        <c:v>16950</c:v>
                      </c:pt>
                      <c:pt idx="88">
                        <c:v>17030</c:v>
                      </c:pt>
                      <c:pt idx="89">
                        <c:v>17030</c:v>
                      </c:pt>
                      <c:pt idx="90">
                        <c:v>17030</c:v>
                      </c:pt>
                      <c:pt idx="91">
                        <c:v>17030</c:v>
                      </c:pt>
                      <c:pt idx="92">
                        <c:v>17030</c:v>
                      </c:pt>
                      <c:pt idx="93">
                        <c:v>17030</c:v>
                      </c:pt>
                      <c:pt idx="94">
                        <c:v>17030</c:v>
                      </c:pt>
                      <c:pt idx="95">
                        <c:v>17030</c:v>
                      </c:pt>
                      <c:pt idx="96">
                        <c:v>17030</c:v>
                      </c:pt>
                      <c:pt idx="97">
                        <c:v>17030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HistData!#REF!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3-9E58-48CD-9066-CA558FDC5107}"/>
                  </c:ext>
                </c:extLst>
              </c15:ser>
            </c15:filteredLineSeries>
            <c15:filteredLineSeries>
              <c15:ser>
                <c:idx val="9"/>
                <c:order val="2"/>
                <c:tx>
                  <c:v>2011</c:v>
                </c:tx>
                <c:spPr>
                  <a:ln w="28575" cap="rnd" cmpd="sng" algn="ctr">
                    <a:solidFill>
                      <a:schemeClr val="accent2">
                        <a:lumMod val="8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HistData!$ED$5:$ED$102</c15:sqref>
                        </c15:formulaRef>
                      </c:ext>
                    </c:extLst>
                    <c:numCache>
                      <c:formatCode>#,##0</c:formatCode>
                      <c:ptCount val="9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12</c:v>
                      </c:pt>
                      <c:pt idx="10">
                        <c:v>12</c:v>
                      </c:pt>
                      <c:pt idx="11">
                        <c:v>12</c:v>
                      </c:pt>
                      <c:pt idx="12">
                        <c:v>12</c:v>
                      </c:pt>
                      <c:pt idx="13">
                        <c:v>12</c:v>
                      </c:pt>
                      <c:pt idx="14">
                        <c:v>12</c:v>
                      </c:pt>
                      <c:pt idx="15">
                        <c:v>31</c:v>
                      </c:pt>
                      <c:pt idx="16">
                        <c:v>67</c:v>
                      </c:pt>
                      <c:pt idx="17">
                        <c:v>67</c:v>
                      </c:pt>
                      <c:pt idx="18">
                        <c:v>67</c:v>
                      </c:pt>
                      <c:pt idx="19">
                        <c:v>109</c:v>
                      </c:pt>
                      <c:pt idx="20">
                        <c:v>119</c:v>
                      </c:pt>
                      <c:pt idx="21">
                        <c:v>211</c:v>
                      </c:pt>
                      <c:pt idx="22">
                        <c:v>230</c:v>
                      </c:pt>
                      <c:pt idx="23">
                        <c:v>268</c:v>
                      </c:pt>
                      <c:pt idx="24">
                        <c:v>274</c:v>
                      </c:pt>
                      <c:pt idx="25">
                        <c:v>296</c:v>
                      </c:pt>
                      <c:pt idx="26">
                        <c:v>297</c:v>
                      </c:pt>
                      <c:pt idx="27">
                        <c:v>331</c:v>
                      </c:pt>
                      <c:pt idx="28">
                        <c:v>333</c:v>
                      </c:pt>
                      <c:pt idx="29">
                        <c:v>467</c:v>
                      </c:pt>
                      <c:pt idx="30">
                        <c:v>586</c:v>
                      </c:pt>
                      <c:pt idx="31">
                        <c:v>853</c:v>
                      </c:pt>
                      <c:pt idx="32">
                        <c:v>1066</c:v>
                      </c:pt>
                      <c:pt idx="33">
                        <c:v>1202</c:v>
                      </c:pt>
                      <c:pt idx="34">
                        <c:v>1602</c:v>
                      </c:pt>
                      <c:pt idx="35">
                        <c:v>1812</c:v>
                      </c:pt>
                      <c:pt idx="36">
                        <c:v>2991</c:v>
                      </c:pt>
                      <c:pt idx="37">
                        <c:v>3356</c:v>
                      </c:pt>
                      <c:pt idx="38">
                        <c:v>3660</c:v>
                      </c:pt>
                      <c:pt idx="39">
                        <c:v>3758</c:v>
                      </c:pt>
                      <c:pt idx="40">
                        <c:v>4242</c:v>
                      </c:pt>
                      <c:pt idx="41">
                        <c:v>5273</c:v>
                      </c:pt>
                      <c:pt idx="42">
                        <c:v>5657</c:v>
                      </c:pt>
                      <c:pt idx="43">
                        <c:v>6303</c:v>
                      </c:pt>
                      <c:pt idx="44">
                        <c:v>7266</c:v>
                      </c:pt>
                      <c:pt idx="45">
                        <c:v>8905</c:v>
                      </c:pt>
                      <c:pt idx="46">
                        <c:v>9306</c:v>
                      </c:pt>
                      <c:pt idx="47">
                        <c:v>9621</c:v>
                      </c:pt>
                      <c:pt idx="48">
                        <c:v>10866</c:v>
                      </c:pt>
                      <c:pt idx="49">
                        <c:v>11446</c:v>
                      </c:pt>
                      <c:pt idx="50">
                        <c:v>12073</c:v>
                      </c:pt>
                      <c:pt idx="51">
                        <c:v>12431</c:v>
                      </c:pt>
                      <c:pt idx="52">
                        <c:v>12656</c:v>
                      </c:pt>
                      <c:pt idx="53">
                        <c:v>12779</c:v>
                      </c:pt>
                      <c:pt idx="54">
                        <c:v>13163</c:v>
                      </c:pt>
                      <c:pt idx="55">
                        <c:v>13509</c:v>
                      </c:pt>
                      <c:pt idx="56">
                        <c:v>13746</c:v>
                      </c:pt>
                      <c:pt idx="57">
                        <c:v>14235</c:v>
                      </c:pt>
                      <c:pt idx="58">
                        <c:v>14470</c:v>
                      </c:pt>
                      <c:pt idx="59">
                        <c:v>15186</c:v>
                      </c:pt>
                      <c:pt idx="60">
                        <c:v>15396</c:v>
                      </c:pt>
                      <c:pt idx="61">
                        <c:v>15486</c:v>
                      </c:pt>
                      <c:pt idx="62">
                        <c:v>16127</c:v>
                      </c:pt>
                      <c:pt idx="63">
                        <c:v>16412</c:v>
                      </c:pt>
                      <c:pt idx="64">
                        <c:v>16467</c:v>
                      </c:pt>
                      <c:pt idx="65">
                        <c:v>17298</c:v>
                      </c:pt>
                      <c:pt idx="66">
                        <c:v>18149</c:v>
                      </c:pt>
                      <c:pt idx="67">
                        <c:v>19322</c:v>
                      </c:pt>
                      <c:pt idx="68">
                        <c:v>20156</c:v>
                      </c:pt>
                      <c:pt idx="69">
                        <c:v>20889</c:v>
                      </c:pt>
                      <c:pt idx="70">
                        <c:v>21038</c:v>
                      </c:pt>
                      <c:pt idx="71">
                        <c:v>21237.525284774951</c:v>
                      </c:pt>
                      <c:pt idx="72">
                        <c:v>21439.976947716899</c:v>
                      </c:pt>
                      <c:pt idx="73">
                        <c:v>21640.76460656376</c:v>
                      </c:pt>
                      <c:pt idx="74">
                        <c:v>21792.115739448032</c:v>
                      </c:pt>
                      <c:pt idx="75">
                        <c:v>21922.20627986913</c:v>
                      </c:pt>
                      <c:pt idx="76">
                        <c:v>21930.20627986913</c:v>
                      </c:pt>
                      <c:pt idx="77">
                        <c:v>21952.20627986913</c:v>
                      </c:pt>
                      <c:pt idx="78">
                        <c:v>22063.20627986913</c:v>
                      </c:pt>
                      <c:pt idx="79">
                        <c:v>22137.20627986913</c:v>
                      </c:pt>
                      <c:pt idx="80">
                        <c:v>22175.20627986913</c:v>
                      </c:pt>
                      <c:pt idx="81">
                        <c:v>22228.20627986913</c:v>
                      </c:pt>
                      <c:pt idx="82">
                        <c:v>22324.20627986913</c:v>
                      </c:pt>
                      <c:pt idx="83">
                        <c:v>22370.20627986913</c:v>
                      </c:pt>
                      <c:pt idx="84">
                        <c:v>22383.20627986913</c:v>
                      </c:pt>
                      <c:pt idx="85">
                        <c:v>22459.20627986913</c:v>
                      </c:pt>
                      <c:pt idx="86">
                        <c:v>22515.20627986913</c:v>
                      </c:pt>
                      <c:pt idx="87">
                        <c:v>22529.20627986913</c:v>
                      </c:pt>
                      <c:pt idx="88">
                        <c:v>22529.20627986913</c:v>
                      </c:pt>
                      <c:pt idx="89">
                        <c:v>22529.20627986913</c:v>
                      </c:pt>
                      <c:pt idx="90">
                        <c:v>22529.20627986913</c:v>
                      </c:pt>
                      <c:pt idx="91">
                        <c:v>22529.20627986913</c:v>
                      </c:pt>
                      <c:pt idx="92">
                        <c:v>22529.20627986913</c:v>
                      </c:pt>
                      <c:pt idx="93">
                        <c:v>22529.20627986913</c:v>
                      </c:pt>
                      <c:pt idx="94">
                        <c:v>22529.20627986913</c:v>
                      </c:pt>
                      <c:pt idx="95">
                        <c:v>22529.20627986913</c:v>
                      </c:pt>
                      <c:pt idx="96">
                        <c:v>22529.20627986913</c:v>
                      </c:pt>
                      <c:pt idx="97">
                        <c:v>22529.20627986913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HistData!#REF!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4-9E58-48CD-9066-CA558FDC5107}"/>
                  </c:ext>
                </c:extLst>
              </c15:ser>
            </c15:filteredLineSeries>
            <c15:filteredLineSeries>
              <c15:ser>
                <c:idx val="10"/>
                <c:order val="3"/>
                <c:tx>
                  <c:v>2012</c:v>
                </c:tx>
                <c:spPr>
                  <a:ln w="28575" cap="rnd" cmpd="sng" algn="ctr">
                    <a:solidFill>
                      <a:schemeClr val="accent4">
                        <a:lumMod val="8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HistData!$EE$5:$EE$102</c15:sqref>
                        </c15:formulaRef>
                      </c:ext>
                    </c:extLst>
                    <c:numCache>
                      <c:formatCode>#,##0</c:formatCode>
                      <c:ptCount val="9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</c:v>
                      </c:pt>
                      <c:pt idx="12">
                        <c:v>122</c:v>
                      </c:pt>
                      <c:pt idx="13">
                        <c:v>187</c:v>
                      </c:pt>
                      <c:pt idx="14">
                        <c:v>253</c:v>
                      </c:pt>
                      <c:pt idx="15">
                        <c:v>294</c:v>
                      </c:pt>
                      <c:pt idx="16">
                        <c:v>353</c:v>
                      </c:pt>
                      <c:pt idx="17">
                        <c:v>875</c:v>
                      </c:pt>
                      <c:pt idx="18">
                        <c:v>1076</c:v>
                      </c:pt>
                      <c:pt idx="19">
                        <c:v>1131</c:v>
                      </c:pt>
                      <c:pt idx="20">
                        <c:v>1707</c:v>
                      </c:pt>
                      <c:pt idx="21">
                        <c:v>2443</c:v>
                      </c:pt>
                      <c:pt idx="22">
                        <c:v>2562</c:v>
                      </c:pt>
                      <c:pt idx="23">
                        <c:v>2706</c:v>
                      </c:pt>
                      <c:pt idx="24">
                        <c:v>2965</c:v>
                      </c:pt>
                      <c:pt idx="25">
                        <c:v>3321</c:v>
                      </c:pt>
                      <c:pt idx="26">
                        <c:v>3359</c:v>
                      </c:pt>
                      <c:pt idx="27">
                        <c:v>3481</c:v>
                      </c:pt>
                      <c:pt idx="28">
                        <c:v>4252</c:v>
                      </c:pt>
                      <c:pt idx="29">
                        <c:v>4750</c:v>
                      </c:pt>
                      <c:pt idx="30">
                        <c:v>5654</c:v>
                      </c:pt>
                      <c:pt idx="31">
                        <c:v>7669</c:v>
                      </c:pt>
                      <c:pt idx="32">
                        <c:v>8592</c:v>
                      </c:pt>
                      <c:pt idx="33">
                        <c:v>9252</c:v>
                      </c:pt>
                      <c:pt idx="34">
                        <c:v>10775</c:v>
                      </c:pt>
                      <c:pt idx="35">
                        <c:v>11275</c:v>
                      </c:pt>
                      <c:pt idx="36">
                        <c:v>11764</c:v>
                      </c:pt>
                      <c:pt idx="37">
                        <c:v>12589</c:v>
                      </c:pt>
                      <c:pt idx="38">
                        <c:v>13773</c:v>
                      </c:pt>
                      <c:pt idx="39">
                        <c:v>14799</c:v>
                      </c:pt>
                      <c:pt idx="40">
                        <c:v>15801</c:v>
                      </c:pt>
                      <c:pt idx="41">
                        <c:v>17811</c:v>
                      </c:pt>
                      <c:pt idx="42">
                        <c:v>19551</c:v>
                      </c:pt>
                      <c:pt idx="43">
                        <c:v>20140</c:v>
                      </c:pt>
                      <c:pt idx="44">
                        <c:v>21094</c:v>
                      </c:pt>
                      <c:pt idx="45">
                        <c:v>22544</c:v>
                      </c:pt>
                      <c:pt idx="46">
                        <c:v>24203</c:v>
                      </c:pt>
                      <c:pt idx="47">
                        <c:v>24721</c:v>
                      </c:pt>
                      <c:pt idx="48">
                        <c:v>26262</c:v>
                      </c:pt>
                      <c:pt idx="49">
                        <c:v>28059</c:v>
                      </c:pt>
                      <c:pt idx="50">
                        <c:v>29166</c:v>
                      </c:pt>
                      <c:pt idx="51">
                        <c:v>29592</c:v>
                      </c:pt>
                      <c:pt idx="52">
                        <c:v>30312</c:v>
                      </c:pt>
                      <c:pt idx="53">
                        <c:v>31590</c:v>
                      </c:pt>
                      <c:pt idx="54">
                        <c:v>32350</c:v>
                      </c:pt>
                      <c:pt idx="55">
                        <c:v>34016</c:v>
                      </c:pt>
                      <c:pt idx="56">
                        <c:v>34203</c:v>
                      </c:pt>
                      <c:pt idx="57">
                        <c:v>35145</c:v>
                      </c:pt>
                      <c:pt idx="58">
                        <c:v>35746</c:v>
                      </c:pt>
                      <c:pt idx="59">
                        <c:v>36052</c:v>
                      </c:pt>
                      <c:pt idx="60">
                        <c:v>36688</c:v>
                      </c:pt>
                      <c:pt idx="61">
                        <c:v>36776</c:v>
                      </c:pt>
                      <c:pt idx="62">
                        <c:v>36885</c:v>
                      </c:pt>
                      <c:pt idx="63">
                        <c:v>36915</c:v>
                      </c:pt>
                      <c:pt idx="64">
                        <c:v>37316</c:v>
                      </c:pt>
                      <c:pt idx="65">
                        <c:v>37447</c:v>
                      </c:pt>
                      <c:pt idx="66">
                        <c:v>37760</c:v>
                      </c:pt>
                      <c:pt idx="67">
                        <c:v>38087</c:v>
                      </c:pt>
                      <c:pt idx="68">
                        <c:v>38191</c:v>
                      </c:pt>
                      <c:pt idx="69">
                        <c:v>38471</c:v>
                      </c:pt>
                      <c:pt idx="70">
                        <c:v>39004</c:v>
                      </c:pt>
                      <c:pt idx="71">
                        <c:v>39206</c:v>
                      </c:pt>
                      <c:pt idx="72">
                        <c:v>39391</c:v>
                      </c:pt>
                      <c:pt idx="73">
                        <c:v>39507</c:v>
                      </c:pt>
                      <c:pt idx="74">
                        <c:v>39658</c:v>
                      </c:pt>
                      <c:pt idx="75">
                        <c:v>39785</c:v>
                      </c:pt>
                      <c:pt idx="76">
                        <c:v>39859</c:v>
                      </c:pt>
                      <c:pt idx="77">
                        <c:v>39964</c:v>
                      </c:pt>
                      <c:pt idx="78">
                        <c:v>39997</c:v>
                      </c:pt>
                      <c:pt idx="79">
                        <c:v>40061</c:v>
                      </c:pt>
                      <c:pt idx="80">
                        <c:v>40097</c:v>
                      </c:pt>
                      <c:pt idx="81">
                        <c:v>40154</c:v>
                      </c:pt>
                      <c:pt idx="82">
                        <c:v>40258</c:v>
                      </c:pt>
                      <c:pt idx="83">
                        <c:v>40262</c:v>
                      </c:pt>
                      <c:pt idx="84">
                        <c:v>40272</c:v>
                      </c:pt>
                      <c:pt idx="85">
                        <c:v>40272</c:v>
                      </c:pt>
                      <c:pt idx="86">
                        <c:v>40272</c:v>
                      </c:pt>
                      <c:pt idx="87">
                        <c:v>40272</c:v>
                      </c:pt>
                      <c:pt idx="88">
                        <c:v>40272</c:v>
                      </c:pt>
                      <c:pt idx="89">
                        <c:v>40272</c:v>
                      </c:pt>
                      <c:pt idx="90">
                        <c:v>40272</c:v>
                      </c:pt>
                      <c:pt idx="91">
                        <c:v>40272</c:v>
                      </c:pt>
                      <c:pt idx="92">
                        <c:v>40272</c:v>
                      </c:pt>
                      <c:pt idx="93">
                        <c:v>40272</c:v>
                      </c:pt>
                      <c:pt idx="94">
                        <c:v>40272</c:v>
                      </c:pt>
                      <c:pt idx="95">
                        <c:v>40272</c:v>
                      </c:pt>
                      <c:pt idx="96">
                        <c:v>40272</c:v>
                      </c:pt>
                      <c:pt idx="97">
                        <c:v>40272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E58-48CD-9066-CA558FDC5107}"/>
                  </c:ext>
                </c:extLst>
              </c15:ser>
            </c15:filteredLineSeries>
            <c15:filteredLineSeries>
              <c15:ser>
                <c:idx val="1"/>
                <c:order val="4"/>
                <c:tx>
                  <c:v>2013</c:v>
                </c:tx>
                <c:spPr>
                  <a:ln w="28575" cap="rnd" cmpd="sng" algn="ctr">
                    <a:solidFill>
                      <a:schemeClr val="accent4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HistData!$EF$5:$EF$102</c15:sqref>
                        </c15:formulaRef>
                      </c:ext>
                    </c:extLst>
                    <c:numCache>
                      <c:formatCode>#,##0</c:formatCode>
                      <c:ptCount val="9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41</c:v>
                      </c:pt>
                      <c:pt idx="5">
                        <c:v>74</c:v>
                      </c:pt>
                      <c:pt idx="6">
                        <c:v>294</c:v>
                      </c:pt>
                      <c:pt idx="7">
                        <c:v>570</c:v>
                      </c:pt>
                      <c:pt idx="8">
                        <c:v>911</c:v>
                      </c:pt>
                      <c:pt idx="9">
                        <c:v>1308</c:v>
                      </c:pt>
                      <c:pt idx="10">
                        <c:v>1401</c:v>
                      </c:pt>
                      <c:pt idx="11">
                        <c:v>2068</c:v>
                      </c:pt>
                      <c:pt idx="12">
                        <c:v>2603</c:v>
                      </c:pt>
                      <c:pt idx="13">
                        <c:v>2695</c:v>
                      </c:pt>
                      <c:pt idx="14">
                        <c:v>3006</c:v>
                      </c:pt>
                      <c:pt idx="15">
                        <c:v>3211</c:v>
                      </c:pt>
                      <c:pt idx="16">
                        <c:v>3748</c:v>
                      </c:pt>
                      <c:pt idx="17">
                        <c:v>4173</c:v>
                      </c:pt>
                      <c:pt idx="18">
                        <c:v>5203</c:v>
                      </c:pt>
                      <c:pt idx="19">
                        <c:v>6751</c:v>
                      </c:pt>
                      <c:pt idx="20">
                        <c:v>7750</c:v>
                      </c:pt>
                      <c:pt idx="21">
                        <c:v>9002</c:v>
                      </c:pt>
                      <c:pt idx="22">
                        <c:v>11061</c:v>
                      </c:pt>
                      <c:pt idx="23">
                        <c:v>12591</c:v>
                      </c:pt>
                      <c:pt idx="24">
                        <c:v>13292</c:v>
                      </c:pt>
                      <c:pt idx="25">
                        <c:v>13430</c:v>
                      </c:pt>
                      <c:pt idx="26">
                        <c:v>14456</c:v>
                      </c:pt>
                      <c:pt idx="27">
                        <c:v>14735</c:v>
                      </c:pt>
                      <c:pt idx="28">
                        <c:v>15652</c:v>
                      </c:pt>
                      <c:pt idx="29">
                        <c:v>16396</c:v>
                      </c:pt>
                      <c:pt idx="30">
                        <c:v>17542</c:v>
                      </c:pt>
                      <c:pt idx="31">
                        <c:v>18334</c:v>
                      </c:pt>
                      <c:pt idx="32">
                        <c:v>18600</c:v>
                      </c:pt>
                      <c:pt idx="33">
                        <c:v>18946</c:v>
                      </c:pt>
                      <c:pt idx="34">
                        <c:v>19135</c:v>
                      </c:pt>
                      <c:pt idx="35">
                        <c:v>20626</c:v>
                      </c:pt>
                      <c:pt idx="36">
                        <c:v>22318</c:v>
                      </c:pt>
                      <c:pt idx="37">
                        <c:v>22728</c:v>
                      </c:pt>
                      <c:pt idx="38">
                        <c:v>23779</c:v>
                      </c:pt>
                      <c:pt idx="39">
                        <c:v>24314</c:v>
                      </c:pt>
                      <c:pt idx="40">
                        <c:v>25467</c:v>
                      </c:pt>
                      <c:pt idx="41">
                        <c:v>26638</c:v>
                      </c:pt>
                      <c:pt idx="42">
                        <c:v>27436</c:v>
                      </c:pt>
                      <c:pt idx="43">
                        <c:v>28079</c:v>
                      </c:pt>
                      <c:pt idx="44">
                        <c:v>30577</c:v>
                      </c:pt>
                      <c:pt idx="45">
                        <c:v>31674</c:v>
                      </c:pt>
                      <c:pt idx="46">
                        <c:v>31984</c:v>
                      </c:pt>
                      <c:pt idx="47">
                        <c:v>32699</c:v>
                      </c:pt>
                      <c:pt idx="48">
                        <c:v>33857</c:v>
                      </c:pt>
                      <c:pt idx="49">
                        <c:v>35674</c:v>
                      </c:pt>
                      <c:pt idx="50">
                        <c:v>36618</c:v>
                      </c:pt>
                      <c:pt idx="51">
                        <c:v>37190</c:v>
                      </c:pt>
                      <c:pt idx="52">
                        <c:v>38253</c:v>
                      </c:pt>
                      <c:pt idx="53">
                        <c:v>39127</c:v>
                      </c:pt>
                      <c:pt idx="54">
                        <c:v>39925</c:v>
                      </c:pt>
                      <c:pt idx="55">
                        <c:v>40328</c:v>
                      </c:pt>
                      <c:pt idx="56">
                        <c:v>41760</c:v>
                      </c:pt>
                      <c:pt idx="57">
                        <c:v>42540</c:v>
                      </c:pt>
                      <c:pt idx="58">
                        <c:v>43104</c:v>
                      </c:pt>
                      <c:pt idx="59">
                        <c:v>43522</c:v>
                      </c:pt>
                      <c:pt idx="60">
                        <c:v>43909</c:v>
                      </c:pt>
                      <c:pt idx="61">
                        <c:v>44450</c:v>
                      </c:pt>
                      <c:pt idx="62">
                        <c:v>44690</c:v>
                      </c:pt>
                      <c:pt idx="63">
                        <c:v>45102</c:v>
                      </c:pt>
                      <c:pt idx="64">
                        <c:v>45522</c:v>
                      </c:pt>
                      <c:pt idx="65">
                        <c:v>45671</c:v>
                      </c:pt>
                      <c:pt idx="66">
                        <c:v>45945</c:v>
                      </c:pt>
                      <c:pt idx="67">
                        <c:v>46164</c:v>
                      </c:pt>
                      <c:pt idx="68">
                        <c:v>46427</c:v>
                      </c:pt>
                      <c:pt idx="69">
                        <c:v>46540</c:v>
                      </c:pt>
                      <c:pt idx="70">
                        <c:v>46872</c:v>
                      </c:pt>
                      <c:pt idx="71">
                        <c:v>46997</c:v>
                      </c:pt>
                      <c:pt idx="72">
                        <c:v>47185</c:v>
                      </c:pt>
                      <c:pt idx="73">
                        <c:v>47348</c:v>
                      </c:pt>
                      <c:pt idx="74">
                        <c:v>47549</c:v>
                      </c:pt>
                      <c:pt idx="75">
                        <c:v>47695</c:v>
                      </c:pt>
                      <c:pt idx="76">
                        <c:v>47808</c:v>
                      </c:pt>
                      <c:pt idx="77">
                        <c:v>47882</c:v>
                      </c:pt>
                      <c:pt idx="78">
                        <c:v>47974</c:v>
                      </c:pt>
                      <c:pt idx="79">
                        <c:v>48023</c:v>
                      </c:pt>
                      <c:pt idx="80">
                        <c:v>48124</c:v>
                      </c:pt>
                      <c:pt idx="81">
                        <c:v>48152</c:v>
                      </c:pt>
                      <c:pt idx="82">
                        <c:v>48214</c:v>
                      </c:pt>
                      <c:pt idx="83">
                        <c:v>48317</c:v>
                      </c:pt>
                      <c:pt idx="84">
                        <c:v>48355</c:v>
                      </c:pt>
                      <c:pt idx="85">
                        <c:v>48355</c:v>
                      </c:pt>
                      <c:pt idx="86">
                        <c:v>48355</c:v>
                      </c:pt>
                      <c:pt idx="87">
                        <c:v>48355</c:v>
                      </c:pt>
                      <c:pt idx="88">
                        <c:v>48355</c:v>
                      </c:pt>
                      <c:pt idx="89">
                        <c:v>48355</c:v>
                      </c:pt>
                      <c:pt idx="90">
                        <c:v>48355</c:v>
                      </c:pt>
                      <c:pt idx="91">
                        <c:v>48355</c:v>
                      </c:pt>
                      <c:pt idx="92">
                        <c:v>48355</c:v>
                      </c:pt>
                      <c:pt idx="93">
                        <c:v>48355</c:v>
                      </c:pt>
                      <c:pt idx="94">
                        <c:v>48355</c:v>
                      </c:pt>
                      <c:pt idx="95">
                        <c:v>48355</c:v>
                      </c:pt>
                      <c:pt idx="96">
                        <c:v>48355</c:v>
                      </c:pt>
                      <c:pt idx="97">
                        <c:v>48355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E58-48CD-9066-CA558FDC5107}"/>
                  </c:ext>
                </c:extLst>
              </c15:ser>
            </c15:filteredLineSeries>
          </c:ext>
        </c:extLst>
      </c:lineChart>
      <c:catAx>
        <c:axId val="109094400"/>
        <c:scaling>
          <c:orientation val="minMax"/>
        </c:scaling>
        <c:delete val="0"/>
        <c:axPos val="b"/>
        <c:numFmt formatCode="dd\-mmm_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95936"/>
        <c:crosses val="autoZero"/>
        <c:auto val="1"/>
        <c:lblAlgn val="ctr"/>
        <c:lblOffset val="100"/>
        <c:noMultiLvlLbl val="1"/>
      </c:catAx>
      <c:valAx>
        <c:axId val="109095936"/>
        <c:scaling>
          <c:orientation val="minMax"/>
        </c:scaling>
        <c:delete val="0"/>
        <c:axPos val="l"/>
        <c:numFmt formatCode="#,##0" sourceLinked="1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9440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Redoubt Lake sockeye salmon escapement estimates 1982–2024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numRef>
              <c:f>Sheet1!$A$3:$A$46</c:f>
              <c:numCache>
                <c:formatCode>General_)</c:formatCode>
                <c:ptCount val="44"/>
                <c:pt idx="0">
                  <c:v>1982</c:v>
                </c:pt>
                <c:pt idx="1">
                  <c:v>1983</c:v>
                </c:pt>
                <c:pt idx="2">
                  <c:v>1984</c:v>
                </c:pt>
                <c:pt idx="3">
                  <c:v>1985</c:v>
                </c:pt>
                <c:pt idx="4">
                  <c:v>1986</c:v>
                </c:pt>
                <c:pt idx="5">
                  <c:v>1987</c:v>
                </c:pt>
                <c:pt idx="6">
                  <c:v>1988</c:v>
                </c:pt>
                <c:pt idx="7">
                  <c:v>1989</c:v>
                </c:pt>
                <c:pt idx="8">
                  <c:v>1990</c:v>
                </c:pt>
                <c:pt idx="9">
                  <c:v>1991</c:v>
                </c:pt>
                <c:pt idx="10">
                  <c:v>1992</c:v>
                </c:pt>
                <c:pt idx="11">
                  <c:v>1993</c:v>
                </c:pt>
                <c:pt idx="12">
                  <c:v>1994</c:v>
                </c:pt>
                <c:pt idx="13">
                  <c:v>1995</c:v>
                </c:pt>
                <c:pt idx="14">
                  <c:v>1996</c:v>
                </c:pt>
                <c:pt idx="15">
                  <c:v>1997</c:v>
                </c:pt>
                <c:pt idx="16">
                  <c:v>1998</c:v>
                </c:pt>
                <c:pt idx="17">
                  <c:v>1999</c:v>
                </c:pt>
                <c:pt idx="18">
                  <c:v>2000</c:v>
                </c:pt>
                <c:pt idx="19">
                  <c:v>2001</c:v>
                </c:pt>
                <c:pt idx="20">
                  <c:v>2002</c:v>
                </c:pt>
                <c:pt idx="21">
                  <c:v>2003</c:v>
                </c:pt>
                <c:pt idx="22">
                  <c:v>2004</c:v>
                </c:pt>
                <c:pt idx="23">
                  <c:v>2005</c:v>
                </c:pt>
                <c:pt idx="24">
                  <c:v>2006</c:v>
                </c:pt>
                <c:pt idx="25">
                  <c:v>2007</c:v>
                </c:pt>
                <c:pt idx="26">
                  <c:v>2008</c:v>
                </c:pt>
                <c:pt idx="27">
                  <c:v>2009</c:v>
                </c:pt>
                <c:pt idx="28">
                  <c:v>2010</c:v>
                </c:pt>
                <c:pt idx="29">
                  <c:v>2011</c:v>
                </c:pt>
                <c:pt idx="30">
                  <c:v>2012</c:v>
                </c:pt>
                <c:pt idx="31">
                  <c:v>2013</c:v>
                </c:pt>
                <c:pt idx="32">
                  <c:v>2014</c:v>
                </c:pt>
                <c:pt idx="33">
                  <c:v>2015</c:v>
                </c:pt>
                <c:pt idx="34">
                  <c:v>2016</c:v>
                </c:pt>
                <c:pt idx="35">
                  <c:v>2017</c:v>
                </c:pt>
                <c:pt idx="36">
                  <c:v>2018</c:v>
                </c:pt>
                <c:pt idx="37">
                  <c:v>2019</c:v>
                </c:pt>
                <c:pt idx="38">
                  <c:v>2020</c:v>
                </c:pt>
                <c:pt idx="39">
                  <c:v>2021</c:v>
                </c:pt>
                <c:pt idx="40">
                  <c:v>2022</c:v>
                </c:pt>
                <c:pt idx="41">
                  <c:v>2023</c:v>
                </c:pt>
                <c:pt idx="42">
                  <c:v>2024</c:v>
                </c:pt>
                <c:pt idx="43">
                  <c:v>2025</c:v>
                </c:pt>
              </c:numCache>
            </c:numRef>
          </c:cat>
          <c:val>
            <c:numRef>
              <c:f>Sheet1!$B$3:$B$46</c:f>
              <c:numCache>
                <c:formatCode>#,##0</c:formatCode>
                <c:ptCount val="44"/>
                <c:pt idx="0">
                  <c:v>430</c:v>
                </c:pt>
                <c:pt idx="1">
                  <c:v>2525</c:v>
                </c:pt>
                <c:pt idx="2">
                  <c:v>11530</c:v>
                </c:pt>
                <c:pt idx="3">
                  <c:v>10669</c:v>
                </c:pt>
                <c:pt idx="4">
                  <c:v>9414</c:v>
                </c:pt>
                <c:pt idx="5">
                  <c:v>12990</c:v>
                </c:pt>
                <c:pt idx="6">
                  <c:v>1888</c:v>
                </c:pt>
                <c:pt idx="7">
                  <c:v>28669</c:v>
                </c:pt>
                <c:pt idx="8">
                  <c:v>72517</c:v>
                </c:pt>
                <c:pt idx="9">
                  <c:v>45039</c:v>
                </c:pt>
                <c:pt idx="10">
                  <c:v>10231</c:v>
                </c:pt>
                <c:pt idx="11">
                  <c:v>24707</c:v>
                </c:pt>
                <c:pt idx="12">
                  <c:v>39216</c:v>
                </c:pt>
                <c:pt idx="13">
                  <c:v>34216</c:v>
                </c:pt>
                <c:pt idx="14">
                  <c:v>18725</c:v>
                </c:pt>
                <c:pt idx="15">
                  <c:v>28127</c:v>
                </c:pt>
                <c:pt idx="17">
                  <c:v>57469</c:v>
                </c:pt>
                <c:pt idx="18">
                  <c:v>2948</c:v>
                </c:pt>
                <c:pt idx="19">
                  <c:v>3661</c:v>
                </c:pt>
                <c:pt idx="20">
                  <c:v>23924</c:v>
                </c:pt>
                <c:pt idx="21">
                  <c:v>69859</c:v>
                </c:pt>
                <c:pt idx="22">
                  <c:v>77049</c:v>
                </c:pt>
                <c:pt idx="23">
                  <c:v>65546</c:v>
                </c:pt>
                <c:pt idx="24">
                  <c:v>101067</c:v>
                </c:pt>
                <c:pt idx="25">
                  <c:v>66708</c:v>
                </c:pt>
                <c:pt idx="26">
                  <c:v>10021</c:v>
                </c:pt>
                <c:pt idx="27">
                  <c:v>12503</c:v>
                </c:pt>
                <c:pt idx="28">
                  <c:v>17030</c:v>
                </c:pt>
                <c:pt idx="29">
                  <c:v>22529</c:v>
                </c:pt>
                <c:pt idx="30">
                  <c:v>40272</c:v>
                </c:pt>
                <c:pt idx="31">
                  <c:v>48355</c:v>
                </c:pt>
                <c:pt idx="32">
                  <c:v>19485</c:v>
                </c:pt>
                <c:pt idx="33">
                  <c:v>13539</c:v>
                </c:pt>
                <c:pt idx="34">
                  <c:v>22553</c:v>
                </c:pt>
                <c:pt idx="35">
                  <c:v>55397</c:v>
                </c:pt>
                <c:pt idx="36">
                  <c:v>72409</c:v>
                </c:pt>
                <c:pt idx="37">
                  <c:v>59106</c:v>
                </c:pt>
                <c:pt idx="38">
                  <c:v>41289</c:v>
                </c:pt>
                <c:pt idx="39">
                  <c:v>60004</c:v>
                </c:pt>
                <c:pt idx="40">
                  <c:v>85785</c:v>
                </c:pt>
                <c:pt idx="41">
                  <c:v>153406</c:v>
                </c:pt>
                <c:pt idx="42">
                  <c:v>210303</c:v>
                </c:pt>
                <c:pt idx="43">
                  <c:v>228974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31-4304-B262-87D647381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21269279"/>
        <c:axId val="1057556639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val>
            <c:numRef>
              <c:f>Sheet1!$C$3:$C$46</c:f>
              <c:numCache>
                <c:formatCode>General_)</c:formatCode>
                <c:ptCount val="44"/>
                <c:pt idx="0">
                  <c:v>7000</c:v>
                </c:pt>
                <c:pt idx="1">
                  <c:v>7000</c:v>
                </c:pt>
                <c:pt idx="2">
                  <c:v>7000</c:v>
                </c:pt>
                <c:pt idx="3">
                  <c:v>7000</c:v>
                </c:pt>
                <c:pt idx="4">
                  <c:v>7000</c:v>
                </c:pt>
                <c:pt idx="5">
                  <c:v>7000</c:v>
                </c:pt>
                <c:pt idx="6">
                  <c:v>7000</c:v>
                </c:pt>
                <c:pt idx="7">
                  <c:v>7000</c:v>
                </c:pt>
                <c:pt idx="8">
                  <c:v>7000</c:v>
                </c:pt>
                <c:pt idx="9">
                  <c:v>7000</c:v>
                </c:pt>
                <c:pt idx="10">
                  <c:v>7000</c:v>
                </c:pt>
                <c:pt idx="11">
                  <c:v>7000</c:v>
                </c:pt>
                <c:pt idx="12">
                  <c:v>7000</c:v>
                </c:pt>
                <c:pt idx="13">
                  <c:v>7000</c:v>
                </c:pt>
                <c:pt idx="14">
                  <c:v>7000</c:v>
                </c:pt>
                <c:pt idx="15">
                  <c:v>7000</c:v>
                </c:pt>
                <c:pt idx="16">
                  <c:v>7000</c:v>
                </c:pt>
                <c:pt idx="17">
                  <c:v>7000</c:v>
                </c:pt>
                <c:pt idx="18">
                  <c:v>7000</c:v>
                </c:pt>
                <c:pt idx="19">
                  <c:v>7000</c:v>
                </c:pt>
                <c:pt idx="20">
                  <c:v>7000</c:v>
                </c:pt>
                <c:pt idx="21">
                  <c:v>7000</c:v>
                </c:pt>
                <c:pt idx="22">
                  <c:v>7000</c:v>
                </c:pt>
                <c:pt idx="23">
                  <c:v>7000</c:v>
                </c:pt>
                <c:pt idx="24">
                  <c:v>7000</c:v>
                </c:pt>
                <c:pt idx="25">
                  <c:v>7000</c:v>
                </c:pt>
                <c:pt idx="26">
                  <c:v>7000</c:v>
                </c:pt>
                <c:pt idx="27">
                  <c:v>7000</c:v>
                </c:pt>
                <c:pt idx="28">
                  <c:v>7000</c:v>
                </c:pt>
                <c:pt idx="29">
                  <c:v>7000</c:v>
                </c:pt>
                <c:pt idx="30">
                  <c:v>7000</c:v>
                </c:pt>
                <c:pt idx="31">
                  <c:v>7000</c:v>
                </c:pt>
                <c:pt idx="32">
                  <c:v>7000</c:v>
                </c:pt>
                <c:pt idx="33">
                  <c:v>7000</c:v>
                </c:pt>
                <c:pt idx="34">
                  <c:v>7000</c:v>
                </c:pt>
                <c:pt idx="35">
                  <c:v>7000</c:v>
                </c:pt>
                <c:pt idx="36">
                  <c:v>7000</c:v>
                </c:pt>
                <c:pt idx="37">
                  <c:v>7000</c:v>
                </c:pt>
                <c:pt idx="38">
                  <c:v>7000</c:v>
                </c:pt>
                <c:pt idx="39">
                  <c:v>7000</c:v>
                </c:pt>
                <c:pt idx="40">
                  <c:v>7000</c:v>
                </c:pt>
                <c:pt idx="41">
                  <c:v>7000</c:v>
                </c:pt>
                <c:pt idx="42">
                  <c:v>7000</c:v>
                </c:pt>
                <c:pt idx="43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31-4304-B262-87D647381477}"/>
            </c:ext>
          </c:extLst>
        </c:ser>
        <c:ser>
          <c:idx val="2"/>
          <c:order val="2"/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val>
            <c:numRef>
              <c:f>Sheet1!$D$3:$D$46</c:f>
              <c:numCache>
                <c:formatCode>General_)</c:formatCode>
                <c:ptCount val="44"/>
                <c:pt idx="0">
                  <c:v>25000</c:v>
                </c:pt>
                <c:pt idx="1">
                  <c:v>25000</c:v>
                </c:pt>
                <c:pt idx="2">
                  <c:v>25000</c:v>
                </c:pt>
                <c:pt idx="3">
                  <c:v>25000</c:v>
                </c:pt>
                <c:pt idx="4">
                  <c:v>25000</c:v>
                </c:pt>
                <c:pt idx="5">
                  <c:v>25000</c:v>
                </c:pt>
                <c:pt idx="6">
                  <c:v>25000</c:v>
                </c:pt>
                <c:pt idx="7">
                  <c:v>25000</c:v>
                </c:pt>
                <c:pt idx="8">
                  <c:v>25000</c:v>
                </c:pt>
                <c:pt idx="9">
                  <c:v>25000</c:v>
                </c:pt>
                <c:pt idx="10">
                  <c:v>25000</c:v>
                </c:pt>
                <c:pt idx="11">
                  <c:v>25000</c:v>
                </c:pt>
                <c:pt idx="12">
                  <c:v>25000</c:v>
                </c:pt>
                <c:pt idx="13">
                  <c:v>25000</c:v>
                </c:pt>
                <c:pt idx="14">
                  <c:v>25000</c:v>
                </c:pt>
                <c:pt idx="15">
                  <c:v>25000</c:v>
                </c:pt>
                <c:pt idx="16">
                  <c:v>25000</c:v>
                </c:pt>
                <c:pt idx="17">
                  <c:v>25000</c:v>
                </c:pt>
                <c:pt idx="18">
                  <c:v>25000</c:v>
                </c:pt>
                <c:pt idx="19">
                  <c:v>25000</c:v>
                </c:pt>
                <c:pt idx="20">
                  <c:v>25000</c:v>
                </c:pt>
                <c:pt idx="21">
                  <c:v>25000</c:v>
                </c:pt>
                <c:pt idx="22">
                  <c:v>25000</c:v>
                </c:pt>
                <c:pt idx="23">
                  <c:v>25000</c:v>
                </c:pt>
                <c:pt idx="24">
                  <c:v>25000</c:v>
                </c:pt>
                <c:pt idx="25">
                  <c:v>25000</c:v>
                </c:pt>
                <c:pt idx="26">
                  <c:v>25000</c:v>
                </c:pt>
                <c:pt idx="27">
                  <c:v>25000</c:v>
                </c:pt>
                <c:pt idx="28">
                  <c:v>25000</c:v>
                </c:pt>
                <c:pt idx="29">
                  <c:v>25000</c:v>
                </c:pt>
                <c:pt idx="30">
                  <c:v>25000</c:v>
                </c:pt>
                <c:pt idx="31">
                  <c:v>25000</c:v>
                </c:pt>
                <c:pt idx="32">
                  <c:v>25000</c:v>
                </c:pt>
                <c:pt idx="33">
                  <c:v>25000</c:v>
                </c:pt>
                <c:pt idx="34">
                  <c:v>25000</c:v>
                </c:pt>
                <c:pt idx="35">
                  <c:v>25000</c:v>
                </c:pt>
                <c:pt idx="36">
                  <c:v>25000</c:v>
                </c:pt>
                <c:pt idx="37">
                  <c:v>25000</c:v>
                </c:pt>
                <c:pt idx="38">
                  <c:v>25000</c:v>
                </c:pt>
                <c:pt idx="39">
                  <c:v>25000</c:v>
                </c:pt>
                <c:pt idx="40">
                  <c:v>25000</c:v>
                </c:pt>
                <c:pt idx="41">
                  <c:v>25000</c:v>
                </c:pt>
                <c:pt idx="42">
                  <c:v>25000</c:v>
                </c:pt>
                <c:pt idx="43">
                  <c:v>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31-4304-B262-87D647381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1269279"/>
        <c:axId val="1057556639"/>
      </c:lineChart>
      <c:catAx>
        <c:axId val="1021269279"/>
        <c:scaling>
          <c:orientation val="minMax"/>
        </c:scaling>
        <c:delete val="0"/>
        <c:axPos val="b"/>
        <c:numFmt formatCode="General_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57556639"/>
        <c:crosses val="autoZero"/>
        <c:auto val="0"/>
        <c:lblAlgn val="ctr"/>
        <c:lblOffset val="100"/>
        <c:noMultiLvlLbl val="0"/>
      </c:catAx>
      <c:valAx>
        <c:axId val="1057556639"/>
        <c:scaling>
          <c:orientation val="minMax"/>
          <c:max val="22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1269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4</xdr:row>
      <xdr:rowOff>62230</xdr:rowOff>
    </xdr:from>
    <xdr:to>
      <xdr:col>12</xdr:col>
      <xdr:colOff>178594</xdr:colOff>
      <xdr:row>32</xdr:row>
      <xdr:rowOff>106998</xdr:rowOff>
    </xdr:to>
    <xdr:graphicFrame macro="">
      <xdr:nvGraphicFramePr>
        <xdr:cNvPr id="1351" name="Chart 2">
          <a:extLst>
            <a:ext uri="{FF2B5EF4-FFF2-40B4-BE49-F238E27FC236}">
              <a16:creationId xmlns:a16="http://schemas.microsoft.com/office/drawing/2014/main" id="{00000000-0008-0000-0300-00004705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285750</xdr:colOff>
      <xdr:row>4</xdr:row>
      <xdr:rowOff>61436</xdr:rowOff>
    </xdr:from>
    <xdr:to>
      <xdr:col>23</xdr:col>
      <xdr:colOff>500063</xdr:colOff>
      <xdr:row>32</xdr:row>
      <xdr:rowOff>106204</xdr:rowOff>
    </xdr:to>
    <xdr:graphicFrame macro="">
      <xdr:nvGraphicFramePr>
        <xdr:cNvPr id="1353" name="Chart 5">
          <a:extLst>
            <a:ext uri="{FF2B5EF4-FFF2-40B4-BE49-F238E27FC236}">
              <a16:creationId xmlns:a16="http://schemas.microsoft.com/office/drawing/2014/main" id="{00000000-0008-0000-0300-00004905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45244</xdr:colOff>
      <xdr:row>4</xdr:row>
      <xdr:rowOff>50005</xdr:rowOff>
    </xdr:from>
    <xdr:to>
      <xdr:col>32</xdr:col>
      <xdr:colOff>450055</xdr:colOff>
      <xdr:row>32</xdr:row>
      <xdr:rowOff>85724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0.10179</cdr:x>
      <cdr:y>0.65266</cdr:y>
    </cdr:from>
    <cdr:to>
      <cdr:x>0.84351</cdr:x>
      <cdr:y>0.80709</cdr:y>
    </cdr:to>
    <cdr:sp macro="" textlink="">
      <cdr:nvSpPr>
        <cdr:cNvPr id="3" name="Rectangle 2"/>
        <cdr:cNvSpPr/>
      </cdr:nvSpPr>
      <cdr:spPr bwMode="auto">
        <a:xfrm xmlns:a="http://schemas.openxmlformats.org/drawingml/2006/main">
          <a:off x="604756" y="3069432"/>
          <a:ext cx="4406720" cy="7262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txBody>
        <a:bodyPr xmlns:a="http://schemas.openxmlformats.org/drawingml/2006/main" wrap="square" lIns="18288" tIns="0" rIns="0" bIns="0" rtlCol="0" anchor="ctr" upright="1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19</xdr:row>
      <xdr:rowOff>9525</xdr:rowOff>
    </xdr:from>
    <xdr:to>
      <xdr:col>14</xdr:col>
      <xdr:colOff>168275</xdr:colOff>
      <xdr:row>39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4DA127-40C8-DB96-D96D-C7592AC661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FF00">
            <a:alpha val="30000"/>
          </a:srgb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FF00">
            <a:alpha val="30000"/>
          </a:srgb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50"/>
  </sheetPr>
  <dimension ref="A1:AK154"/>
  <sheetViews>
    <sheetView topLeftCell="E1" zoomScale="90" zoomScaleNormal="90" workbookViewId="0">
      <pane ySplit="8" topLeftCell="A9" activePane="bottomLeft" state="frozen"/>
      <selection pane="bottomLeft" activeCell="N29" sqref="N29"/>
    </sheetView>
  </sheetViews>
  <sheetFormatPr defaultColWidth="9.75" defaultRowHeight="15" x14ac:dyDescent="0.25"/>
  <cols>
    <col min="1" max="1" width="7.4140625" style="1" customWidth="1"/>
    <col min="2" max="2" width="8.58203125" style="1" customWidth="1"/>
    <col min="3" max="4" width="6.6640625" style="1" customWidth="1"/>
    <col min="5" max="5" width="7.6640625" style="1" customWidth="1"/>
    <col min="6" max="6" width="8.58203125" style="1" customWidth="1"/>
    <col min="7" max="7" width="8" style="1" customWidth="1"/>
    <col min="8" max="8" width="7.25" style="1" customWidth="1"/>
    <col min="9" max="9" width="8.9140625" customWidth="1"/>
    <col min="10" max="12" width="7.6640625" style="1" customWidth="1"/>
    <col min="13" max="13" width="4" style="1" customWidth="1"/>
    <col min="14" max="14" width="9.9140625" style="1" customWidth="1"/>
    <col min="15" max="16" width="7.25" style="1" customWidth="1"/>
    <col min="17" max="17" width="6.58203125" style="1" customWidth="1"/>
    <col min="18" max="18" width="5.08203125" style="1" customWidth="1"/>
    <col min="19" max="19" width="6.4140625" style="1" customWidth="1"/>
    <col min="20" max="26" width="5.08203125" style="1" customWidth="1"/>
    <col min="27" max="28" width="6.25" style="1" customWidth="1"/>
    <col min="29" max="29" width="7.4140625" style="1" customWidth="1"/>
    <col min="30" max="30" width="7.08203125" style="1" customWidth="1"/>
    <col min="31" max="31" width="6.75" style="1" customWidth="1"/>
    <col min="32" max="36" width="5.4140625" style="1" customWidth="1"/>
    <col min="37" max="37" width="6.9140625" style="1" customWidth="1"/>
    <col min="38" max="39" width="5.4140625" style="1" customWidth="1"/>
    <col min="40" max="40" width="7.9140625" style="1" customWidth="1"/>
    <col min="41" max="41" width="6.6640625" style="1" customWidth="1"/>
    <col min="42" max="42" width="7" style="1" customWidth="1"/>
    <col min="43" max="43" width="6.33203125" style="1" customWidth="1"/>
    <col min="44" max="52" width="5.33203125" style="1" customWidth="1"/>
    <col min="53" max="53" width="6.58203125" style="1" customWidth="1"/>
    <col min="54" max="57" width="9.75" style="1" customWidth="1"/>
    <col min="58" max="58" width="6.08203125" style="1" customWidth="1"/>
    <col min="59" max="67" width="5.4140625" style="1" customWidth="1"/>
    <col min="68" max="69" width="7" style="1" customWidth="1"/>
    <col min="70" max="70" width="9.75" style="1" customWidth="1"/>
    <col min="71" max="71" width="5.75" style="1" customWidth="1"/>
    <col min="72" max="80" width="5.33203125" style="1" customWidth="1"/>
    <col min="81" max="82" width="7.58203125" style="1" customWidth="1"/>
    <col min="83" max="83" width="9.75" style="1" customWidth="1"/>
    <col min="84" max="84" width="6.25" style="1" customWidth="1"/>
    <col min="85" max="93" width="5.4140625" style="1" customWidth="1"/>
    <col min="94" max="94" width="6.6640625" style="1" customWidth="1"/>
    <col min="95" max="231" width="9.75" style="1" customWidth="1"/>
    <col min="232" max="16384" width="9.75" style="1"/>
  </cols>
  <sheetData>
    <row r="1" spans="1:37" ht="24.75" customHeight="1" x14ac:dyDescent="0.35">
      <c r="A1" s="125" t="s">
        <v>42</v>
      </c>
      <c r="Q1" s="109" t="s">
        <v>48</v>
      </c>
      <c r="R1" s="110">
        <v>7000</v>
      </c>
      <c r="S1" s="110">
        <v>25000</v>
      </c>
    </row>
    <row r="2" spans="1:37" x14ac:dyDescent="0.25">
      <c r="A2" s="36"/>
      <c r="B2" s="36"/>
      <c r="C2" s="36"/>
      <c r="D2" s="36"/>
      <c r="E2" s="36"/>
      <c r="F2" s="36"/>
      <c r="G2" s="36"/>
      <c r="H2" s="36"/>
      <c r="I2" s="111"/>
      <c r="J2" s="112"/>
      <c r="K2" s="112"/>
      <c r="L2" s="112"/>
      <c r="M2" s="112"/>
      <c r="N2" s="112"/>
    </row>
    <row r="3" spans="1:37" ht="15.6" x14ac:dyDescent="0.3">
      <c r="B3" s="113" t="s">
        <v>0</v>
      </c>
      <c r="F3" s="40"/>
      <c r="J3" s="143" t="s">
        <v>33</v>
      </c>
      <c r="K3" s="143"/>
      <c r="L3" s="143"/>
      <c r="M3" s="143"/>
      <c r="N3" s="143"/>
    </row>
    <row r="4" spans="1:37" x14ac:dyDescent="0.25">
      <c r="B4" s="113" t="s">
        <v>3</v>
      </c>
      <c r="C4" s="4" t="s">
        <v>4</v>
      </c>
      <c r="D4" s="4" t="s">
        <v>4</v>
      </c>
      <c r="E4" s="4" t="s">
        <v>4</v>
      </c>
      <c r="F4" s="4" t="s">
        <v>4</v>
      </c>
      <c r="G4" s="4" t="s">
        <v>4</v>
      </c>
      <c r="H4" s="4" t="s">
        <v>4</v>
      </c>
      <c r="J4" s="38"/>
      <c r="K4" s="38"/>
      <c r="L4" s="38"/>
      <c r="N4" s="8"/>
    </row>
    <row r="5" spans="1:37" x14ac:dyDescent="0.25">
      <c r="B5" s="114" t="s">
        <v>49</v>
      </c>
      <c r="F5" s="40" t="s">
        <v>39</v>
      </c>
      <c r="G5" s="40" t="s">
        <v>39</v>
      </c>
      <c r="H5" s="40" t="s">
        <v>39</v>
      </c>
      <c r="J5" s="120" t="s">
        <v>34</v>
      </c>
      <c r="K5" s="120" t="s">
        <v>39</v>
      </c>
      <c r="L5" s="120" t="s">
        <v>34</v>
      </c>
      <c r="N5" s="121" t="s">
        <v>50</v>
      </c>
    </row>
    <row r="6" spans="1:37" x14ac:dyDescent="0.25">
      <c r="B6" s="115"/>
      <c r="D6" s="2" t="s">
        <v>7</v>
      </c>
      <c r="F6" s="34" t="s">
        <v>8</v>
      </c>
      <c r="G6" s="34" t="s">
        <v>8</v>
      </c>
      <c r="H6" s="34" t="s">
        <v>8</v>
      </c>
      <c r="J6" s="120" t="s">
        <v>19</v>
      </c>
      <c r="K6" s="120" t="s">
        <v>35</v>
      </c>
      <c r="L6" s="120" t="s">
        <v>19</v>
      </c>
      <c r="N6" s="121" t="s">
        <v>35</v>
      </c>
    </row>
    <row r="7" spans="1:37" x14ac:dyDescent="0.25">
      <c r="B7" s="113">
        <v>2025</v>
      </c>
      <c r="C7" s="1">
        <v>2025</v>
      </c>
      <c r="D7" s="4" t="s">
        <v>4</v>
      </c>
      <c r="E7" s="4" t="s">
        <v>4</v>
      </c>
      <c r="F7" s="40" t="s">
        <v>40</v>
      </c>
      <c r="G7" s="40" t="s">
        <v>40</v>
      </c>
      <c r="H7" s="40" t="s">
        <v>5</v>
      </c>
      <c r="J7" s="120" t="s">
        <v>36</v>
      </c>
      <c r="K7" s="120" t="s">
        <v>37</v>
      </c>
      <c r="L7" s="120" t="s">
        <v>38</v>
      </c>
      <c r="N7" s="121" t="s">
        <v>37</v>
      </c>
    </row>
    <row r="8" spans="1:37" x14ac:dyDescent="0.25">
      <c r="A8" s="9" t="s">
        <v>11</v>
      </c>
      <c r="B8" s="116" t="s">
        <v>5</v>
      </c>
      <c r="C8" s="9" t="s">
        <v>6</v>
      </c>
      <c r="D8" s="9" t="s">
        <v>12</v>
      </c>
      <c r="E8" s="9" t="s">
        <v>13</v>
      </c>
      <c r="F8" s="9" t="s">
        <v>14</v>
      </c>
      <c r="G8" s="9" t="s">
        <v>15</v>
      </c>
      <c r="H8" s="9" t="s">
        <v>17</v>
      </c>
      <c r="J8" s="117"/>
      <c r="K8" s="117"/>
      <c r="L8" s="117"/>
      <c r="N8" s="122"/>
    </row>
    <row r="9" spans="1:37" x14ac:dyDescent="0.25">
      <c r="A9" s="107"/>
      <c r="B9" s="107"/>
      <c r="C9" s="40"/>
      <c r="D9" s="45"/>
      <c r="E9" s="45"/>
      <c r="F9" s="45"/>
      <c r="G9" s="45"/>
      <c r="H9" s="45"/>
      <c r="J9" s="46"/>
      <c r="K9" s="46"/>
      <c r="L9" s="46"/>
      <c r="N9" s="123"/>
    </row>
    <row r="10" spans="1:37" x14ac:dyDescent="0.25">
      <c r="A10" s="42">
        <v>164</v>
      </c>
      <c r="B10" s="76"/>
      <c r="C10" s="75"/>
      <c r="D10" s="73">
        <f t="shared" ref="D10:D41" si="0">$R$1*F10</f>
        <v>0</v>
      </c>
      <c r="E10" s="73">
        <f t="shared" ref="E10:E41" si="1">$S$1*F10</f>
        <v>0</v>
      </c>
      <c r="F10" s="6">
        <f>HistData!GQ5</f>
        <v>0</v>
      </c>
      <c r="G10" s="3">
        <f>+HistData!AW5</f>
        <v>0</v>
      </c>
      <c r="H10" s="3">
        <f>+HistData!AV5</f>
        <v>0</v>
      </c>
      <c r="J10" s="46"/>
      <c r="K10" s="46"/>
      <c r="L10" s="46"/>
      <c r="N10" s="123"/>
    </row>
    <row r="11" spans="1:37" ht="15.6" thickBot="1" x14ac:dyDescent="0.3">
      <c r="A11" s="42">
        <v>165</v>
      </c>
      <c r="B11" s="76"/>
      <c r="C11" s="75"/>
      <c r="D11" s="73">
        <f t="shared" si="0"/>
        <v>0</v>
      </c>
      <c r="E11" s="73">
        <f t="shared" si="1"/>
        <v>0</v>
      </c>
      <c r="F11" s="6">
        <f>HistData!GQ6</f>
        <v>0</v>
      </c>
      <c r="G11" s="3">
        <f>+HistData!AW6</f>
        <v>0</v>
      </c>
      <c r="H11" s="3">
        <f>+HistData!AV6</f>
        <v>0</v>
      </c>
      <c r="J11" s="46"/>
      <c r="K11" s="46"/>
      <c r="L11" s="46"/>
      <c r="N11" s="123"/>
      <c r="AD11" s="30" t="s">
        <v>12</v>
      </c>
      <c r="AE11" s="30" t="s">
        <v>13</v>
      </c>
    </row>
    <row r="12" spans="1:37" x14ac:dyDescent="0.25">
      <c r="A12" s="42">
        <v>166</v>
      </c>
      <c r="B12" s="76">
        <v>1</v>
      </c>
      <c r="C12" s="75">
        <f>IF(B12="",NA(),B12+C11)</f>
        <v>1</v>
      </c>
      <c r="D12" s="73">
        <f t="shared" si="0"/>
        <v>0</v>
      </c>
      <c r="E12" s="73">
        <f t="shared" si="1"/>
        <v>0</v>
      </c>
      <c r="F12" s="6">
        <f>HistData!GQ7</f>
        <v>0</v>
      </c>
      <c r="G12" s="3">
        <f>+HistData!AW7</f>
        <v>0</v>
      </c>
      <c r="H12" s="3">
        <f>+HistData!AV7</f>
        <v>0</v>
      </c>
      <c r="J12" s="46"/>
      <c r="K12" s="46"/>
      <c r="L12" s="46"/>
      <c r="N12" s="123"/>
      <c r="AC12" s="137">
        <v>167</v>
      </c>
      <c r="AD12" s="136">
        <v>0.37395702782294543</v>
      </c>
      <c r="AE12" s="136">
        <v>1.3355608136533765</v>
      </c>
      <c r="AI12" s="30" t="s">
        <v>52</v>
      </c>
      <c r="AJ12" s="30" t="s">
        <v>12</v>
      </c>
      <c r="AK12" s="30" t="s">
        <v>13</v>
      </c>
    </row>
    <row r="13" spans="1:37" x14ac:dyDescent="0.25">
      <c r="A13" s="42">
        <v>167</v>
      </c>
      <c r="B13" s="76">
        <v>7</v>
      </c>
      <c r="C13" s="75">
        <f>IF(B13="",NA(),B13+C12)</f>
        <v>8</v>
      </c>
      <c r="D13" s="73">
        <f>$R$1*F13</f>
        <v>0.46017333651716646</v>
      </c>
      <c r="E13" s="73">
        <f t="shared" si="1"/>
        <v>1.643476201847023</v>
      </c>
      <c r="F13" s="6">
        <f>HistData!GQ8</f>
        <v>6.5739048073880924E-5</v>
      </c>
      <c r="G13" s="3">
        <f>+HistData!AW8</f>
        <v>7.1428571428571432</v>
      </c>
      <c r="H13" s="3">
        <f>+HistData!AV8</f>
        <v>7.1428571428571432</v>
      </c>
      <c r="J13" s="118"/>
      <c r="K13" s="119">
        <f t="shared" ref="K13:K29" si="2">IF(B13="","",C13/F13)</f>
        <v>121693.27415585921</v>
      </c>
      <c r="L13" s="119"/>
      <c r="N13" s="123"/>
      <c r="AC13" s="138">
        <v>168</v>
      </c>
      <c r="AD13" s="136">
        <v>1.2071171944256716</v>
      </c>
      <c r="AE13" s="136">
        <v>4.311132837234541</v>
      </c>
      <c r="AI13" s="1">
        <v>25</v>
      </c>
      <c r="AJ13" s="1">
        <v>8</v>
      </c>
      <c r="AK13" s="1">
        <v>28</v>
      </c>
    </row>
    <row r="14" spans="1:37" x14ac:dyDescent="0.25">
      <c r="A14" s="42">
        <v>168</v>
      </c>
      <c r="B14" s="76">
        <v>13</v>
      </c>
      <c r="C14" s="75">
        <f t="shared" ref="C14:C77" si="3">IF(B14="",NA(),B14+C13)</f>
        <v>21</v>
      </c>
      <c r="D14" s="73">
        <f>$R$1*F14</f>
        <v>1.1724318229649102</v>
      </c>
      <c r="E14" s="73">
        <f t="shared" si="1"/>
        <v>4.1872565105889645</v>
      </c>
      <c r="F14" s="6">
        <f>HistData!GQ9</f>
        <v>1.674902604235586E-4</v>
      </c>
      <c r="G14" s="3">
        <f>+HistData!AW9</f>
        <v>23.857142857142858</v>
      </c>
      <c r="H14" s="3">
        <f>+HistData!AV9</f>
        <v>16.714285714285715</v>
      </c>
      <c r="J14" s="118"/>
      <c r="K14" s="119">
        <f t="shared" si="2"/>
        <v>125380.42478944175</v>
      </c>
      <c r="L14" s="119"/>
      <c r="N14" s="123"/>
      <c r="AC14" s="138">
        <v>169</v>
      </c>
      <c r="AD14" s="136">
        <v>2.4816260047940384</v>
      </c>
      <c r="AE14" s="136">
        <v>8.8629500171215643</v>
      </c>
      <c r="AI14" s="1">
        <v>26</v>
      </c>
      <c r="AJ14" s="1">
        <v>111</v>
      </c>
      <c r="AK14" s="1">
        <v>395</v>
      </c>
    </row>
    <row r="15" spans="1:37" ht="15.6" thickBot="1" x14ac:dyDescent="0.3">
      <c r="A15" s="42">
        <v>169</v>
      </c>
      <c r="B15" s="76">
        <v>7</v>
      </c>
      <c r="C15" s="75">
        <f t="shared" si="3"/>
        <v>28</v>
      </c>
      <c r="D15" s="73">
        <f t="shared" si="0"/>
        <v>2.7092981240272063</v>
      </c>
      <c r="E15" s="73">
        <f t="shared" si="1"/>
        <v>9.6760647286685941</v>
      </c>
      <c r="F15" s="6">
        <f>HistData!GQ10</f>
        <v>3.8704258914674375E-4</v>
      </c>
      <c r="G15" s="3">
        <f>+HistData!AW10</f>
        <v>51.982142857142861</v>
      </c>
      <c r="H15" s="3">
        <f>+HistData!AV10</f>
        <v>28.125</v>
      </c>
      <c r="J15" s="118"/>
      <c r="K15" s="119">
        <f t="shared" si="2"/>
        <v>72343.459828871826</v>
      </c>
      <c r="L15" s="119"/>
      <c r="N15" s="123"/>
      <c r="AC15" s="139">
        <v>170</v>
      </c>
      <c r="AD15" s="136">
        <v>7.78068497641065</v>
      </c>
      <c r="AE15" s="136">
        <v>27.788160630038035</v>
      </c>
      <c r="AI15" s="1">
        <v>27</v>
      </c>
      <c r="AJ15" s="1">
        <v>471</v>
      </c>
      <c r="AK15" s="1">
        <v>1681</v>
      </c>
    </row>
    <row r="16" spans="1:37" x14ac:dyDescent="0.25">
      <c r="A16" s="42">
        <v>170</v>
      </c>
      <c r="B16" s="76">
        <v>1</v>
      </c>
      <c r="C16" s="75">
        <f t="shared" si="3"/>
        <v>29</v>
      </c>
      <c r="D16" s="73">
        <f t="shared" si="0"/>
        <v>6.8325805507428328</v>
      </c>
      <c r="E16" s="73">
        <f t="shared" si="1"/>
        <v>24.402073395510115</v>
      </c>
      <c r="F16" s="6">
        <f>HistData!GQ11</f>
        <v>9.7608293582040464E-4</v>
      </c>
      <c r="G16" s="3">
        <f>+HistData!AW11</f>
        <v>139.09325396825398</v>
      </c>
      <c r="H16" s="3">
        <f>+HistData!AV11</f>
        <v>87.111111111111114</v>
      </c>
      <c r="J16" s="118"/>
      <c r="K16" s="119">
        <f>IF(B16="","",C16/F16)</f>
        <v>29710.590089996087</v>
      </c>
      <c r="L16" s="119"/>
      <c r="N16" s="123"/>
      <c r="AC16" s="137">
        <v>171</v>
      </c>
      <c r="AD16" s="136">
        <v>13.834292716743448</v>
      </c>
      <c r="AE16" s="136">
        <v>49.408188274083741</v>
      </c>
      <c r="AI16" s="1">
        <v>28</v>
      </c>
      <c r="AJ16" s="1">
        <v>1055</v>
      </c>
      <c r="AK16" s="1">
        <v>3770</v>
      </c>
    </row>
    <row r="17" spans="1:37" x14ac:dyDescent="0.25">
      <c r="A17" s="42">
        <v>171</v>
      </c>
      <c r="B17" s="76">
        <v>8</v>
      </c>
      <c r="C17" s="75">
        <f t="shared" si="3"/>
        <v>37</v>
      </c>
      <c r="D17" s="73">
        <f t="shared" si="0"/>
        <v>13.985803534031106</v>
      </c>
      <c r="E17" s="73">
        <f t="shared" si="1"/>
        <v>49.949298335825382</v>
      </c>
      <c r="F17" s="6">
        <f>HistData!GQ12</f>
        <v>1.9979719334330152E-3</v>
      </c>
      <c r="G17" s="3">
        <f>+HistData!AW12</f>
        <v>303.49325396825395</v>
      </c>
      <c r="H17" s="3">
        <f>+HistData!AV12</f>
        <v>164.4</v>
      </c>
      <c r="J17" s="118"/>
      <c r="K17" s="119">
        <f t="shared" si="2"/>
        <v>18518.778657928768</v>
      </c>
      <c r="L17" s="119"/>
      <c r="N17" s="123"/>
      <c r="AC17" s="138">
        <v>172</v>
      </c>
      <c r="AD17" s="136">
        <v>29.105138766946173</v>
      </c>
      <c r="AE17" s="136">
        <v>103.9469241676649</v>
      </c>
      <c r="AI17" s="1">
        <v>29</v>
      </c>
      <c r="AJ17" s="1">
        <v>2009</v>
      </c>
      <c r="AK17" s="1">
        <v>7175</v>
      </c>
    </row>
    <row r="18" spans="1:37" x14ac:dyDescent="0.25">
      <c r="A18" s="42">
        <v>172</v>
      </c>
      <c r="B18" s="76">
        <v>549</v>
      </c>
      <c r="C18" s="75">
        <f t="shared" ref="C18:C23" si="4">IF(B18="",NA(),B18+C17)</f>
        <v>586</v>
      </c>
      <c r="D18" s="73">
        <f>$R$1*F18</f>
        <v>16.278447192554154</v>
      </c>
      <c r="E18" s="73">
        <f>$S$1*F18</f>
        <v>58.137311401979119</v>
      </c>
      <c r="F18" s="6">
        <f>HistData!GQ13</f>
        <v>2.3254924560791646E-3</v>
      </c>
      <c r="G18" s="3">
        <f>+HistData!AW13</f>
        <v>330.79325396825396</v>
      </c>
      <c r="H18" s="3">
        <f>+HistData!AV13</f>
        <v>27.3</v>
      </c>
      <c r="J18" s="118"/>
      <c r="K18" s="119">
        <f t="shared" ref="K18:K23" si="5">IF(B18="","",C18/F18)</f>
        <v>251989.63706294273</v>
      </c>
      <c r="L18" s="119"/>
      <c r="N18" s="123"/>
      <c r="AC18" s="138">
        <v>173</v>
      </c>
      <c r="AD18" s="136">
        <v>38.553725623830353</v>
      </c>
      <c r="AE18" s="136">
        <v>137.69187722796556</v>
      </c>
      <c r="AI18" s="1">
        <v>30</v>
      </c>
      <c r="AJ18" s="1">
        <v>2985</v>
      </c>
      <c r="AK18" s="1">
        <v>10660</v>
      </c>
    </row>
    <row r="19" spans="1:37" x14ac:dyDescent="0.25">
      <c r="A19" s="42">
        <v>173</v>
      </c>
      <c r="B19" s="76">
        <v>2</v>
      </c>
      <c r="C19" s="75">
        <f t="shared" si="4"/>
        <v>588</v>
      </c>
      <c r="D19" s="73">
        <f t="shared" si="0"/>
        <v>22.424282620749668</v>
      </c>
      <c r="E19" s="73">
        <f t="shared" si="1"/>
        <v>80.086723645534533</v>
      </c>
      <c r="F19" s="6">
        <f>HistData!GQ14</f>
        <v>3.2034689458213814E-3</v>
      </c>
      <c r="G19" s="3">
        <f>+HistData!AW14</f>
        <v>459.59325396825398</v>
      </c>
      <c r="H19" s="3">
        <f>+HistData!AV14</f>
        <v>128.80000000000001</v>
      </c>
      <c r="J19" s="118"/>
      <c r="K19" s="119">
        <f t="shared" si="5"/>
        <v>183551.02232752708</v>
      </c>
      <c r="L19" s="119"/>
      <c r="N19" s="123"/>
      <c r="AC19" s="138">
        <v>174</v>
      </c>
      <c r="AD19" s="136">
        <v>44.477237154827428</v>
      </c>
      <c r="AE19" s="136">
        <v>158.8472755529551</v>
      </c>
      <c r="AI19" s="1">
        <v>31</v>
      </c>
      <c r="AJ19" s="1">
        <v>4075</v>
      </c>
      <c r="AK19" s="1">
        <v>14544</v>
      </c>
    </row>
    <row r="20" spans="1:37" x14ac:dyDescent="0.25">
      <c r="A20" s="42">
        <v>174</v>
      </c>
      <c r="B20" s="76">
        <v>0</v>
      </c>
      <c r="C20" s="75">
        <f t="shared" si="4"/>
        <v>588</v>
      </c>
      <c r="D20" s="73">
        <f t="shared" si="0"/>
        <v>33.228379499930966</v>
      </c>
      <c r="E20" s="73">
        <f t="shared" si="1"/>
        <v>118.67278392832489</v>
      </c>
      <c r="F20" s="6">
        <f>HistData!GQ15</f>
        <v>4.7469113571329954E-3</v>
      </c>
      <c r="G20" s="3">
        <f>+HistData!AW15</f>
        <v>707.193253968254</v>
      </c>
      <c r="H20" s="3">
        <f>+HistData!AV15</f>
        <v>247.6</v>
      </c>
      <c r="J20" s="118"/>
      <c r="K20" s="119">
        <f t="shared" si="5"/>
        <v>123870.01900013063</v>
      </c>
      <c r="L20" s="119"/>
      <c r="N20" s="123"/>
      <c r="AC20" s="138">
        <v>175</v>
      </c>
      <c r="AD20" s="136">
        <v>70.659864655181067</v>
      </c>
      <c r="AE20" s="136">
        <v>252.35665948278952</v>
      </c>
      <c r="AI20" s="1">
        <v>32</v>
      </c>
      <c r="AJ20" s="1">
        <v>5093</v>
      </c>
      <c r="AK20" s="1">
        <v>18190</v>
      </c>
    </row>
    <row r="21" spans="1:37" x14ac:dyDescent="0.25">
      <c r="A21" s="42">
        <v>175</v>
      </c>
      <c r="B21" s="76">
        <v>626</v>
      </c>
      <c r="C21" s="75">
        <f t="shared" si="4"/>
        <v>1214</v>
      </c>
      <c r="D21" s="73">
        <f t="shared" si="0"/>
        <v>46.757142316539998</v>
      </c>
      <c r="E21" s="73">
        <f t="shared" si="1"/>
        <v>166.98979398764286</v>
      </c>
      <c r="F21" s="6">
        <f>HistData!GQ16</f>
        <v>6.6795917595057139E-3</v>
      </c>
      <c r="G21" s="3">
        <f>+HistData!AW16</f>
        <v>949.09325396825398</v>
      </c>
      <c r="H21" s="3">
        <f>+HistData!AV16</f>
        <v>241.9</v>
      </c>
      <c r="J21" s="118"/>
      <c r="K21" s="119">
        <f t="shared" si="5"/>
        <v>181747.63424311957</v>
      </c>
      <c r="L21" s="119"/>
      <c r="N21" s="123"/>
      <c r="AC21" s="138">
        <v>176</v>
      </c>
      <c r="AD21" s="136">
        <v>91.983602862077802</v>
      </c>
      <c r="AE21" s="136">
        <v>328.51286736456359</v>
      </c>
      <c r="AI21" s="1">
        <v>33</v>
      </c>
      <c r="AJ21" s="1">
        <v>5913</v>
      </c>
      <c r="AK21" s="1">
        <v>21119</v>
      </c>
    </row>
    <row r="22" spans="1:37" ht="15.6" thickBot="1" x14ac:dyDescent="0.3">
      <c r="A22" s="42">
        <v>176</v>
      </c>
      <c r="B22" s="76">
        <v>517</v>
      </c>
      <c r="C22" s="75">
        <f t="shared" si="4"/>
        <v>1731</v>
      </c>
      <c r="D22" s="73">
        <f t="shared" si="0"/>
        <v>53.264896578261968</v>
      </c>
      <c r="E22" s="73">
        <f t="shared" si="1"/>
        <v>190.23177349379276</v>
      </c>
      <c r="F22" s="6">
        <f>HistData!GQ17</f>
        <v>7.6092709397517101E-3</v>
      </c>
      <c r="G22" s="3">
        <f>+HistData!AW17</f>
        <v>1009.993253968254</v>
      </c>
      <c r="H22" s="3">
        <f>+HistData!AV17</f>
        <v>60.9</v>
      </c>
      <c r="J22" s="118"/>
      <c r="K22" s="119">
        <f t="shared" si="5"/>
        <v>227485.6571287344</v>
      </c>
      <c r="L22" s="119"/>
      <c r="N22" s="123"/>
      <c r="AC22" s="139">
        <v>177</v>
      </c>
      <c r="AD22" s="136">
        <v>110.71162810615088</v>
      </c>
      <c r="AE22" s="136">
        <v>395.39867180768175</v>
      </c>
      <c r="AI22" s="1">
        <v>34</v>
      </c>
      <c r="AJ22" s="1">
        <v>6424</v>
      </c>
      <c r="AK22" s="1">
        <v>22943</v>
      </c>
    </row>
    <row r="23" spans="1:37" x14ac:dyDescent="0.25">
      <c r="A23" s="42">
        <v>177</v>
      </c>
      <c r="B23" s="76">
        <v>724</v>
      </c>
      <c r="C23" s="75">
        <f t="shared" si="4"/>
        <v>2455</v>
      </c>
      <c r="D23" s="73">
        <f t="shared" si="0"/>
        <v>68.929785804510175</v>
      </c>
      <c r="E23" s="73">
        <f t="shared" si="1"/>
        <v>246.17780644467919</v>
      </c>
      <c r="F23" s="6">
        <f>HistData!GQ18</f>
        <v>9.8471122577871682E-3</v>
      </c>
      <c r="G23" s="3">
        <f>+HistData!AW18</f>
        <v>1215.593253968254</v>
      </c>
      <c r="H23" s="3">
        <f>+HistData!AV18</f>
        <v>205.6</v>
      </c>
      <c r="J23" s="118"/>
      <c r="K23" s="119">
        <f t="shared" si="5"/>
        <v>249311.66983077381</v>
      </c>
      <c r="L23" s="119"/>
      <c r="N23" s="123"/>
      <c r="AC23" s="137">
        <v>178</v>
      </c>
      <c r="AD23" s="136">
        <v>145.33138300814079</v>
      </c>
      <c r="AE23" s="136">
        <v>519.04065360050288</v>
      </c>
      <c r="AI23" s="1">
        <v>35</v>
      </c>
      <c r="AJ23" s="1">
        <v>6766</v>
      </c>
      <c r="AK23" s="1">
        <v>24165</v>
      </c>
    </row>
    <row r="24" spans="1:37" x14ac:dyDescent="0.25">
      <c r="A24" s="42">
        <v>178</v>
      </c>
      <c r="B24" s="76">
        <v>872</v>
      </c>
      <c r="C24" s="75">
        <f t="shared" si="3"/>
        <v>3327</v>
      </c>
      <c r="D24" s="73">
        <f t="shared" si="0"/>
        <v>104.90045186828642</v>
      </c>
      <c r="E24" s="73">
        <f t="shared" si="1"/>
        <v>374.64447095816581</v>
      </c>
      <c r="F24" s="6">
        <f>HistData!GQ19</f>
        <v>1.4985778838326632E-2</v>
      </c>
      <c r="G24" s="3">
        <f>+HistData!AW19</f>
        <v>1591.593253968254</v>
      </c>
      <c r="H24" s="3">
        <f>+HistData!AV19</f>
        <v>376</v>
      </c>
      <c r="J24" s="118"/>
      <c r="K24" s="119">
        <f t="shared" si="2"/>
        <v>222010.48313158646</v>
      </c>
      <c r="L24" s="119"/>
      <c r="N24" s="123"/>
      <c r="AC24" s="138">
        <v>179</v>
      </c>
      <c r="AD24" s="136">
        <v>205.85969638708869</v>
      </c>
      <c r="AE24" s="136">
        <v>735.2132013824596</v>
      </c>
      <c r="AI24" s="1">
        <v>36</v>
      </c>
      <c r="AJ24" s="1">
        <v>6971</v>
      </c>
      <c r="AK24" s="1">
        <v>24896</v>
      </c>
    </row>
    <row r="25" spans="1:37" x14ac:dyDescent="0.25">
      <c r="A25" s="42">
        <v>179</v>
      </c>
      <c r="B25" s="76">
        <v>312</v>
      </c>
      <c r="C25" s="75">
        <f t="shared" si="3"/>
        <v>3639</v>
      </c>
      <c r="D25" s="73">
        <f>$R$1*F25</f>
        <v>147.46984027539102</v>
      </c>
      <c r="E25" s="73">
        <f t="shared" si="1"/>
        <v>526.67800098353928</v>
      </c>
      <c r="F25" s="6">
        <f>HistData!GQ20</f>
        <v>2.1067120039341573E-2</v>
      </c>
      <c r="G25" s="3">
        <f>+HistData!AW20</f>
        <v>2221.1932539682539</v>
      </c>
      <c r="H25" s="3">
        <f>+HistData!AV20</f>
        <v>629.6</v>
      </c>
      <c r="J25" s="118"/>
      <c r="K25" s="119">
        <f t="shared" si="2"/>
        <v>172733.62439689846</v>
      </c>
      <c r="L25" s="119"/>
      <c r="N25" s="123"/>
      <c r="AC25" s="138">
        <v>180</v>
      </c>
      <c r="AD25" s="136">
        <v>247.97709292676649</v>
      </c>
      <c r="AE25" s="136">
        <v>885.63247473845172</v>
      </c>
      <c r="AI25" s="1">
        <v>37</v>
      </c>
      <c r="AJ25" s="1">
        <v>7000</v>
      </c>
      <c r="AK25" s="1">
        <v>25000</v>
      </c>
    </row>
    <row r="26" spans="1:37" x14ac:dyDescent="0.25">
      <c r="A26" s="42">
        <v>180</v>
      </c>
      <c r="B26" s="76">
        <v>3293</v>
      </c>
      <c r="C26" s="75">
        <f t="shared" si="3"/>
        <v>6932</v>
      </c>
      <c r="D26" s="73">
        <f t="shared" si="0"/>
        <v>185.9485478215625</v>
      </c>
      <c r="E26" s="73">
        <f t="shared" si="1"/>
        <v>664.10195650558035</v>
      </c>
      <c r="F26" s="6">
        <f>HistData!GQ21</f>
        <v>2.6564078260223212E-2</v>
      </c>
      <c r="G26" s="3">
        <f>+HistData!AW21</f>
        <v>2687.9932539682541</v>
      </c>
      <c r="H26" s="3">
        <f>+HistData!AV21</f>
        <v>466.8</v>
      </c>
      <c r="J26" s="118"/>
      <c r="K26" s="119">
        <f t="shared" si="2"/>
        <v>260953.90670414898</v>
      </c>
      <c r="L26" s="119"/>
      <c r="N26" s="123"/>
      <c r="AC26" s="138">
        <v>181</v>
      </c>
      <c r="AD26" s="136">
        <v>310.37239382682964</v>
      </c>
      <c r="AE26" s="136">
        <v>1108.4728350958203</v>
      </c>
    </row>
    <row r="27" spans="1:37" x14ac:dyDescent="0.25">
      <c r="A27" s="42">
        <v>181</v>
      </c>
      <c r="B27" s="76">
        <v>1179</v>
      </c>
      <c r="C27" s="75">
        <f t="shared" si="3"/>
        <v>8111</v>
      </c>
      <c r="D27" s="73">
        <f t="shared" si="0"/>
        <v>247.36432266018306</v>
      </c>
      <c r="E27" s="73">
        <f t="shared" si="1"/>
        <v>883.44400950065381</v>
      </c>
      <c r="F27" s="6">
        <f>HistData!GQ22</f>
        <v>3.5337760380026152E-2</v>
      </c>
      <c r="G27" s="3">
        <f>+HistData!AW22</f>
        <v>3326.093253968254</v>
      </c>
      <c r="H27" s="3">
        <f>+HistData!AV22</f>
        <v>638.1</v>
      </c>
      <c r="J27" s="118"/>
      <c r="K27" s="119">
        <f t="shared" si="2"/>
        <v>229527.84536352661</v>
      </c>
      <c r="L27" s="119"/>
      <c r="N27" s="123"/>
      <c r="AC27" s="138">
        <v>182</v>
      </c>
      <c r="AD27" s="136">
        <v>378.51456710127559</v>
      </c>
      <c r="AE27" s="136">
        <v>1351.8377396474127</v>
      </c>
    </row>
    <row r="28" spans="1:37" x14ac:dyDescent="0.25">
      <c r="A28" s="42">
        <v>182</v>
      </c>
      <c r="B28" s="76">
        <v>4691</v>
      </c>
      <c r="C28" s="75">
        <f t="shared" si="3"/>
        <v>12802</v>
      </c>
      <c r="D28" s="73">
        <f t="shared" si="0"/>
        <v>298.65489837754603</v>
      </c>
      <c r="E28" s="73">
        <f t="shared" si="1"/>
        <v>1066.6246370626645</v>
      </c>
      <c r="F28" s="6">
        <f>HistData!GQ23</f>
        <v>4.2664985482506579E-2</v>
      </c>
      <c r="G28" s="3">
        <f>+HistData!AW23</f>
        <v>3877.593253968254</v>
      </c>
      <c r="H28" s="3">
        <f>+HistData!AV23</f>
        <v>551.5</v>
      </c>
      <c r="J28" s="118"/>
      <c r="K28" s="119">
        <f t="shared" si="2"/>
        <v>300058.69813899393</v>
      </c>
      <c r="L28" s="119"/>
      <c r="N28" s="123"/>
      <c r="AC28" s="138">
        <v>183</v>
      </c>
      <c r="AD28" s="136">
        <v>425.82272877624041</v>
      </c>
      <c r="AE28" s="136">
        <v>1520.7954599151442</v>
      </c>
    </row>
    <row r="29" spans="1:37" ht="15.6" thickBot="1" x14ac:dyDescent="0.3">
      <c r="A29" s="42">
        <v>183</v>
      </c>
      <c r="B29" s="76">
        <v>4513</v>
      </c>
      <c r="C29" s="75">
        <f t="shared" si="3"/>
        <v>17315</v>
      </c>
      <c r="D29" s="73">
        <f t="shared" si="0"/>
        <v>333.79339805961314</v>
      </c>
      <c r="E29" s="73">
        <f t="shared" si="1"/>
        <v>1192.1192787843327</v>
      </c>
      <c r="F29" s="6">
        <f>HistData!GQ24</f>
        <v>4.7684771151373304E-2</v>
      </c>
      <c r="G29" s="3">
        <f>+HistData!AW24</f>
        <v>4424.4932539682541</v>
      </c>
      <c r="H29" s="3">
        <f>+HistData!AV24</f>
        <v>546.9</v>
      </c>
      <c r="J29" s="118">
        <f>IF(B29="","",C29/F32)</f>
        <v>251542.01138075173</v>
      </c>
      <c r="K29" s="119">
        <f t="shared" si="2"/>
        <v>363113.83240226231</v>
      </c>
      <c r="L29" s="119">
        <f>IF(B29="","",C29/F26)</f>
        <v>651820.09442907374</v>
      </c>
      <c r="N29" s="124">
        <f>IF(B29="","",C29/HistData!CU24)</f>
        <v>497015.05761426501</v>
      </c>
      <c r="P29" s="30" t="s">
        <v>51</v>
      </c>
      <c r="AC29" s="139">
        <v>184</v>
      </c>
      <c r="AD29" s="136">
        <v>470.73516768328108</v>
      </c>
      <c r="AE29" s="136">
        <v>1681.1970274402895</v>
      </c>
    </row>
    <row r="30" spans="1:37" x14ac:dyDescent="0.25">
      <c r="A30" s="42">
        <v>184</v>
      </c>
      <c r="B30" s="76">
        <v>5432</v>
      </c>
      <c r="C30" s="75">
        <f t="shared" si="3"/>
        <v>22747</v>
      </c>
      <c r="D30" s="73">
        <f t="shared" si="0"/>
        <v>360.76077596392452</v>
      </c>
      <c r="E30" s="73">
        <f t="shared" si="1"/>
        <v>1288.4313427283018</v>
      </c>
      <c r="F30" s="6">
        <f>HistData!GQ25</f>
        <v>5.1537253709132071E-2</v>
      </c>
      <c r="G30" s="3">
        <f>+HistData!AW25</f>
        <v>4912.7932539682542</v>
      </c>
      <c r="H30" s="3">
        <f>+HistData!AV25</f>
        <v>488.3</v>
      </c>
      <c r="J30" s="118">
        <f t="shared" ref="J30:J93" si="6">IF(B30="","",C30/F33)</f>
        <v>269143.48344205599</v>
      </c>
      <c r="K30" s="119">
        <f t="shared" ref="K30:K93" si="7">IF(B30="","",C30/F30)</f>
        <v>441370.04521778348</v>
      </c>
      <c r="L30" s="119">
        <f t="shared" ref="L30:L93" si="8">IF(B30="","",C30/F27)</f>
        <v>643702.36696882499</v>
      </c>
      <c r="N30" s="124">
        <f>IF(B30="","",C30/HistData!CU25)</f>
        <v>572606.21429032774</v>
      </c>
      <c r="AC30" s="137">
        <v>185</v>
      </c>
      <c r="AD30" s="136">
        <v>538.9055993021625</v>
      </c>
      <c r="AE30" s="136">
        <v>1924.6628546505804</v>
      </c>
    </row>
    <row r="31" spans="1:37" x14ac:dyDescent="0.25">
      <c r="A31" s="42">
        <v>185</v>
      </c>
      <c r="B31" s="76">
        <v>2001</v>
      </c>
      <c r="C31" s="75">
        <f t="shared" si="3"/>
        <v>24748</v>
      </c>
      <c r="D31" s="73">
        <f t="shared" si="0"/>
        <v>410.28080237963815</v>
      </c>
      <c r="E31" s="73">
        <f t="shared" si="1"/>
        <v>1465.2885799272792</v>
      </c>
      <c r="F31" s="6">
        <f>HistData!GQ26</f>
        <v>5.8611543197091165E-2</v>
      </c>
      <c r="G31" s="3">
        <f>+HistData!AW26</f>
        <v>5458.0932539682544</v>
      </c>
      <c r="H31" s="3">
        <f>+HistData!AV26</f>
        <v>545.29999999999995</v>
      </c>
      <c r="J31" s="118">
        <f>IF(B31="","",C31/F34)</f>
        <v>265259.1899619138</v>
      </c>
      <c r="K31" s="119">
        <f t="shared" si="7"/>
        <v>422237.64552283991</v>
      </c>
      <c r="L31" s="119">
        <f t="shared" si="8"/>
        <v>580054.10572909086</v>
      </c>
      <c r="N31" s="124">
        <f>IF(B31="","",C31/HistData!CU26)</f>
        <v>542223.54699832329</v>
      </c>
      <c r="AC31" s="138">
        <v>186</v>
      </c>
      <c r="AD31" s="136">
        <v>633.0019913180771</v>
      </c>
      <c r="AE31" s="136">
        <v>2260.7213975645609</v>
      </c>
    </row>
    <row r="32" spans="1:37" x14ac:dyDescent="0.25">
      <c r="A32" s="42">
        <v>186</v>
      </c>
      <c r="B32" s="76">
        <v>3651</v>
      </c>
      <c r="C32" s="75">
        <f t="shared" si="3"/>
        <v>28399</v>
      </c>
      <c r="D32" s="73">
        <f t="shared" si="0"/>
        <v>481.84793997109119</v>
      </c>
      <c r="E32" s="73">
        <f t="shared" si="1"/>
        <v>1720.8854998967543</v>
      </c>
      <c r="F32" s="6">
        <f>HistData!GQ27</f>
        <v>6.8835419995870173E-2</v>
      </c>
      <c r="G32" s="3">
        <f>+HistData!AW27</f>
        <v>6163.5932539682544</v>
      </c>
      <c r="H32" s="3">
        <f>+HistData!AV27</f>
        <v>705.5</v>
      </c>
      <c r="J32" s="118">
        <f t="shared" si="6"/>
        <v>283022.804765412</v>
      </c>
      <c r="K32" s="119">
        <f t="shared" si="7"/>
        <v>412563.76443557424</v>
      </c>
      <c r="L32" s="119">
        <f t="shared" si="8"/>
        <v>595557.01567380002</v>
      </c>
      <c r="N32" s="124">
        <f>IF(B32="","",C32/HistData!CU27)</f>
        <v>528882.68749872036</v>
      </c>
      <c r="AC32" s="138">
        <v>187</v>
      </c>
      <c r="AD32" s="136">
        <v>689.48249740653159</v>
      </c>
      <c r="AE32" s="136">
        <v>2462.4374907376132</v>
      </c>
    </row>
    <row r="33" spans="1:31" x14ac:dyDescent="0.25">
      <c r="A33" s="42">
        <v>187</v>
      </c>
      <c r="B33" s="76">
        <v>6184</v>
      </c>
      <c r="C33" s="75">
        <f t="shared" si="3"/>
        <v>34583</v>
      </c>
      <c r="D33" s="73">
        <f t="shared" si="0"/>
        <v>591.61380377348223</v>
      </c>
      <c r="E33" s="73">
        <f t="shared" si="1"/>
        <v>2112.9064420481509</v>
      </c>
      <c r="F33" s="6">
        <f>HistData!GQ28</f>
        <v>8.4516257681926041E-2</v>
      </c>
      <c r="G33" s="3">
        <f>+HistData!AW28</f>
        <v>7844.0932539682544</v>
      </c>
      <c r="H33" s="3">
        <f>+HistData!AV28</f>
        <v>1680.5</v>
      </c>
      <c r="J33" s="118">
        <f t="shared" si="6"/>
        <v>274673.28430867492</v>
      </c>
      <c r="K33" s="119">
        <f t="shared" si="7"/>
        <v>409187.54507744417</v>
      </c>
      <c r="L33" s="119">
        <f t="shared" si="8"/>
        <v>671029.1587359478</v>
      </c>
      <c r="N33" s="124">
        <f>IF(B33="","",C33/HistData!CU28)</f>
        <v>546462.27075466583</v>
      </c>
      <c r="AC33" s="138">
        <v>188</v>
      </c>
      <c r="AD33" s="136">
        <v>772.20772941192592</v>
      </c>
      <c r="AE33" s="136">
        <v>2757.8847478997354</v>
      </c>
    </row>
    <row r="34" spans="1:31" x14ac:dyDescent="0.25">
      <c r="A34" s="42">
        <v>188</v>
      </c>
      <c r="B34" s="76">
        <v>5338</v>
      </c>
      <c r="C34" s="75">
        <f t="shared" si="3"/>
        <v>39921</v>
      </c>
      <c r="D34" s="73">
        <f t="shared" si="0"/>
        <v>653.08199133411142</v>
      </c>
      <c r="E34" s="73">
        <f t="shared" si="1"/>
        <v>2332.4356833361121</v>
      </c>
      <c r="F34" s="6">
        <f>HistData!GQ29</f>
        <v>9.3297427333444483E-2</v>
      </c>
      <c r="G34" s="3">
        <f>+HistData!AW29</f>
        <v>8435.6932539682548</v>
      </c>
      <c r="H34" s="3">
        <f>+HistData!AV29</f>
        <v>591.6</v>
      </c>
      <c r="J34" s="118">
        <f t="shared" si="6"/>
        <v>285224.93385604711</v>
      </c>
      <c r="K34" s="119">
        <f t="shared" si="7"/>
        <v>427889.61218965414</v>
      </c>
      <c r="L34" s="119">
        <f t="shared" si="8"/>
        <v>681111.56646667584</v>
      </c>
      <c r="N34" s="124">
        <f>IF(B34="","",C34/HistData!CU29)</f>
        <v>551384.00672940502</v>
      </c>
      <c r="AC34" s="138">
        <v>189</v>
      </c>
      <c r="AD34" s="136">
        <v>817.66124345957019</v>
      </c>
      <c r="AE34" s="136">
        <v>2920.2187266413221</v>
      </c>
    </row>
    <row r="35" spans="1:31" x14ac:dyDescent="0.25">
      <c r="A35" s="42">
        <v>189</v>
      </c>
      <c r="B35" s="76">
        <v>7942</v>
      </c>
      <c r="C35" s="75">
        <f t="shared" si="3"/>
        <v>47863</v>
      </c>
      <c r="D35" s="73">
        <f t="shared" si="0"/>
        <v>702.39216293815184</v>
      </c>
      <c r="E35" s="73">
        <f t="shared" si="1"/>
        <v>2508.5434390648279</v>
      </c>
      <c r="F35" s="6">
        <f>HistData!GQ30</f>
        <v>0.10034173756259313</v>
      </c>
      <c r="G35" s="3">
        <f>+HistData!AW30</f>
        <v>9109.3932539682555</v>
      </c>
      <c r="H35" s="3">
        <f>+HistData!AV30</f>
        <v>673.7</v>
      </c>
      <c r="J35" s="118">
        <f t="shared" si="6"/>
        <v>282923.22637531057</v>
      </c>
      <c r="K35" s="119">
        <f t="shared" si="7"/>
        <v>476999.91212672676</v>
      </c>
      <c r="L35" s="119">
        <f>IF(B35="","",C35/F32)</f>
        <v>695325.16839254519</v>
      </c>
      <c r="N35" s="124">
        <f>IF(B35="","",C35/HistData!CU30)</f>
        <v>579279.59611226514</v>
      </c>
      <c r="AC35" s="138">
        <v>190</v>
      </c>
      <c r="AD35" s="136">
        <v>967.48700412281801</v>
      </c>
      <c r="AE35" s="136">
        <v>3455.3107290100643</v>
      </c>
    </row>
    <row r="36" spans="1:31" ht="15.6" thickBot="1" x14ac:dyDescent="0.3">
      <c r="A36" s="42">
        <v>190</v>
      </c>
      <c r="B36" s="76">
        <v>5410</v>
      </c>
      <c r="C36" s="75">
        <f t="shared" si="3"/>
        <v>53273</v>
      </c>
      <c r="D36" s="73">
        <f t="shared" si="0"/>
        <v>881.34162959930211</v>
      </c>
      <c r="E36" s="73">
        <f t="shared" si="1"/>
        <v>3147.6486771403647</v>
      </c>
      <c r="F36" s="6">
        <f>HistData!GQ31</f>
        <v>0.12590594708561459</v>
      </c>
      <c r="G36" s="3">
        <f>+HistData!AW31</f>
        <v>10985.393253968256</v>
      </c>
      <c r="H36" s="3">
        <f>+HistData!AV31</f>
        <v>1876</v>
      </c>
      <c r="J36" s="118">
        <f t="shared" si="6"/>
        <v>281659.71120011661</v>
      </c>
      <c r="K36" s="119">
        <f t="shared" si="7"/>
        <v>423117.42402267124</v>
      </c>
      <c r="L36" s="119">
        <f>IF(B36="","",C36/F33)</f>
        <v>630328.42983288562</v>
      </c>
      <c r="N36" s="124">
        <f>IF(B36="","",C36/HistData!CU31)</f>
        <v>545061.02264062362</v>
      </c>
      <c r="AC36" s="139">
        <v>191</v>
      </c>
      <c r="AD36" s="136">
        <v>1055.4736763777382</v>
      </c>
      <c r="AE36" s="136">
        <v>3769.5488442062083</v>
      </c>
    </row>
    <row r="37" spans="1:31" x14ac:dyDescent="0.25">
      <c r="A37" s="42">
        <v>191</v>
      </c>
      <c r="B37" s="74">
        <v>5433</v>
      </c>
      <c r="C37" s="75">
        <f t="shared" si="3"/>
        <v>58706</v>
      </c>
      <c r="D37" s="73">
        <f t="shared" si="0"/>
        <v>979.74253590689511</v>
      </c>
      <c r="E37" s="73">
        <f t="shared" si="1"/>
        <v>3499.0804853817685</v>
      </c>
      <c r="F37" s="6">
        <f>HistData!GQ32</f>
        <v>0.13996321941527073</v>
      </c>
      <c r="G37" s="3">
        <f>+HistData!AW32</f>
        <v>11870.793253968255</v>
      </c>
      <c r="H37" s="3">
        <f>+HistData!AV32</f>
        <v>885.4</v>
      </c>
      <c r="J37" s="118">
        <f t="shared" si="6"/>
        <v>287600.68060017162</v>
      </c>
      <c r="K37" s="119">
        <f t="shared" si="7"/>
        <v>419438.76573615643</v>
      </c>
      <c r="L37" s="119">
        <f t="shared" si="8"/>
        <v>629234.92831356521</v>
      </c>
      <c r="N37" s="124">
        <f>IF(B37="","",C37/HistData!CU32)</f>
        <v>530373.9632201239</v>
      </c>
      <c r="AC37" s="137">
        <v>192</v>
      </c>
      <c r="AD37" s="136">
        <v>1240.4080794503682</v>
      </c>
      <c r="AE37" s="136">
        <v>4430.0288551798867</v>
      </c>
    </row>
    <row r="38" spans="1:31" x14ac:dyDescent="0.25">
      <c r="A38" s="42">
        <v>192</v>
      </c>
      <c r="B38" s="76">
        <v>6808</v>
      </c>
      <c r="C38" s="75">
        <f t="shared" si="3"/>
        <v>65514</v>
      </c>
      <c r="D38" s="73">
        <f t="shared" si="0"/>
        <v>1184.2117181130716</v>
      </c>
      <c r="E38" s="73">
        <f t="shared" si="1"/>
        <v>4229.3275646895408</v>
      </c>
      <c r="F38" s="6">
        <f>HistData!GQ33</f>
        <v>0.16917310258758164</v>
      </c>
      <c r="G38" s="3">
        <f>+HistData!AW33</f>
        <v>14686.793253968255</v>
      </c>
      <c r="H38" s="3">
        <f>+HistData!AV33</f>
        <v>2816</v>
      </c>
      <c r="J38" s="118">
        <f t="shared" si="6"/>
        <v>286435.94243309309</v>
      </c>
      <c r="K38" s="119">
        <f t="shared" si="7"/>
        <v>387260.14359217137</v>
      </c>
      <c r="L38" s="119">
        <f t="shared" si="8"/>
        <v>652908.76549882744</v>
      </c>
      <c r="M38" s="7"/>
      <c r="N38" s="124">
        <f>IF(B38="","",C38/HistData!CU33)</f>
        <v>498264.95592858043</v>
      </c>
      <c r="O38" s="5"/>
      <c r="AC38" s="138">
        <v>193</v>
      </c>
      <c r="AD38" s="136">
        <v>1363.8850148464185</v>
      </c>
      <c r="AE38" s="136">
        <v>4871.0179101657804</v>
      </c>
    </row>
    <row r="39" spans="1:31" x14ac:dyDescent="0.25">
      <c r="A39" s="42">
        <v>193</v>
      </c>
      <c r="B39" s="76">
        <v>5114</v>
      </c>
      <c r="C39" s="75">
        <f t="shared" si="3"/>
        <v>70628</v>
      </c>
      <c r="D39" s="73">
        <f t="shared" si="0"/>
        <v>1323.9770729405109</v>
      </c>
      <c r="E39" s="73">
        <f t="shared" si="1"/>
        <v>4728.4895462161103</v>
      </c>
      <c r="F39" s="6">
        <f>HistData!GQ34</f>
        <v>0.18913958184864441</v>
      </c>
      <c r="G39" s="3">
        <f>+HistData!AW34</f>
        <v>16163.493253968256</v>
      </c>
      <c r="H39" s="3">
        <f>+HistData!AV34</f>
        <v>1476.7</v>
      </c>
      <c r="J39" s="118">
        <f t="shared" si="6"/>
        <v>291006.46367693448</v>
      </c>
      <c r="K39" s="119">
        <f t="shared" si="7"/>
        <v>373417.34241814492</v>
      </c>
      <c r="L39" s="119">
        <f t="shared" si="8"/>
        <v>560958.41089995357</v>
      </c>
      <c r="M39" s="7"/>
      <c r="N39" s="124">
        <f>IF(B39="","",C39/HistData!CU34)</f>
        <v>469537.93316177954</v>
      </c>
      <c r="O39" s="5"/>
      <c r="AC39" s="138">
        <v>194</v>
      </c>
      <c r="AD39" s="136">
        <v>1470.0081381903954</v>
      </c>
      <c r="AE39" s="136">
        <v>5250.0290649656981</v>
      </c>
    </row>
    <row r="40" spans="1:31" x14ac:dyDescent="0.25">
      <c r="A40" s="42">
        <v>194</v>
      </c>
      <c r="B40" s="76">
        <v>5290</v>
      </c>
      <c r="C40" s="75">
        <f t="shared" si="3"/>
        <v>75918</v>
      </c>
      <c r="D40" s="73">
        <f t="shared" si="0"/>
        <v>1428.8630998453721</v>
      </c>
      <c r="E40" s="73">
        <f>$S$1*F40</f>
        <v>5103.0824994477571</v>
      </c>
      <c r="F40" s="6">
        <f>HistData!GQ35</f>
        <v>0.20412329997791029</v>
      </c>
      <c r="G40" s="3">
        <f>+HistData!AW35</f>
        <v>17623.193253968257</v>
      </c>
      <c r="H40" s="3">
        <f>+HistData!AV35</f>
        <v>1459.7</v>
      </c>
      <c r="J40" s="118">
        <f t="shared" si="6"/>
        <v>283681.05880344089</v>
      </c>
      <c r="K40" s="119">
        <f t="shared" si="7"/>
        <v>371922.26467147871</v>
      </c>
      <c r="L40" s="119">
        <f t="shared" si="8"/>
        <v>542413.93072526692</v>
      </c>
      <c r="N40" s="124">
        <f>IF(B40="","",C40/HistData!CU35)</f>
        <v>448210.63968390028</v>
      </c>
      <c r="AC40" s="138">
        <v>195</v>
      </c>
      <c r="AD40" s="136">
        <v>1644.5464493066054</v>
      </c>
      <c r="AE40" s="136">
        <v>5873.3801760950191</v>
      </c>
    </row>
    <row r="41" spans="1:31" x14ac:dyDescent="0.25">
      <c r="A41" s="42">
        <v>195</v>
      </c>
      <c r="B41" s="76">
        <v>6436</v>
      </c>
      <c r="C41" s="75">
        <f t="shared" si="3"/>
        <v>82354</v>
      </c>
      <c r="D41" s="73">
        <f t="shared" si="0"/>
        <v>1601.0490726285905</v>
      </c>
      <c r="E41" s="73">
        <f t="shared" si="1"/>
        <v>5718.0324022449659</v>
      </c>
      <c r="F41" s="6">
        <f>HistData!GQ36</f>
        <v>0.22872129608979863</v>
      </c>
      <c r="G41" s="3">
        <f>+HistData!AW36</f>
        <v>19531.293253968255</v>
      </c>
      <c r="H41" s="3">
        <f>+HistData!AV36</f>
        <v>1908.1</v>
      </c>
      <c r="J41" s="118">
        <f t="shared" si="6"/>
        <v>291973.44036791538</v>
      </c>
      <c r="K41" s="119">
        <f t="shared" si="7"/>
        <v>360062.66756929737</v>
      </c>
      <c r="L41" s="119">
        <f t="shared" si="8"/>
        <v>486803.15452253987</v>
      </c>
      <c r="N41" s="124">
        <f>IF(B41="","",C41/HistData!CU36)</f>
        <v>438436.11538665777</v>
      </c>
      <c r="AC41" s="138">
        <v>196</v>
      </c>
      <c r="AD41" s="136">
        <v>1722.0800981175851</v>
      </c>
      <c r="AE41" s="136">
        <v>6150.2860647056605</v>
      </c>
    </row>
    <row r="42" spans="1:31" x14ac:dyDescent="0.25">
      <c r="A42" s="42">
        <v>196</v>
      </c>
      <c r="B42" s="76">
        <v>4972</v>
      </c>
      <c r="C42" s="75">
        <f t="shared" si="3"/>
        <v>87326</v>
      </c>
      <c r="D42" s="73">
        <f t="shared" ref="D42:D73" si="9">$R$1*F42</f>
        <v>1698.9175901909234</v>
      </c>
      <c r="E42" s="73">
        <f t="shared" ref="E42:E73" si="10">$S$1*F42</f>
        <v>6067.5628221104407</v>
      </c>
      <c r="F42" s="6">
        <f>HistData!GQ37</f>
        <v>0.24270251288441763</v>
      </c>
      <c r="G42" s="3">
        <f>+HistData!AW37</f>
        <v>21239.293253968255</v>
      </c>
      <c r="H42" s="3">
        <f>+HistData!AV37</f>
        <v>1708</v>
      </c>
      <c r="J42" s="118">
        <f t="shared" si="6"/>
        <v>293692.05613249767</v>
      </c>
      <c r="K42" s="119">
        <f t="shared" si="7"/>
        <v>359806.74020292208</v>
      </c>
      <c r="L42" s="119">
        <f t="shared" si="8"/>
        <v>461701.34853042598</v>
      </c>
      <c r="N42" s="124">
        <f>IF(B42="","",C42/HistData!CU37)</f>
        <v>423785.65033736656</v>
      </c>
      <c r="AC42" s="138">
        <v>197</v>
      </c>
      <c r="AD42" s="136">
        <v>1880.5719461615495</v>
      </c>
      <c r="AE42" s="136">
        <v>6716.3283791483909</v>
      </c>
    </row>
    <row r="43" spans="1:31" ht="15.6" thickBot="1" x14ac:dyDescent="0.3">
      <c r="A43" s="42">
        <v>197</v>
      </c>
      <c r="B43" s="76">
        <v>5679</v>
      </c>
      <c r="C43" s="75">
        <f t="shared" si="3"/>
        <v>93005</v>
      </c>
      <c r="D43" s="73">
        <f t="shared" si="9"/>
        <v>1873.322111252477</v>
      </c>
      <c r="E43" s="73">
        <f t="shared" si="10"/>
        <v>6690.4361116159898</v>
      </c>
      <c r="F43" s="6">
        <f>HistData!GQ38</f>
        <v>0.26761744446463959</v>
      </c>
      <c r="G43" s="3">
        <f>+HistData!AW38</f>
        <v>23185.193253968257</v>
      </c>
      <c r="H43" s="3">
        <f>+HistData!AV38</f>
        <v>1945.9</v>
      </c>
      <c r="J43" s="118">
        <f t="shared" si="6"/>
        <v>290424.03657903179</v>
      </c>
      <c r="K43" s="119">
        <f>IF(B43="","",C43/F43)</f>
        <v>347529.66192489292</v>
      </c>
      <c r="L43" s="119">
        <f t="shared" si="8"/>
        <v>455631.47377131745</v>
      </c>
      <c r="N43" s="124">
        <f>IF(B43="","",C43/HistData!CU38)</f>
        <v>412687.82130710687</v>
      </c>
      <c r="AC43" s="139">
        <v>198</v>
      </c>
      <c r="AD43" s="136">
        <v>2008.8669349665611</v>
      </c>
      <c r="AE43" s="136">
        <v>7174.5247677377183</v>
      </c>
    </row>
    <row r="44" spans="1:31" x14ac:dyDescent="0.25">
      <c r="A44" s="42">
        <v>198</v>
      </c>
      <c r="B44" s="76">
        <v>7083</v>
      </c>
      <c r="C44" s="75">
        <f t="shared" si="3"/>
        <v>100088</v>
      </c>
      <c r="D44" s="73">
        <f t="shared" si="9"/>
        <v>1974.4193145567649</v>
      </c>
      <c r="E44" s="73">
        <f t="shared" si="10"/>
        <v>7051.4975519884465</v>
      </c>
      <c r="F44" s="6">
        <f>HistData!GQ39</f>
        <v>0.28205990207953785</v>
      </c>
      <c r="G44" s="3">
        <f>+HistData!AW39</f>
        <v>24162.093253968258</v>
      </c>
      <c r="H44" s="3">
        <f>+HistData!AV39</f>
        <v>976.9</v>
      </c>
      <c r="J44" s="118">
        <f t="shared" si="6"/>
        <v>294737.23587711272</v>
      </c>
      <c r="K44" s="119">
        <f t="shared" si="7"/>
        <v>354846.60975233646</v>
      </c>
      <c r="L44" s="119">
        <f t="shared" si="8"/>
        <v>437598.07989503647</v>
      </c>
      <c r="N44" s="124">
        <f>IF(B44="","",C44/HistData!CU39)</f>
        <v>417529.85773092735</v>
      </c>
      <c r="AC44" s="137">
        <v>199</v>
      </c>
      <c r="AD44" s="136">
        <v>2116.1478455154188</v>
      </c>
      <c r="AE44" s="136">
        <v>7557.6708768407816</v>
      </c>
    </row>
    <row r="45" spans="1:31" x14ac:dyDescent="0.25">
      <c r="A45" s="42">
        <v>199</v>
      </c>
      <c r="B45" s="76">
        <v>1718</v>
      </c>
      <c r="C45" s="75">
        <f t="shared" si="3"/>
        <v>101806</v>
      </c>
      <c r="D45" s="73">
        <f t="shared" si="9"/>
        <v>2081.3705622470879</v>
      </c>
      <c r="E45" s="73">
        <f t="shared" si="10"/>
        <v>7433.4662937396006</v>
      </c>
      <c r="F45" s="6">
        <f>HistData!GQ40</f>
        <v>0.29733865174958402</v>
      </c>
      <c r="G45" s="3">
        <f>+HistData!AW40</f>
        <v>25573.99325396826</v>
      </c>
      <c r="H45" s="3">
        <f>+HistData!AV40</f>
        <v>1411.9</v>
      </c>
      <c r="J45" s="118">
        <f t="shared" si="6"/>
        <v>278487.32089534943</v>
      </c>
      <c r="K45" s="119">
        <f t="shared" si="7"/>
        <v>342390.73662626313</v>
      </c>
      <c r="L45" s="119">
        <f t="shared" si="8"/>
        <v>419468.25679750228</v>
      </c>
      <c r="N45" s="124">
        <f>IF(B45="","",C45/HistData!CU40)</f>
        <v>403828.80959252152</v>
      </c>
      <c r="AC45" s="138">
        <v>200</v>
      </c>
      <c r="AD45" s="136">
        <v>2291.6325066271047</v>
      </c>
      <c r="AE45" s="136">
        <v>8184.4018093825161</v>
      </c>
    </row>
    <row r="46" spans="1:31" x14ac:dyDescent="0.25">
      <c r="A46" s="42">
        <v>200</v>
      </c>
      <c r="B46" s="74">
        <v>1143</v>
      </c>
      <c r="C46" s="75">
        <f t="shared" si="3"/>
        <v>102949</v>
      </c>
      <c r="D46" s="73">
        <f t="shared" si="9"/>
        <v>2241.6705162171961</v>
      </c>
      <c r="E46" s="73">
        <f t="shared" si="10"/>
        <v>8005.966129347129</v>
      </c>
      <c r="F46" s="6">
        <f>HistData!GQ41</f>
        <v>0.32023864517388517</v>
      </c>
      <c r="G46" s="3">
        <f>+HistData!AW41</f>
        <v>27320.49325396826</v>
      </c>
      <c r="H46" s="3">
        <f>+HistData!AV41</f>
        <v>1746.5</v>
      </c>
      <c r="J46" s="118">
        <f t="shared" si="6"/>
        <v>271628.48818631045</v>
      </c>
      <c r="K46" s="119">
        <f t="shared" si="7"/>
        <v>321475.87916536466</v>
      </c>
      <c r="L46" s="119">
        <f t="shared" si="8"/>
        <v>384687.17988824041</v>
      </c>
      <c r="N46" s="124">
        <f>IF(B46="","",C46/HistData!CU41)</f>
        <v>382091.42615698377</v>
      </c>
      <c r="AC46" s="138">
        <v>201</v>
      </c>
      <c r="AD46" s="136">
        <v>2410.0986722681519</v>
      </c>
      <c r="AE46" s="136">
        <v>8607.4952581005418</v>
      </c>
    </row>
    <row r="47" spans="1:31" x14ac:dyDescent="0.25">
      <c r="A47" s="42">
        <v>201</v>
      </c>
      <c r="B47" s="76">
        <v>2237</v>
      </c>
      <c r="C47" s="75">
        <f t="shared" si="3"/>
        <v>105186</v>
      </c>
      <c r="D47" s="73">
        <f t="shared" si="9"/>
        <v>2377.0868241843514</v>
      </c>
      <c r="E47" s="73">
        <f t="shared" si="10"/>
        <v>8489.5958006583969</v>
      </c>
      <c r="F47" s="6">
        <f>HistData!GQ42</f>
        <v>0.33958383202633591</v>
      </c>
      <c r="G47" s="3">
        <f>+HistData!AW42</f>
        <v>28950.593253968258</v>
      </c>
      <c r="H47" s="3">
        <f>+HistData!AV42</f>
        <v>1630.1</v>
      </c>
      <c r="J47" s="118">
        <f t="shared" si="6"/>
        <v>264522.34747688874</v>
      </c>
      <c r="K47" s="119">
        <f>IF(B47="","",C47/F47)</f>
        <v>309749.72916803195</v>
      </c>
      <c r="L47" s="119">
        <f t="shared" si="8"/>
        <v>372920.78464360622</v>
      </c>
      <c r="N47" s="124">
        <f>IF(B47="","",C47/HistData!CU42)</f>
        <v>366528.15575081081</v>
      </c>
      <c r="AC47" s="138">
        <v>202</v>
      </c>
      <c r="AD47" s="136">
        <v>2597.2827010362021</v>
      </c>
      <c r="AE47" s="136">
        <v>9276.0096465578645</v>
      </c>
    </row>
    <row r="48" spans="1:31" x14ac:dyDescent="0.25">
      <c r="A48" s="42">
        <v>202</v>
      </c>
      <c r="B48" s="76">
        <v>4905</v>
      </c>
      <c r="C48" s="75">
        <f>IF(B48="",NA(),B48+C47)</f>
        <v>110091</v>
      </c>
      <c r="D48" s="73">
        <f t="shared" si="9"/>
        <v>2558.9746696863021</v>
      </c>
      <c r="E48" s="73">
        <f t="shared" si="10"/>
        <v>9139.1952488796505</v>
      </c>
      <c r="F48" s="6">
        <f>HistData!GQ43</f>
        <v>0.36556780995518601</v>
      </c>
      <c r="G48" s="3">
        <f>+HistData!AW43</f>
        <v>30857.093253968258</v>
      </c>
      <c r="H48" s="3">
        <f>+HistData!AV43</f>
        <v>1906.5</v>
      </c>
      <c r="J48" s="118">
        <f t="shared" si="6"/>
        <v>265641.52589303191</v>
      </c>
      <c r="K48" s="119">
        <f t="shared" si="7"/>
        <v>301150.69489705825</v>
      </c>
      <c r="L48" s="119">
        <f t="shared" si="8"/>
        <v>370254.58799994044</v>
      </c>
      <c r="N48" s="124">
        <f>IF(B48="","",C48/HistData!CU43)</f>
        <v>353323.9436309032</v>
      </c>
      <c r="AC48" s="138">
        <v>203</v>
      </c>
      <c r="AD48" s="136">
        <v>2694.5588985734639</v>
      </c>
      <c r="AE48" s="136">
        <v>9623.4246377623713</v>
      </c>
    </row>
    <row r="49" spans="1:31" x14ac:dyDescent="0.25">
      <c r="A49" s="42">
        <v>203</v>
      </c>
      <c r="B49" s="76">
        <v>11411</v>
      </c>
      <c r="C49" s="75">
        <f t="shared" si="3"/>
        <v>121502</v>
      </c>
      <c r="D49" s="73">
        <f t="shared" si="9"/>
        <v>2653.0464636158108</v>
      </c>
      <c r="E49" s="73">
        <f t="shared" si="10"/>
        <v>9475.1659414850401</v>
      </c>
      <c r="F49" s="6">
        <f>HistData!GQ44</f>
        <v>0.37900663765940157</v>
      </c>
      <c r="G49" s="3">
        <f>+HistData!AW44</f>
        <v>32000.393253968257</v>
      </c>
      <c r="H49" s="3">
        <f>+HistData!AV44</f>
        <v>1143.3</v>
      </c>
      <c r="J49" s="118">
        <f t="shared" si="6"/>
        <v>281608.79531879746</v>
      </c>
      <c r="K49" s="119">
        <f t="shared" si="7"/>
        <v>320580.13746236573</v>
      </c>
      <c r="L49" s="119">
        <f t="shared" si="8"/>
        <v>379410.79826273338</v>
      </c>
      <c r="N49" s="124">
        <f>IF(B49="","",C49/HistData!CU44)</f>
        <v>367055.63145313546</v>
      </c>
      <c r="AC49" s="138">
        <v>204</v>
      </c>
      <c r="AD49" s="136">
        <v>2851.9005463697717</v>
      </c>
      <c r="AE49" s="136">
        <v>10185.359094177757</v>
      </c>
    </row>
    <row r="50" spans="1:31" ht="15.6" thickBot="1" x14ac:dyDescent="0.3">
      <c r="A50" s="42">
        <v>204</v>
      </c>
      <c r="B50" s="76">
        <v>6162</v>
      </c>
      <c r="C50" s="75">
        <f t="shared" si="3"/>
        <v>127664</v>
      </c>
      <c r="D50" s="73">
        <f t="shared" si="9"/>
        <v>2783.5152947307429</v>
      </c>
      <c r="E50" s="73">
        <f t="shared" si="10"/>
        <v>9941.1260526097958</v>
      </c>
      <c r="F50" s="6">
        <f>HistData!GQ45</f>
        <v>0.39764504210439183</v>
      </c>
      <c r="G50" s="3">
        <f>+HistData!AW45</f>
        <v>33073.69325396826</v>
      </c>
      <c r="H50" s="3">
        <f>+HistData!AV45</f>
        <v>1073.3</v>
      </c>
      <c r="J50" s="118">
        <f t="shared" si="6"/>
        <v>277540.91415580781</v>
      </c>
      <c r="K50" s="119">
        <f t="shared" si="7"/>
        <v>321050.14895793668</v>
      </c>
      <c r="L50" s="119">
        <f t="shared" si="8"/>
        <v>375942.51539660821</v>
      </c>
      <c r="N50" s="124">
        <f>IF(B50="","",C50/HistData!CU45)</f>
        <v>355386.70233636821</v>
      </c>
      <c r="AC50" s="139">
        <v>205</v>
      </c>
      <c r="AD50" s="136">
        <v>2984.8308183819754</v>
      </c>
      <c r="AE50" s="136">
        <v>10660.110065649913</v>
      </c>
    </row>
    <row r="51" spans="1:31" x14ac:dyDescent="0.25">
      <c r="A51" s="42">
        <v>205</v>
      </c>
      <c r="B51" s="76">
        <v>2125</v>
      </c>
      <c r="C51" s="75">
        <f t="shared" si="3"/>
        <v>129789</v>
      </c>
      <c r="D51" s="73">
        <f t="shared" si="9"/>
        <v>2901.0411584155668</v>
      </c>
      <c r="E51" s="73">
        <f t="shared" si="10"/>
        <v>10360.861280055597</v>
      </c>
      <c r="F51" s="6">
        <f>HistData!GQ46</f>
        <v>0.41443445120222383</v>
      </c>
      <c r="G51" s="3">
        <f>+HistData!AW46</f>
        <v>34579.393253968257</v>
      </c>
      <c r="H51" s="3">
        <f>+HistData!AV46</f>
        <v>1505.7</v>
      </c>
      <c r="J51" s="118">
        <f t="shared" si="6"/>
        <v>267077.77017084131</v>
      </c>
      <c r="K51" s="119">
        <f t="shared" si="7"/>
        <v>313171.35827752238</v>
      </c>
      <c r="L51" s="119">
        <f t="shared" si="8"/>
        <v>355033.99496774754</v>
      </c>
      <c r="N51" s="124">
        <f>IF(B51="","",C51/HistData!CU46)</f>
        <v>339667.73048718157</v>
      </c>
      <c r="AC51" s="137">
        <v>206</v>
      </c>
      <c r="AD51" s="136">
        <v>3102.9879336357262</v>
      </c>
      <c r="AE51" s="136">
        <v>11082.099762984735</v>
      </c>
    </row>
    <row r="52" spans="1:31" x14ac:dyDescent="0.25">
      <c r="A52" s="42">
        <v>206</v>
      </c>
      <c r="B52" s="76">
        <v>3266</v>
      </c>
      <c r="C52" s="75">
        <f t="shared" si="3"/>
        <v>133055</v>
      </c>
      <c r="D52" s="73">
        <f t="shared" si="9"/>
        <v>3020.1968622363834</v>
      </c>
      <c r="E52" s="73">
        <f t="shared" si="10"/>
        <v>10786.417365129941</v>
      </c>
      <c r="F52" s="6">
        <f>HistData!GQ47</f>
        <v>0.43145669460519764</v>
      </c>
      <c r="G52" s="3">
        <f>+HistData!AW47</f>
        <v>36181.593253968254</v>
      </c>
      <c r="H52" s="3">
        <f>+HistData!AV47</f>
        <v>1602.2</v>
      </c>
      <c r="J52" s="118">
        <f t="shared" si="6"/>
        <v>263891.6396308933</v>
      </c>
      <c r="K52" s="119">
        <f t="shared" si="7"/>
        <v>308385.52666740131</v>
      </c>
      <c r="L52" s="119">
        <f t="shared" si="8"/>
        <v>351062.45321110002</v>
      </c>
      <c r="N52" s="124">
        <f>IF(B52="","",C52/HistData!CU47)</f>
        <v>325181.12007967976</v>
      </c>
      <c r="AC52" s="138">
        <v>207</v>
      </c>
      <c r="AD52" s="136">
        <v>3278.1807643373299</v>
      </c>
      <c r="AE52" s="136">
        <v>11707.788444061893</v>
      </c>
    </row>
    <row r="53" spans="1:31" x14ac:dyDescent="0.25">
      <c r="A53" s="42">
        <v>207</v>
      </c>
      <c r="B53" s="74">
        <v>2513</v>
      </c>
      <c r="C53" s="75">
        <f t="shared" si="3"/>
        <v>135568</v>
      </c>
      <c r="D53" s="73">
        <f t="shared" si="9"/>
        <v>3219.8784194330274</v>
      </c>
      <c r="E53" s="73">
        <f t="shared" si="10"/>
        <v>11499.565783689382</v>
      </c>
      <c r="F53" s="6">
        <f>HistData!GQ48</f>
        <v>0.45998263134757533</v>
      </c>
      <c r="G53" s="3">
        <f>+HistData!AW48</f>
        <v>38164.193253968253</v>
      </c>
      <c r="H53" s="3">
        <f>+HistData!AV48</f>
        <v>1982.6</v>
      </c>
      <c r="J53" s="118">
        <f t="shared" si="6"/>
        <v>257764.95365552243</v>
      </c>
      <c r="K53" s="119">
        <f t="shared" si="7"/>
        <v>294724.17165586661</v>
      </c>
      <c r="L53" s="119">
        <f t="shared" si="8"/>
        <v>340927.17284378962</v>
      </c>
      <c r="N53" s="124">
        <f>IF(B53="","",C53/HistData!CU48)</f>
        <v>312614.70986589807</v>
      </c>
      <c r="AC53" s="138">
        <v>208</v>
      </c>
      <c r="AD53" s="136">
        <v>3518.0659328732213</v>
      </c>
      <c r="AE53" s="136">
        <v>12564.521188832934</v>
      </c>
    </row>
    <row r="54" spans="1:31" x14ac:dyDescent="0.25">
      <c r="A54" s="42">
        <v>208</v>
      </c>
      <c r="B54" s="74">
        <v>3517</v>
      </c>
      <c r="C54" s="75">
        <f t="shared" si="3"/>
        <v>139085</v>
      </c>
      <c r="D54" s="73">
        <f t="shared" si="9"/>
        <v>3401.7170332777832</v>
      </c>
      <c r="E54" s="73">
        <f t="shared" si="10"/>
        <v>12148.989404563512</v>
      </c>
      <c r="F54" s="6">
        <f>HistData!GQ49</f>
        <v>0.48595957618254049</v>
      </c>
      <c r="G54" s="3">
        <f>+HistData!AW49</f>
        <v>39319.89325396825</v>
      </c>
      <c r="H54" s="3">
        <f>+HistData!AV49</f>
        <v>1155.7</v>
      </c>
      <c r="J54" s="118">
        <f t="shared" si="6"/>
        <v>255876.1129813217</v>
      </c>
      <c r="K54" s="119">
        <f t="shared" si="7"/>
        <v>286206.93328565184</v>
      </c>
      <c r="L54" s="119">
        <f t="shared" si="8"/>
        <v>335601.92594156053</v>
      </c>
      <c r="N54" s="124">
        <f>IF(B54="","",C54/HistData!CU49)</f>
        <v>302387.93180811318</v>
      </c>
      <c r="AC54" s="138">
        <v>209</v>
      </c>
      <c r="AD54" s="136">
        <v>3663.455834412438</v>
      </c>
      <c r="AE54" s="136">
        <v>13083.770837187278</v>
      </c>
    </row>
    <row r="55" spans="1:31" x14ac:dyDescent="0.25">
      <c r="A55" s="42">
        <v>209</v>
      </c>
      <c r="B55" s="74">
        <v>1139</v>
      </c>
      <c r="C55" s="75">
        <f t="shared" si="3"/>
        <v>140224</v>
      </c>
      <c r="D55" s="73">
        <f t="shared" si="9"/>
        <v>3529.4221571503113</v>
      </c>
      <c r="E55" s="73">
        <f t="shared" si="10"/>
        <v>12605.079132679684</v>
      </c>
      <c r="F55" s="6">
        <f>HistData!GQ50</f>
        <v>0.50420316530718734</v>
      </c>
      <c r="G55" s="3">
        <f>+HistData!AW50</f>
        <v>40566.093253968247</v>
      </c>
      <c r="H55" s="3">
        <f>+HistData!AV50</f>
        <v>1246.2</v>
      </c>
      <c r="J55" s="118">
        <f t="shared" si="6"/>
        <v>249213.26998531068</v>
      </c>
      <c r="K55" s="119">
        <f t="shared" si="7"/>
        <v>278110.11443089234</v>
      </c>
      <c r="L55" s="119">
        <f t="shared" si="8"/>
        <v>325001.33096395986</v>
      </c>
      <c r="N55" s="124">
        <f>IF(B55="","",C55/HistData!CU50)</f>
        <v>289177.16486004449</v>
      </c>
      <c r="AC55" s="138">
        <v>210</v>
      </c>
      <c r="AD55" s="136">
        <v>3804.2637652588287</v>
      </c>
      <c r="AE55" s="136">
        <v>13586.656304495817</v>
      </c>
    </row>
    <row r="56" spans="1:31" ht="15.6" customHeight="1" x14ac:dyDescent="0.25">
      <c r="A56" s="42">
        <v>210</v>
      </c>
      <c r="B56" s="74">
        <v>3744</v>
      </c>
      <c r="C56" s="75">
        <f t="shared" si="3"/>
        <v>143968</v>
      </c>
      <c r="D56" s="73">
        <f t="shared" si="9"/>
        <v>3681.5555665810693</v>
      </c>
      <c r="E56" s="73">
        <f t="shared" si="10"/>
        <v>13148.412737789533</v>
      </c>
      <c r="F56" s="6">
        <f>HistData!GQ51</f>
        <v>0.52593650951158133</v>
      </c>
      <c r="G56" s="3">
        <f>+HistData!AW51</f>
        <v>42463.39325396825</v>
      </c>
      <c r="H56" s="3">
        <f>+HistData!AV51</f>
        <v>1897.3</v>
      </c>
      <c r="J56" s="118">
        <f t="shared" si="6"/>
        <v>247212.24702853954</v>
      </c>
      <c r="K56" s="119">
        <f t="shared" si="7"/>
        <v>273736.46323526389</v>
      </c>
      <c r="L56" s="119">
        <f t="shared" si="8"/>
        <v>312985.73073993716</v>
      </c>
      <c r="N56" s="124">
        <f>IF(B56="","",C56/HistData!CU51)</f>
        <v>282967.43947090802</v>
      </c>
      <c r="AC56" s="138">
        <v>211</v>
      </c>
      <c r="AD56" s="136">
        <v>3920.9348323390068</v>
      </c>
      <c r="AE56" s="136">
        <v>14003.338686925024</v>
      </c>
    </row>
    <row r="57" spans="1:31" ht="15.6" thickBot="1" x14ac:dyDescent="0.3">
      <c r="A57" s="42">
        <v>211</v>
      </c>
      <c r="B57" s="74">
        <v>3006</v>
      </c>
      <c r="C57" s="75">
        <f t="shared" si="3"/>
        <v>146974</v>
      </c>
      <c r="D57" s="73">
        <f t="shared" si="9"/>
        <v>3804.9468106117042</v>
      </c>
      <c r="E57" s="73">
        <f t="shared" si="10"/>
        <v>13589.095752184658</v>
      </c>
      <c r="F57" s="6">
        <f>HistData!GQ52</f>
        <v>0.54356383008738629</v>
      </c>
      <c r="G57" s="3">
        <f>+HistData!AW52</f>
        <v>44077.593253968247</v>
      </c>
      <c r="H57" s="3">
        <f>+HistData!AV52</f>
        <v>1614.2</v>
      </c>
      <c r="J57" s="118">
        <f t="shared" si="6"/>
        <v>244981.34431911958</v>
      </c>
      <c r="K57" s="119">
        <f t="shared" si="7"/>
        <v>270389.58787300409</v>
      </c>
      <c r="L57" s="119">
        <f t="shared" si="8"/>
        <v>302440.79385070561</v>
      </c>
      <c r="N57" s="124">
        <f>IF(B57="","",C57/HistData!CU52)</f>
        <v>278136.77246914501</v>
      </c>
      <c r="AC57" s="139">
        <v>212</v>
      </c>
      <c r="AD57" s="136">
        <v>4075.1121676068201</v>
      </c>
      <c r="AE57" s="136">
        <v>14553.972027167214</v>
      </c>
    </row>
    <row r="58" spans="1:31" ht="15" customHeight="1" x14ac:dyDescent="0.25">
      <c r="A58" s="42">
        <v>212</v>
      </c>
      <c r="B58" s="74">
        <v>5891</v>
      </c>
      <c r="C58" s="75">
        <f t="shared" si="3"/>
        <v>152865</v>
      </c>
      <c r="D58" s="73">
        <f t="shared" si="9"/>
        <v>3938.666669145894</v>
      </c>
      <c r="E58" s="73">
        <f t="shared" si="10"/>
        <v>14066.66667552105</v>
      </c>
      <c r="F58" s="6">
        <f>HistData!GQ53</f>
        <v>0.562666667020842</v>
      </c>
      <c r="G58" s="3">
        <f>+HistData!AW53</f>
        <v>45483.443794524675</v>
      </c>
      <c r="H58" s="3">
        <f>+HistData!AV53</f>
        <v>1405.8505405564313</v>
      </c>
      <c r="J58" s="118">
        <f t="shared" si="6"/>
        <v>245896.54227021575</v>
      </c>
      <c r="K58" s="119">
        <f t="shared" si="7"/>
        <v>271679.50219865725</v>
      </c>
      <c r="L58" s="119">
        <f t="shared" si="8"/>
        <v>303181.35727463459</v>
      </c>
      <c r="N58" s="124">
        <f>IF(B58="","",C58/HistData!CU53)</f>
        <v>277020.04816608346</v>
      </c>
      <c r="AC58" s="137">
        <v>213</v>
      </c>
      <c r="AD58" s="136">
        <v>4252.6613023221644</v>
      </c>
      <c r="AE58" s="136">
        <v>15188.076079722015</v>
      </c>
    </row>
    <row r="59" spans="1:31" x14ac:dyDescent="0.25">
      <c r="A59" s="42">
        <v>213</v>
      </c>
      <c r="B59" s="74">
        <v>4471</v>
      </c>
      <c r="C59" s="75">
        <f t="shared" si="3"/>
        <v>157336</v>
      </c>
      <c r="D59" s="73">
        <f t="shared" si="9"/>
        <v>4076.5617889620848</v>
      </c>
      <c r="E59" s="73">
        <f t="shared" si="10"/>
        <v>14559.14924629316</v>
      </c>
      <c r="F59" s="6">
        <f>HistData!GQ54</f>
        <v>0.58236596985172639</v>
      </c>
      <c r="G59" s="3">
        <f>+HistData!AW54</f>
        <v>47187.990951097316</v>
      </c>
      <c r="H59" s="3">
        <f>+HistData!AV54</f>
        <v>1704.5471565726407</v>
      </c>
      <c r="J59" s="118">
        <f t="shared" si="6"/>
        <v>243003.45281825794</v>
      </c>
      <c r="K59" s="119">
        <f t="shared" si="7"/>
        <v>270166.8849916808</v>
      </c>
      <c r="L59" s="119">
        <f t="shared" si="8"/>
        <v>299153.97990930959</v>
      </c>
      <c r="N59" s="124">
        <f>IF(B59="","",C59/HistData!CU54)</f>
        <v>272018.90290948644</v>
      </c>
      <c r="AC59" s="138">
        <v>214</v>
      </c>
      <c r="AD59" s="136">
        <v>4392.0685626922104</v>
      </c>
      <c r="AE59" s="136">
        <v>15685.959152472178</v>
      </c>
    </row>
    <row r="60" spans="1:31" x14ac:dyDescent="0.25">
      <c r="A60" s="42">
        <v>214</v>
      </c>
      <c r="B60" s="74">
        <v>6756</v>
      </c>
      <c r="C60" s="75">
        <f t="shared" si="3"/>
        <v>164092</v>
      </c>
      <c r="D60" s="73">
        <f t="shared" si="9"/>
        <v>4199.5769223138586</v>
      </c>
      <c r="E60" s="73">
        <f t="shared" si="10"/>
        <v>14998.489008263783</v>
      </c>
      <c r="F60" s="6">
        <f>HistData!GQ55</f>
        <v>0.59993956033055129</v>
      </c>
      <c r="G60" s="3">
        <f>+HistData!AW55</f>
        <v>48570.590951097314</v>
      </c>
      <c r="H60" s="3">
        <f>+HistData!AV55</f>
        <v>1382.6</v>
      </c>
      <c r="J60" s="118">
        <f t="shared" si="6"/>
        <v>243661.35306862948</v>
      </c>
      <c r="K60" s="119">
        <f t="shared" si="7"/>
        <v>273514.2185149276</v>
      </c>
      <c r="L60" s="119">
        <f t="shared" si="8"/>
        <v>301881.7495152679</v>
      </c>
      <c r="N60" s="124">
        <f>IF(B60="","",C60/HistData!CU55)</f>
        <v>273717.55532123882</v>
      </c>
      <c r="AC60" s="138">
        <v>215</v>
      </c>
      <c r="AD60" s="136">
        <v>4522.4197546774258</v>
      </c>
      <c r="AE60" s="136">
        <v>16151.499123847949</v>
      </c>
    </row>
    <row r="61" spans="1:31" x14ac:dyDescent="0.25">
      <c r="A61" s="42">
        <v>215</v>
      </c>
      <c r="B61" s="74">
        <v>3947</v>
      </c>
      <c r="C61" s="75">
        <f t="shared" si="3"/>
        <v>168039</v>
      </c>
      <c r="D61" s="73">
        <f t="shared" si="9"/>
        <v>4351.6472013832399</v>
      </c>
      <c r="E61" s="73">
        <f t="shared" si="10"/>
        <v>15541.597147797287</v>
      </c>
      <c r="F61" s="6">
        <f>HistData!GQ56</f>
        <v>0.62166388591189148</v>
      </c>
      <c r="G61" s="3">
        <f>+HistData!AW56</f>
        <v>50440.890951097317</v>
      </c>
      <c r="H61" s="3">
        <f>+HistData!AV56</f>
        <v>1870.3</v>
      </c>
      <c r="J61" s="118">
        <f t="shared" si="6"/>
        <v>241715.16206426514</v>
      </c>
      <c r="K61" s="119">
        <f t="shared" si="7"/>
        <v>270305.23054031195</v>
      </c>
      <c r="L61" s="119">
        <f t="shared" si="8"/>
        <v>298647.51166035503</v>
      </c>
      <c r="N61" s="124">
        <f>IF(B61="","",C61/HistData!CU56)</f>
        <v>271238.14639233612</v>
      </c>
      <c r="AC61" s="138">
        <v>216</v>
      </c>
      <c r="AD61" s="136">
        <v>4689.0397979368827</v>
      </c>
      <c r="AE61" s="136">
        <v>16746.570706917439</v>
      </c>
    </row>
    <row r="62" spans="1:31" x14ac:dyDescent="0.25">
      <c r="A62" s="42">
        <v>216</v>
      </c>
      <c r="B62" s="74">
        <v>2715</v>
      </c>
      <c r="C62" s="75">
        <f t="shared" si="3"/>
        <v>170754</v>
      </c>
      <c r="D62" s="73">
        <f t="shared" si="9"/>
        <v>4532.2483579017298</v>
      </c>
      <c r="E62" s="73">
        <f t="shared" si="10"/>
        <v>16186.601278220463</v>
      </c>
      <c r="F62" s="6">
        <f>HistData!GQ57</f>
        <v>0.64746405112881855</v>
      </c>
      <c r="G62" s="3">
        <f>+HistData!AW57</f>
        <v>52615.890951097317</v>
      </c>
      <c r="H62" s="3">
        <f>+HistData!AV57</f>
        <v>2175</v>
      </c>
      <c r="J62" s="118">
        <f t="shared" si="6"/>
        <v>240269.23455969105</v>
      </c>
      <c r="K62" s="119">
        <f t="shared" si="7"/>
        <v>263727.38332313532</v>
      </c>
      <c r="L62" s="119">
        <f t="shared" si="8"/>
        <v>293207.37961985468</v>
      </c>
      <c r="N62" s="124">
        <f>IF(B62="","",C62/HistData!CU57)</f>
        <v>266417.65451473062</v>
      </c>
      <c r="AC62" s="138">
        <v>217</v>
      </c>
      <c r="AD62" s="136">
        <v>4835.5796097653329</v>
      </c>
      <c r="AE62" s="136">
        <v>17269.927177733331</v>
      </c>
    </row>
    <row r="63" spans="1:31" x14ac:dyDescent="0.25">
      <c r="A63" s="42">
        <v>217</v>
      </c>
      <c r="B63" s="74">
        <v>6177</v>
      </c>
      <c r="C63" s="75">
        <f t="shared" si="3"/>
        <v>176931</v>
      </c>
      <c r="D63" s="73">
        <f t="shared" si="9"/>
        <v>4714.1000636094877</v>
      </c>
      <c r="E63" s="73">
        <f t="shared" si="10"/>
        <v>16836.071655748168</v>
      </c>
      <c r="F63" s="6">
        <f>HistData!GQ58</f>
        <v>0.67344286622992677</v>
      </c>
      <c r="G63" s="3">
        <f>+HistData!AW58</f>
        <v>54456.590951097314</v>
      </c>
      <c r="H63" s="3">
        <f>+HistData!AV58</f>
        <v>1840.7</v>
      </c>
      <c r="J63" s="118">
        <f t="shared" si="6"/>
        <v>240198.46757860703</v>
      </c>
      <c r="K63" s="119">
        <f t="shared" si="7"/>
        <v>262726.07354280329</v>
      </c>
      <c r="L63" s="119">
        <f t="shared" si="8"/>
        <v>294914.70757906942</v>
      </c>
      <c r="N63" s="124">
        <f>IF(B63="","",C63/HistData!CU58)</f>
        <v>266212.61049862852</v>
      </c>
      <c r="AC63" s="138">
        <v>218</v>
      </c>
      <c r="AD63" s="136">
        <v>4990.9917027047823</v>
      </c>
      <c r="AE63" s="136">
        <v>17824.970366802794</v>
      </c>
    </row>
    <row r="64" spans="1:31" ht="15.6" thickBot="1" x14ac:dyDescent="0.3">
      <c r="A64" s="42">
        <v>218</v>
      </c>
      <c r="B64" s="74">
        <v>6462</v>
      </c>
      <c r="C64" s="75">
        <f t="shared" si="3"/>
        <v>183393</v>
      </c>
      <c r="D64" s="73">
        <f t="shared" si="9"/>
        <v>4866.3600162875291</v>
      </c>
      <c r="E64" s="73">
        <f t="shared" si="10"/>
        <v>17379.857201026887</v>
      </c>
      <c r="F64" s="6">
        <f>HistData!GQ59</f>
        <v>0.69519428804107553</v>
      </c>
      <c r="G64" s="3">
        <f>+HistData!AW59</f>
        <v>55878.790951097311</v>
      </c>
      <c r="H64" s="3">
        <f>+HistData!AV59</f>
        <v>1422.2</v>
      </c>
      <c r="J64" s="118">
        <f t="shared" si="6"/>
        <v>243171.79744123598</v>
      </c>
      <c r="K64" s="119">
        <f t="shared" si="7"/>
        <v>263801.07425330894</v>
      </c>
      <c r="L64" s="119">
        <f t="shared" si="8"/>
        <v>295003.46434148873</v>
      </c>
      <c r="N64" s="124">
        <f>IF(B64="","",C64/HistData!CU59)</f>
        <v>266756.40140212455</v>
      </c>
      <c r="AC64" s="139">
        <v>219</v>
      </c>
      <c r="AD64" s="136">
        <v>5093.2782070667499</v>
      </c>
      <c r="AE64" s="136">
        <v>18190.279310952679</v>
      </c>
    </row>
    <row r="65" spans="1:31" x14ac:dyDescent="0.25">
      <c r="A65" s="42">
        <v>219</v>
      </c>
      <c r="B65" s="74">
        <v>1369</v>
      </c>
      <c r="C65" s="75">
        <f t="shared" si="3"/>
        <v>184762</v>
      </c>
      <c r="D65" s="73">
        <f t="shared" si="9"/>
        <v>4974.7442788104954</v>
      </c>
      <c r="E65" s="73">
        <f t="shared" si="10"/>
        <v>17766.943852894627</v>
      </c>
      <c r="F65" s="6">
        <f>HistData!GQ60</f>
        <v>0.71067775411578504</v>
      </c>
      <c r="G65" s="3">
        <f>+HistData!AW60</f>
        <v>57135.590951097314</v>
      </c>
      <c r="H65" s="3">
        <f>+HistData!AV60</f>
        <v>1256.8</v>
      </c>
      <c r="J65" s="118">
        <f t="shared" si="6"/>
        <v>237406.93805637016</v>
      </c>
      <c r="K65" s="119">
        <f t="shared" si="7"/>
        <v>259979.99646109395</v>
      </c>
      <c r="L65" s="119">
        <f t="shared" si="8"/>
        <v>285362.56133120821</v>
      </c>
      <c r="N65" s="124">
        <f>IF(B65="","",C65/HistData!CU60)</f>
        <v>261088.59717589457</v>
      </c>
      <c r="AC65" s="137">
        <v>220</v>
      </c>
      <c r="AD65" s="136">
        <v>5255.2230586159367</v>
      </c>
      <c r="AE65" s="136">
        <v>18768.653780771201</v>
      </c>
    </row>
    <row r="66" spans="1:31" x14ac:dyDescent="0.25">
      <c r="A66" s="42">
        <v>220</v>
      </c>
      <c r="B66" s="74">
        <v>4803</v>
      </c>
      <c r="C66" s="75">
        <f t="shared" si="3"/>
        <v>189565</v>
      </c>
      <c r="D66" s="73">
        <f t="shared" si="9"/>
        <v>5156.2235699721296</v>
      </c>
      <c r="E66" s="73">
        <f t="shared" si="10"/>
        <v>18415.08417847189</v>
      </c>
      <c r="F66" s="6">
        <f>HistData!GQ61</f>
        <v>0.73660336713887564</v>
      </c>
      <c r="G66" s="3">
        <f>+HistData!AW61</f>
        <v>59140.290951097311</v>
      </c>
      <c r="H66" s="3">
        <f>+HistData!AV61</f>
        <v>2004.7</v>
      </c>
      <c r="J66" s="118">
        <f t="shared" si="6"/>
        <v>237824.79679933275</v>
      </c>
      <c r="K66" s="119">
        <f t="shared" si="7"/>
        <v>257350.16761640777</v>
      </c>
      <c r="L66" s="119">
        <f t="shared" si="8"/>
        <v>281486.38808994193</v>
      </c>
      <c r="N66" s="124">
        <f>IF(B66="","",C66/HistData!CU61)</f>
        <v>259811.56087804292</v>
      </c>
      <c r="AC66" s="138">
        <v>221</v>
      </c>
      <c r="AD66" s="136">
        <v>5366.490112512437</v>
      </c>
      <c r="AE66" s="136">
        <v>19166.036116115847</v>
      </c>
    </row>
    <row r="67" spans="1:31" x14ac:dyDescent="0.25">
      <c r="A67" s="42">
        <v>221</v>
      </c>
      <c r="B67" s="74">
        <v>3712</v>
      </c>
      <c r="C67" s="75">
        <f t="shared" si="3"/>
        <v>193277</v>
      </c>
      <c r="D67" s="73">
        <f t="shared" si="9"/>
        <v>5279.1936133557047</v>
      </c>
      <c r="E67" s="73">
        <f t="shared" si="10"/>
        <v>18854.262904841802</v>
      </c>
      <c r="F67" s="6">
        <f>HistData!GQ62</f>
        <v>0.75417051619367204</v>
      </c>
      <c r="G67" s="3">
        <f>+HistData!AW62</f>
        <v>60623.490951097308</v>
      </c>
      <c r="H67" s="3">
        <f>+HistData!AV62</f>
        <v>1483.2</v>
      </c>
      <c r="J67" s="118">
        <f t="shared" si="6"/>
        <v>236157.15740845574</v>
      </c>
      <c r="K67" s="119">
        <f t="shared" si="7"/>
        <v>256277.58689835362</v>
      </c>
      <c r="L67" s="119">
        <f t="shared" si="8"/>
        <v>278018.68243857066</v>
      </c>
      <c r="N67" s="124">
        <f>IF(B67="","",C67/HistData!CU62)</f>
        <v>257744.2144574454</v>
      </c>
      <c r="AC67" s="138">
        <v>222</v>
      </c>
      <c r="AD67" s="136">
        <v>5509.2761928257669</v>
      </c>
      <c r="AE67" s="136">
        <v>19675.986402949165</v>
      </c>
    </row>
    <row r="68" spans="1:31" x14ac:dyDescent="0.25">
      <c r="A68" s="42">
        <v>222</v>
      </c>
      <c r="B68" s="74">
        <v>0</v>
      </c>
      <c r="C68" s="75">
        <f t="shared" si="3"/>
        <v>193277</v>
      </c>
      <c r="D68" s="73">
        <f t="shared" si="9"/>
        <v>5447.7514877552121</v>
      </c>
      <c r="E68" s="73">
        <f t="shared" si="10"/>
        <v>19456.255313411471</v>
      </c>
      <c r="F68" s="6">
        <f>HistData!GQ63</f>
        <v>0.77825021253645887</v>
      </c>
      <c r="G68" s="3">
        <f>+HistData!AW63</f>
        <v>62782.990951097308</v>
      </c>
      <c r="H68" s="3">
        <f>+HistData!AV63</f>
        <v>2159.5</v>
      </c>
      <c r="J68" s="118">
        <f t="shared" si="6"/>
        <v>231968.3117651247</v>
      </c>
      <c r="K68" s="119">
        <f t="shared" si="7"/>
        <v>248348.14933114522</v>
      </c>
      <c r="L68" s="119">
        <f t="shared" si="8"/>
        <v>271961.51684876141</v>
      </c>
      <c r="N68" s="124">
        <f>IF(B68="","",C68/HistData!CU63)</f>
        <v>252027.4466059687</v>
      </c>
      <c r="AC68" s="138">
        <v>223</v>
      </c>
      <c r="AD68" s="136">
        <v>5620.306680742925</v>
      </c>
      <c r="AE68" s="136">
        <v>20072.523859796158</v>
      </c>
    </row>
    <row r="69" spans="1:31" x14ac:dyDescent="0.25">
      <c r="A69" s="42">
        <v>223</v>
      </c>
      <c r="B69" s="74">
        <v>4723</v>
      </c>
      <c r="C69" s="75">
        <f t="shared" si="3"/>
        <v>198000</v>
      </c>
      <c r="D69" s="73">
        <f t="shared" si="9"/>
        <v>5579.5485494291524</v>
      </c>
      <c r="E69" s="73">
        <f t="shared" si="10"/>
        <v>19926.959105104117</v>
      </c>
      <c r="F69" s="6">
        <f>HistData!GQ64</f>
        <v>0.79707836420416467</v>
      </c>
      <c r="G69" s="3">
        <f>+HistData!AW64</f>
        <v>64239.990951097308</v>
      </c>
      <c r="H69" s="3">
        <f>+HistData!AV64</f>
        <v>1457</v>
      </c>
      <c r="J69" s="118">
        <f t="shared" si="6"/>
        <v>233803.07121946861</v>
      </c>
      <c r="K69" s="119">
        <f t="shared" si="7"/>
        <v>248407.19418810372</v>
      </c>
      <c r="L69" s="119">
        <f t="shared" si="8"/>
        <v>268801.37782844267</v>
      </c>
      <c r="N69" s="124">
        <f>IF(B69="","",C69/HistData!CU64)</f>
        <v>252104.00952232446</v>
      </c>
      <c r="AC69" s="138">
        <v>224</v>
      </c>
      <c r="AD69" s="136">
        <v>5760.9860223403175</v>
      </c>
      <c r="AE69" s="136">
        <v>20574.950079786846</v>
      </c>
    </row>
    <row r="70" spans="1:31" x14ac:dyDescent="0.25">
      <c r="A70" s="42">
        <v>224</v>
      </c>
      <c r="B70" s="74">
        <v>8020</v>
      </c>
      <c r="C70" s="75">
        <f t="shared" si="3"/>
        <v>206020</v>
      </c>
      <c r="D70" s="73">
        <f t="shared" si="9"/>
        <v>5728.9773252985351</v>
      </c>
      <c r="E70" s="73">
        <f t="shared" si="10"/>
        <v>20460.633304637628</v>
      </c>
      <c r="F70" s="6">
        <f>HistData!GQ65</f>
        <v>0.81842533218550506</v>
      </c>
      <c r="G70" s="3">
        <f>+HistData!AW65</f>
        <v>65587.490951097308</v>
      </c>
      <c r="H70" s="3">
        <f>+HistData!AV65</f>
        <v>1347.5</v>
      </c>
      <c r="J70" s="118">
        <f t="shared" si="6"/>
        <v>240141.77987291437</v>
      </c>
      <c r="K70" s="119">
        <f t="shared" si="7"/>
        <v>251727.30107198504</v>
      </c>
      <c r="L70" s="119">
        <f t="shared" si="8"/>
        <v>273174.29623182694</v>
      </c>
      <c r="N70" s="124">
        <f>IF(B70="","",C70/HistData!CU65)</f>
        <v>257603.6588612179</v>
      </c>
      <c r="AC70" s="138">
        <v>225</v>
      </c>
      <c r="AD70" s="136">
        <v>5849.9893538783126</v>
      </c>
      <c r="AE70" s="136">
        <v>20892.819120993976</v>
      </c>
    </row>
    <row r="71" spans="1:31" ht="15.6" thickBot="1" x14ac:dyDescent="0.3">
      <c r="A71" s="42">
        <v>225</v>
      </c>
      <c r="B71" s="74">
        <v>1674</v>
      </c>
      <c r="C71" s="75">
        <f t="shared" si="3"/>
        <v>207694</v>
      </c>
      <c r="D71" s="73">
        <f t="shared" si="9"/>
        <v>5832.430256120042</v>
      </c>
      <c r="E71" s="73">
        <f t="shared" si="10"/>
        <v>20830.108057571579</v>
      </c>
      <c r="F71" s="6">
        <f>HistData!GQ66</f>
        <v>0.83320432230286312</v>
      </c>
      <c r="G71" s="3">
        <f>+HistData!AW66</f>
        <v>66830.990951097308</v>
      </c>
      <c r="H71" s="3">
        <f>+HistData!AV66</f>
        <v>1243.5</v>
      </c>
      <c r="J71" s="118">
        <f t="shared" si="6"/>
        <v>238158.11484435791</v>
      </c>
      <c r="K71" s="119">
        <f t="shared" si="7"/>
        <v>249271.39051074785</v>
      </c>
      <c r="L71" s="119">
        <f t="shared" si="8"/>
        <v>266873.03987118421</v>
      </c>
      <c r="N71" s="124">
        <f>IF(B71="","",C71/HistData!CU66)</f>
        <v>254658.55469496743</v>
      </c>
      <c r="AC71" s="139">
        <v>226</v>
      </c>
      <c r="AD71" s="136">
        <v>5913.2382700931776</v>
      </c>
      <c r="AE71" s="136">
        <v>21118.708107475599</v>
      </c>
    </row>
    <row r="72" spans="1:31" x14ac:dyDescent="0.25">
      <c r="A72" s="42">
        <v>226</v>
      </c>
      <c r="B72" s="74">
        <v>2504</v>
      </c>
      <c r="C72" s="75">
        <f t="shared" si="3"/>
        <v>210198</v>
      </c>
      <c r="D72" s="73">
        <f t="shared" si="9"/>
        <v>5928.0658409271946</v>
      </c>
      <c r="E72" s="73">
        <f t="shared" si="10"/>
        <v>21171.663717597126</v>
      </c>
      <c r="F72" s="6">
        <f>HistData!GQ67</f>
        <v>0.846866548703885</v>
      </c>
      <c r="G72" s="3">
        <f>+HistData!AW67</f>
        <v>68136.790951097311</v>
      </c>
      <c r="H72" s="3">
        <f>+HistData!AV67</f>
        <v>1305.8</v>
      </c>
      <c r="J72" s="118">
        <f t="shared" si="6"/>
        <v>238158.42498058878</v>
      </c>
      <c r="K72" s="119">
        <f t="shared" si="7"/>
        <v>248206.75739489828</v>
      </c>
      <c r="L72" s="119">
        <f t="shared" si="8"/>
        <v>263710.58284823754</v>
      </c>
      <c r="N72" s="124">
        <f>IF(B72="","",C72/HistData!CU67)</f>
        <v>253719.85272775704</v>
      </c>
      <c r="AC72" s="137">
        <v>227</v>
      </c>
      <c r="AD72" s="136">
        <v>5985.4794020917925</v>
      </c>
      <c r="AE72" s="136">
        <v>21376.712150327832</v>
      </c>
    </row>
    <row r="73" spans="1:31" x14ac:dyDescent="0.25">
      <c r="A73" s="42">
        <v>227</v>
      </c>
      <c r="B73" s="74">
        <v>2502</v>
      </c>
      <c r="C73" s="75">
        <f t="shared" si="3"/>
        <v>212700</v>
      </c>
      <c r="D73" s="73">
        <f t="shared" si="9"/>
        <v>6005.3689981110165</v>
      </c>
      <c r="E73" s="73">
        <f t="shared" si="10"/>
        <v>21447.746421825061</v>
      </c>
      <c r="F73" s="6">
        <f>HistData!GQ68</f>
        <v>0.85790985687300236</v>
      </c>
      <c r="G73" s="3">
        <f>+HistData!AW68</f>
        <v>68929.490951097308</v>
      </c>
      <c r="H73" s="3">
        <f>+HistData!AV68</f>
        <v>792.7</v>
      </c>
      <c r="J73" s="118">
        <f t="shared" si="6"/>
        <v>238149.65472852415</v>
      </c>
      <c r="K73" s="119">
        <f t="shared" si="7"/>
        <v>247928.14570900341</v>
      </c>
      <c r="L73" s="119">
        <f t="shared" si="8"/>
        <v>259889.31627031948</v>
      </c>
      <c r="N73" s="124">
        <f>IF(B73="","",C73/HistData!CU68)</f>
        <v>253195.74672913807</v>
      </c>
      <c r="AC73" s="138">
        <v>228</v>
      </c>
      <c r="AD73" s="136">
        <v>6090.4709454539225</v>
      </c>
      <c r="AE73" s="136">
        <v>21751.681948049722</v>
      </c>
    </row>
    <row r="74" spans="1:31" x14ac:dyDescent="0.25">
      <c r="A74" s="42">
        <v>228</v>
      </c>
      <c r="B74" s="74">
        <v>1088</v>
      </c>
      <c r="C74" s="75">
        <f t="shared" si="3"/>
        <v>213788</v>
      </c>
      <c r="D74" s="73">
        <f t="shared" ref="D74:D107" si="11">$R$1*F74</f>
        <v>6104.5914851573771</v>
      </c>
      <c r="E74" s="73">
        <f t="shared" ref="E74:E105" si="12">$S$1*F74</f>
        <v>21802.112446990632</v>
      </c>
      <c r="F74" s="6">
        <f>HistData!GQ69</f>
        <v>0.87208449787962528</v>
      </c>
      <c r="G74" s="3">
        <f>+HistData!AW69</f>
        <v>69822.190951097306</v>
      </c>
      <c r="H74" s="3">
        <f>+HistData!AV69</f>
        <v>892.7</v>
      </c>
      <c r="J74" s="118">
        <f t="shared" si="6"/>
        <v>236565.79194923048</v>
      </c>
      <c r="K74" s="119">
        <f t="shared" si="7"/>
        <v>245145.96982265057</v>
      </c>
      <c r="L74" s="119">
        <f t="shared" si="8"/>
        <v>256585.32280427823</v>
      </c>
      <c r="N74" s="124">
        <f>IF(B74="","",C74/HistData!CU69)</f>
        <v>250873.71513185947</v>
      </c>
      <c r="AC74" s="138">
        <v>229</v>
      </c>
      <c r="AD74" s="136">
        <v>6156.9783580339035</v>
      </c>
      <c r="AE74" s="136">
        <v>21989.208421549654</v>
      </c>
    </row>
    <row r="75" spans="1:31" x14ac:dyDescent="0.25">
      <c r="A75" s="42">
        <v>229</v>
      </c>
      <c r="B75" s="74">
        <v>2278</v>
      </c>
      <c r="C75" s="75">
        <f t="shared" si="3"/>
        <v>216066</v>
      </c>
      <c r="D75" s="73">
        <f t="shared" si="11"/>
        <v>6178.1816037787712</v>
      </c>
      <c r="E75" s="73">
        <f t="shared" si="12"/>
        <v>22064.934299209897</v>
      </c>
      <c r="F75" s="6">
        <f>HistData!GQ70</f>
        <v>0.88259737196839583</v>
      </c>
      <c r="G75" s="3">
        <f>+HistData!AW70</f>
        <v>70604.290951097311</v>
      </c>
      <c r="H75" s="3">
        <f>+HistData!AV70</f>
        <v>782.1</v>
      </c>
      <c r="J75" s="118">
        <f t="shared" si="6"/>
        <v>236819.25030728336</v>
      </c>
      <c r="K75" s="119">
        <f t="shared" si="7"/>
        <v>244806.983186595</v>
      </c>
      <c r="L75" s="119">
        <f t="shared" si="8"/>
        <v>255135.83023285709</v>
      </c>
      <c r="N75" s="124">
        <f>IF(B75="","",C75/HistData!CU70)</f>
        <v>250006.78050772115</v>
      </c>
      <c r="AC75" s="138">
        <v>230</v>
      </c>
      <c r="AD75" s="136">
        <v>6227.1654131211762</v>
      </c>
      <c r="AE75" s="136">
        <v>22239.876475432775</v>
      </c>
    </row>
    <row r="76" spans="1:31" x14ac:dyDescent="0.25">
      <c r="A76" s="42">
        <v>230</v>
      </c>
      <c r="B76" s="74">
        <v>2149</v>
      </c>
      <c r="C76" s="75">
        <f t="shared" si="3"/>
        <v>218215</v>
      </c>
      <c r="D76" s="73">
        <f t="shared" si="11"/>
        <v>6251.9511174486215</v>
      </c>
      <c r="E76" s="73">
        <f t="shared" si="12"/>
        <v>22328.396848030792</v>
      </c>
      <c r="F76" s="6">
        <f>HistData!GQ71</f>
        <v>0.89313587392123162</v>
      </c>
      <c r="G76" s="3">
        <f>+HistData!AW71</f>
        <v>71150.190951097306</v>
      </c>
      <c r="H76" s="3">
        <f>+HistData!AV71</f>
        <v>545.9</v>
      </c>
      <c r="J76" s="118">
        <f t="shared" si="6"/>
        <v>236585.27265502128</v>
      </c>
      <c r="K76" s="119">
        <f t="shared" si="7"/>
        <v>244324.52706433897</v>
      </c>
      <c r="L76" s="119">
        <f t="shared" si="8"/>
        <v>254356.56001828951</v>
      </c>
      <c r="N76" s="124">
        <f>IF(B76="","",C76/HistData!CU71)</f>
        <v>248603.50670377444</v>
      </c>
      <c r="AC76" s="138">
        <v>231</v>
      </c>
      <c r="AD76" s="136">
        <v>6301.8573217636631</v>
      </c>
      <c r="AE76" s="136">
        <v>22506.633292013081</v>
      </c>
    </row>
    <row r="77" spans="1:31" x14ac:dyDescent="0.25">
      <c r="A77" s="42">
        <v>231</v>
      </c>
      <c r="B77" s="74">
        <v>1335</v>
      </c>
      <c r="C77" s="75">
        <f t="shared" si="3"/>
        <v>219550</v>
      </c>
      <c r="D77" s="73">
        <f t="shared" si="11"/>
        <v>6326.0033822690984</v>
      </c>
      <c r="E77" s="73">
        <f t="shared" si="12"/>
        <v>22592.86922238964</v>
      </c>
      <c r="F77" s="6">
        <f>HistData!GQ72</f>
        <v>0.90371476889558555</v>
      </c>
      <c r="G77" s="3">
        <f>+HistData!AW72</f>
        <v>71812.190951097306</v>
      </c>
      <c r="H77" s="3">
        <f>+HistData!AV72</f>
        <v>662</v>
      </c>
      <c r="J77" s="118">
        <f t="shared" si="6"/>
        <v>236380.29671097512</v>
      </c>
      <c r="K77" s="119">
        <f t="shared" si="7"/>
        <v>242941.69748748082</v>
      </c>
      <c r="L77" s="119">
        <f t="shared" si="8"/>
        <v>251753.12774600508</v>
      </c>
      <c r="N77" s="124">
        <f>IF(B77="","",C77/HistData!CU72)</f>
        <v>245846.70812538828</v>
      </c>
      <c r="AC77" s="138">
        <v>232</v>
      </c>
      <c r="AD77" s="136">
        <v>6360.4368437259136</v>
      </c>
      <c r="AE77" s="136">
        <v>22715.845870449692</v>
      </c>
    </row>
    <row r="78" spans="1:31" ht="15.6" thickBot="1" x14ac:dyDescent="0.3">
      <c r="A78" s="42">
        <v>232</v>
      </c>
      <c r="B78" s="74">
        <v>726</v>
      </c>
      <c r="C78" s="75">
        <f t="shared" ref="C78:C107" si="13">IF(B78="",NA(),B78+C77)</f>
        <v>220276</v>
      </c>
      <c r="D78" s="73">
        <f t="shared" si="11"/>
        <v>6386.5669620924573</v>
      </c>
      <c r="E78" s="73">
        <f t="shared" si="12"/>
        <v>22809.167721758778</v>
      </c>
      <c r="F78" s="6">
        <f>HistData!GQ73</f>
        <v>0.9123667088703511</v>
      </c>
      <c r="G78" s="3">
        <f>+HistData!AW73</f>
        <v>72307.190951097306</v>
      </c>
      <c r="H78" s="3">
        <f>+HistData!AV73</f>
        <v>495</v>
      </c>
      <c r="J78" s="118">
        <f t="shared" si="6"/>
        <v>235951.06282381207</v>
      </c>
      <c r="K78" s="119">
        <f t="shared" si="7"/>
        <v>241433.62297023664</v>
      </c>
      <c r="L78" s="119">
        <f t="shared" si="8"/>
        <v>249576.99512376031</v>
      </c>
      <c r="N78" s="124">
        <f>IF(B78="","",C78/HistData!CU73)</f>
        <v>243740.85744450905</v>
      </c>
      <c r="AC78" s="139">
        <v>233</v>
      </c>
      <c r="AD78" s="136">
        <v>6424.0662086132188</v>
      </c>
      <c r="AE78" s="136">
        <v>22943.093602190067</v>
      </c>
    </row>
    <row r="79" spans="1:31" x14ac:dyDescent="0.25">
      <c r="A79" s="42">
        <v>233</v>
      </c>
      <c r="B79" s="74">
        <v>1033</v>
      </c>
      <c r="C79" s="75">
        <f t="shared" si="13"/>
        <v>221309</v>
      </c>
      <c r="D79" s="73">
        <f t="shared" si="11"/>
        <v>6456.4669764011214</v>
      </c>
      <c r="E79" s="73">
        <f t="shared" si="12"/>
        <v>23058.810630004005</v>
      </c>
      <c r="F79" s="6">
        <f>HistData!GQ74</f>
        <v>0.92235242520016014</v>
      </c>
      <c r="G79" s="3">
        <f>+HistData!AW74</f>
        <v>72901.990951097308</v>
      </c>
      <c r="H79" s="3">
        <f>+HistData!AV74</f>
        <v>594.79999999999995</v>
      </c>
      <c r="J79" s="118">
        <f t="shared" si="6"/>
        <v>234594.3590710414</v>
      </c>
      <c r="K79" s="119">
        <f t="shared" si="7"/>
        <v>239939.73881726785</v>
      </c>
      <c r="L79" s="119">
        <f t="shared" si="8"/>
        <v>247788.72561502093</v>
      </c>
      <c r="N79" s="124">
        <f>IF(B79="","",C79/HistData!CU74)</f>
        <v>241284.51617807715</v>
      </c>
      <c r="AC79" s="137">
        <v>234</v>
      </c>
      <c r="AD79" s="136">
        <v>6475.9235437453326</v>
      </c>
      <c r="AE79" s="136">
        <v>23128.298370519045</v>
      </c>
    </row>
    <row r="80" spans="1:31" x14ac:dyDescent="0.25">
      <c r="A80" s="42">
        <v>234</v>
      </c>
      <c r="B80" s="74">
        <v>838</v>
      </c>
      <c r="C80" s="75">
        <f t="shared" si="13"/>
        <v>222147</v>
      </c>
      <c r="D80" s="73">
        <f t="shared" si="11"/>
        <v>6501.5994200190216</v>
      </c>
      <c r="E80" s="73">
        <f t="shared" si="12"/>
        <v>23219.997928639365</v>
      </c>
      <c r="F80" s="6">
        <f>HistData!GQ75</f>
        <v>0.92879991714557453</v>
      </c>
      <c r="G80" s="3">
        <f>+HistData!AW75</f>
        <v>73272.790951097311</v>
      </c>
      <c r="H80" s="3">
        <f>+HistData!AV75</f>
        <v>370.8</v>
      </c>
      <c r="J80" s="118">
        <f t="shared" si="6"/>
        <v>233883.53254361675</v>
      </c>
      <c r="K80" s="119">
        <f t="shared" si="7"/>
        <v>239176.37792508761</v>
      </c>
      <c r="L80" s="119">
        <f t="shared" si="8"/>
        <v>245815.39180938923</v>
      </c>
      <c r="N80" s="124">
        <f>IF(B80="","",C80/HistData!CU75)</f>
        <v>239984.5359382758</v>
      </c>
      <c r="AC80" s="138">
        <v>235</v>
      </c>
      <c r="AD80" s="136">
        <v>6507.8669113800397</v>
      </c>
      <c r="AE80" s="136">
        <v>23242.381826357287</v>
      </c>
    </row>
    <row r="81" spans="1:31" x14ac:dyDescent="0.25">
      <c r="A81" s="42">
        <v>235</v>
      </c>
      <c r="B81" s="74">
        <v>1560</v>
      </c>
      <c r="C81" s="75">
        <f t="shared" si="13"/>
        <v>223707</v>
      </c>
      <c r="D81" s="73">
        <f t="shared" si="11"/>
        <v>6534.9652658754158</v>
      </c>
      <c r="E81" s="73">
        <f t="shared" si="12"/>
        <v>23339.161663840772</v>
      </c>
      <c r="F81" s="6">
        <f>HistData!GQ76</f>
        <v>0.93356646655363085</v>
      </c>
      <c r="G81" s="3">
        <f>+HistData!AW76</f>
        <v>73626.690951097306</v>
      </c>
      <c r="H81" s="3">
        <f>+HistData!AV76</f>
        <v>353.9</v>
      </c>
      <c r="J81" s="118">
        <f t="shared" si="6"/>
        <v>234183.39586051708</v>
      </c>
      <c r="K81" s="119">
        <f t="shared" si="7"/>
        <v>239626.21625200444</v>
      </c>
      <c r="L81" s="119">
        <f t="shared" si="8"/>
        <v>245194.17228296649</v>
      </c>
      <c r="N81" s="124">
        <f>IF(B81="","",C81/HistData!CU76)</f>
        <v>239551.60865442283</v>
      </c>
      <c r="AC81" s="138">
        <v>236</v>
      </c>
      <c r="AD81" s="136">
        <v>6575.2946269188942</v>
      </c>
      <c r="AE81" s="136">
        <v>23483.195096138905</v>
      </c>
    </row>
    <row r="82" spans="1:31" x14ac:dyDescent="0.25">
      <c r="A82" s="42">
        <v>236</v>
      </c>
      <c r="B82" s="74">
        <v>1224</v>
      </c>
      <c r="C82" s="75">
        <f t="shared" si="13"/>
        <v>224931</v>
      </c>
      <c r="D82" s="73">
        <f t="shared" si="11"/>
        <v>6603.5816297308002</v>
      </c>
      <c r="E82" s="73">
        <f t="shared" si="12"/>
        <v>23584.220106181427</v>
      </c>
      <c r="F82" s="6">
        <f>HistData!GQ77</f>
        <v>0.94336880424725711</v>
      </c>
      <c r="G82" s="3">
        <f>+HistData!AW77</f>
        <v>74250.290951097311</v>
      </c>
      <c r="H82" s="3">
        <f>+HistData!AV77</f>
        <v>623.6</v>
      </c>
      <c r="J82" s="118">
        <f t="shared" si="6"/>
        <v>234038.33090065356</v>
      </c>
      <c r="K82" s="119">
        <f t="shared" si="7"/>
        <v>238433.79067371148</v>
      </c>
      <c r="L82" s="119">
        <f t="shared" si="8"/>
        <v>243866.65427934189</v>
      </c>
      <c r="N82" s="124">
        <f>IF(B82="","",C82/HistData!CU77)</f>
        <v>238768.33698185571</v>
      </c>
      <c r="AC82" s="138">
        <v>237</v>
      </c>
      <c r="AD82" s="136">
        <v>6626.6184038408564</v>
      </c>
      <c r="AE82" s="136">
        <v>23666.49429943163</v>
      </c>
    </row>
    <row r="83" spans="1:31" x14ac:dyDescent="0.25">
      <c r="A83" s="42">
        <v>237</v>
      </c>
      <c r="B83" s="74">
        <v>933</v>
      </c>
      <c r="C83" s="75">
        <f t="shared" si="13"/>
        <v>225864</v>
      </c>
      <c r="D83" s="73">
        <f t="shared" si="11"/>
        <v>6648.7323117116166</v>
      </c>
      <c r="E83" s="73">
        <f t="shared" si="12"/>
        <v>23745.472541827199</v>
      </c>
      <c r="F83" s="6">
        <f>HistData!GQ78</f>
        <v>0.94981890167308802</v>
      </c>
      <c r="G83" s="3">
        <f>+HistData!AW78</f>
        <v>74600.890951097317</v>
      </c>
      <c r="H83" s="3">
        <f>+HistData!AV78</f>
        <v>350.6</v>
      </c>
      <c r="J83" s="118">
        <f t="shared" si="6"/>
        <v>233369.43384102176</v>
      </c>
      <c r="K83" s="119">
        <f t="shared" si="7"/>
        <v>237796.91012902022</v>
      </c>
      <c r="L83" s="119">
        <f t="shared" si="8"/>
        <v>243178.31626658019</v>
      </c>
      <c r="N83" s="124">
        <f>IF(B83="","",C83/HistData!CU78)</f>
        <v>237857.84071714248</v>
      </c>
      <c r="AC83" s="138">
        <v>238</v>
      </c>
      <c r="AD83" s="136">
        <v>6670.4710818322465</v>
      </c>
      <c r="AE83" s="136">
        <v>23823.111006543739</v>
      </c>
    </row>
    <row r="84" spans="1:31" x14ac:dyDescent="0.25">
      <c r="A84" s="42">
        <v>238</v>
      </c>
      <c r="B84" s="74">
        <v>940</v>
      </c>
      <c r="C84" s="75">
        <f t="shared" si="13"/>
        <v>226804</v>
      </c>
      <c r="D84" s="73">
        <f t="shared" si="11"/>
        <v>6686.8489725578202</v>
      </c>
      <c r="E84" s="73">
        <f t="shared" si="12"/>
        <v>23881.603473420786</v>
      </c>
      <c r="F84" s="6">
        <f>HistData!GQ79</f>
        <v>0.95526413893683149</v>
      </c>
      <c r="G84" s="3">
        <f>+HistData!AW79</f>
        <v>74849.044988191759</v>
      </c>
      <c r="H84" s="3">
        <f>+HistData!AV79</f>
        <v>248.15403709444371</v>
      </c>
      <c r="J84" s="118">
        <f t="shared" si="6"/>
        <v>232876.23334056223</v>
      </c>
      <c r="K84" s="119">
        <f t="shared" si="7"/>
        <v>237425.4310984847</v>
      </c>
      <c r="L84" s="119">
        <f t="shared" si="8"/>
        <v>242943.60190257619</v>
      </c>
      <c r="N84" s="124">
        <f>IF(B84="","",C84/HistData!CU79)</f>
        <v>237333.72469704185</v>
      </c>
      <c r="AC84" s="138">
        <v>239</v>
      </c>
      <c r="AD84" s="136">
        <v>6714.7459931683879</v>
      </c>
      <c r="AE84" s="136">
        <v>23981.235689887097</v>
      </c>
    </row>
    <row r="85" spans="1:31" ht="15.6" thickBot="1" x14ac:dyDescent="0.3">
      <c r="A85" s="42">
        <v>239</v>
      </c>
      <c r="B85" s="74">
        <v>567</v>
      </c>
      <c r="C85" s="75">
        <f t="shared" si="13"/>
        <v>227371</v>
      </c>
      <c r="D85" s="73">
        <f t="shared" si="11"/>
        <v>6727.6030979231491</v>
      </c>
      <c r="E85" s="73">
        <f t="shared" si="12"/>
        <v>24027.153921154106</v>
      </c>
      <c r="F85" s="6">
        <f>HistData!GQ80</f>
        <v>0.96108615684616416</v>
      </c>
      <c r="G85" s="3">
        <f>+HistData!AW80</f>
        <v>75156.433691227183</v>
      </c>
      <c r="H85" s="3">
        <f>+HistData!AV80</f>
        <v>307.38870303542484</v>
      </c>
      <c r="J85" s="118">
        <f t="shared" si="6"/>
        <v>232598.70881953739</v>
      </c>
      <c r="K85" s="119">
        <f t="shared" si="7"/>
        <v>236577.12514154342</v>
      </c>
      <c r="L85" s="119">
        <f t="shared" si="8"/>
        <v>241020.26585607344</v>
      </c>
      <c r="N85" s="124">
        <f>IF(B85="","",C85/HistData!CU80)</f>
        <v>236575.66038230513</v>
      </c>
      <c r="AC85" s="139">
        <v>240</v>
      </c>
      <c r="AD85" s="136">
        <v>6766.1267521738109</v>
      </c>
      <c r="AE85" s="136">
        <v>24164.738400620754</v>
      </c>
    </row>
    <row r="86" spans="1:31" x14ac:dyDescent="0.25">
      <c r="A86" s="42">
        <v>240</v>
      </c>
      <c r="B86" s="74">
        <v>417</v>
      </c>
      <c r="C86" s="75">
        <f t="shared" si="13"/>
        <v>227788</v>
      </c>
      <c r="D86" s="73">
        <f t="shared" si="11"/>
        <v>6774.8718158053944</v>
      </c>
      <c r="E86" s="73">
        <f t="shared" si="12"/>
        <v>24195.970770733551</v>
      </c>
      <c r="F86" s="6">
        <f>HistData!GQ81</f>
        <v>0.96783883082934208</v>
      </c>
      <c r="G86" s="3">
        <f>+HistData!AW81</f>
        <v>75550.833691227177</v>
      </c>
      <c r="H86" s="3">
        <f>+HistData!AV81</f>
        <v>394.4</v>
      </c>
      <c r="J86" s="118">
        <f t="shared" si="6"/>
        <v>231919.49355598024</v>
      </c>
      <c r="K86" s="119">
        <f t="shared" si="7"/>
        <v>235357.36813205585</v>
      </c>
      <c r="L86" s="119">
        <f t="shared" si="8"/>
        <v>239822.55943607329</v>
      </c>
      <c r="N86" s="124">
        <f>IF(B86="","",C86/HistData!CU81)</f>
        <v>235769.7073453386</v>
      </c>
      <c r="AC86" s="137">
        <v>241</v>
      </c>
      <c r="AD86" s="136">
        <v>6808.0529032866725</v>
      </c>
      <c r="AE86" s="136">
        <v>24314.474654595258</v>
      </c>
    </row>
    <row r="87" spans="1:31" x14ac:dyDescent="0.25">
      <c r="A87" s="42">
        <v>241</v>
      </c>
      <c r="B87" s="74">
        <v>292</v>
      </c>
      <c r="C87" s="75">
        <f t="shared" si="13"/>
        <v>228080</v>
      </c>
      <c r="D87" s="73">
        <f t="shared" si="11"/>
        <v>6817.4754341643156</v>
      </c>
      <c r="E87" s="73">
        <f t="shared" si="12"/>
        <v>24348.12655058684</v>
      </c>
      <c r="F87" s="6">
        <f>HistData!GQ82</f>
        <v>0.97392506202347362</v>
      </c>
      <c r="G87" s="3">
        <f>+HistData!AW82</f>
        <v>75826.733691227171</v>
      </c>
      <c r="H87" s="3">
        <f>+HistData!AV82</f>
        <v>275.89999999999998</v>
      </c>
      <c r="J87" s="118">
        <f t="shared" si="6"/>
        <v>230973.5732754994</v>
      </c>
      <c r="K87" s="119">
        <f t="shared" si="7"/>
        <v>234186.39574397029</v>
      </c>
      <c r="L87" s="119">
        <f t="shared" si="8"/>
        <v>238761.18730243907</v>
      </c>
      <c r="N87" s="124">
        <f>IF(B87="","",C87/HistData!CU82)</f>
        <v>234870.90277189293</v>
      </c>
      <c r="AC87" s="138">
        <v>242</v>
      </c>
      <c r="AD87" s="136">
        <v>6838.8449604928674</v>
      </c>
      <c r="AE87" s="136">
        <v>24424.446287474526</v>
      </c>
    </row>
    <row r="88" spans="1:31" x14ac:dyDescent="0.25">
      <c r="A88" s="42">
        <v>242</v>
      </c>
      <c r="B88" s="74">
        <v>287</v>
      </c>
      <c r="C88" s="75">
        <f t="shared" si="13"/>
        <v>228367</v>
      </c>
      <c r="D88" s="73">
        <f t="shared" si="11"/>
        <v>6842.6734098289717</v>
      </c>
      <c r="E88" s="73">
        <f t="shared" si="12"/>
        <v>24438.119320817754</v>
      </c>
      <c r="F88" s="6">
        <f>HistData!GQ83</f>
        <v>0.97752477283271022</v>
      </c>
      <c r="G88" s="3">
        <f>+HistData!AW83</f>
        <v>76049.233691227171</v>
      </c>
      <c r="H88" s="3">
        <f>+HistData!AV83</f>
        <v>222.5</v>
      </c>
      <c r="J88" s="118">
        <f t="shared" si="6"/>
        <v>230740.01563605355</v>
      </c>
      <c r="K88" s="119">
        <f t="shared" si="7"/>
        <v>233617.60882870416</v>
      </c>
      <c r="L88" s="119">
        <f t="shared" si="8"/>
        <v>237613.4526267591</v>
      </c>
      <c r="N88" s="124">
        <f>IF(B88="","",C88/HistData!CU83)</f>
        <v>233982.73948767481</v>
      </c>
      <c r="AC88" s="138">
        <v>243</v>
      </c>
      <c r="AD88" s="136">
        <v>6873.79803455611</v>
      </c>
      <c r="AE88" s="136">
        <v>24549.278694843248</v>
      </c>
    </row>
    <row r="89" spans="1:31" x14ac:dyDescent="0.25">
      <c r="A89" s="42">
        <v>243</v>
      </c>
      <c r="B89" s="74">
        <v>190</v>
      </c>
      <c r="C89" s="75">
        <f t="shared" si="13"/>
        <v>228557</v>
      </c>
      <c r="D89" s="73">
        <f t="shared" si="11"/>
        <v>6875.2995944910472</v>
      </c>
      <c r="E89" s="73">
        <f t="shared" si="12"/>
        <v>24554.641408896598</v>
      </c>
      <c r="F89" s="6">
        <f>HistData!GQ84</f>
        <v>0.98218565635586386</v>
      </c>
      <c r="G89" s="3">
        <f>+HistData!AW84</f>
        <v>76300.678135671609</v>
      </c>
      <c r="H89" s="3">
        <f>+HistData!AV84</f>
        <v>251.44444444444446</v>
      </c>
      <c r="J89" s="118">
        <f t="shared" si="6"/>
        <v>230232.25871996276</v>
      </c>
      <c r="K89" s="119">
        <f t="shared" si="7"/>
        <v>232702.44125535226</v>
      </c>
      <c r="L89" s="119">
        <f t="shared" si="8"/>
        <v>236151.9219105409</v>
      </c>
      <c r="N89" s="124">
        <f>IF(B89="","",C89/HistData!CU84)</f>
        <v>233287.83360877566</v>
      </c>
      <c r="AC89" s="138">
        <v>244</v>
      </c>
      <c r="AD89" s="136">
        <v>6909.2698411432966</v>
      </c>
      <c r="AE89" s="136">
        <v>24675.963718368916</v>
      </c>
    </row>
    <row r="90" spans="1:31" x14ac:dyDescent="0.25">
      <c r="A90" s="42">
        <v>244</v>
      </c>
      <c r="B90" s="74">
        <v>417</v>
      </c>
      <c r="C90" s="75">
        <f t="shared" si="13"/>
        <v>228974</v>
      </c>
      <c r="D90" s="73">
        <f t="shared" si="11"/>
        <v>6912.3059290235933</v>
      </c>
      <c r="E90" s="73">
        <f t="shared" si="12"/>
        <v>24686.806889369978</v>
      </c>
      <c r="F90" s="6">
        <f>HistData!GQ85</f>
        <v>0.98747227557479911</v>
      </c>
      <c r="G90" s="3">
        <f>+HistData!AW85</f>
        <v>76606.900357893828</v>
      </c>
      <c r="H90" s="3">
        <f>+HistData!AV85</f>
        <v>306.22222222222223</v>
      </c>
      <c r="J90" s="118">
        <f t="shared" si="6"/>
        <v>230030.21448430078</v>
      </c>
      <c r="K90" s="119">
        <f t="shared" si="7"/>
        <v>231878.91514900123</v>
      </c>
      <c r="L90" s="119">
        <f t="shared" si="8"/>
        <v>235104.33084479065</v>
      </c>
      <c r="N90" s="124">
        <f>IF(B90="","",C90/HistData!CU85)</f>
        <v>232943.56963484743</v>
      </c>
      <c r="AC90" s="138">
        <v>245</v>
      </c>
      <c r="AD90" s="136">
        <v>6929.9517719959404</v>
      </c>
      <c r="AE90" s="136">
        <v>24749.827757128358</v>
      </c>
    </row>
    <row r="91" spans="1:31" x14ac:dyDescent="0.25">
      <c r="A91" s="42">
        <v>245</v>
      </c>
      <c r="B91" s="74"/>
      <c r="C91" s="75" t="e">
        <f t="shared" si="13"/>
        <v>#N/A</v>
      </c>
      <c r="D91" s="73">
        <f t="shared" si="11"/>
        <v>6928.0094117763447</v>
      </c>
      <c r="E91" s="73">
        <f t="shared" si="12"/>
        <v>24742.890756344088</v>
      </c>
      <c r="F91" s="6">
        <f>HistData!GQ86</f>
        <v>0.98971563025376352</v>
      </c>
      <c r="G91" s="3">
        <f>+HistData!AW86</f>
        <v>76827.400357893828</v>
      </c>
      <c r="H91" s="3">
        <f>+HistData!AV86</f>
        <v>220.5</v>
      </c>
      <c r="J91" s="118" t="str">
        <f t="shared" si="6"/>
        <v/>
      </c>
      <c r="K91" s="119" t="str">
        <f t="shared" si="7"/>
        <v/>
      </c>
      <c r="L91" s="119" t="str">
        <f t="shared" si="8"/>
        <v/>
      </c>
      <c r="N91" s="124" t="str">
        <f>IF(B91="","",C91/HistData!CU86)</f>
        <v/>
      </c>
      <c r="AC91" s="138">
        <v>246</v>
      </c>
      <c r="AD91" s="136">
        <v>6954.3393925300352</v>
      </c>
      <c r="AE91" s="136">
        <v>24836.926401892983</v>
      </c>
    </row>
    <row r="92" spans="1:31" ht="15.6" thickBot="1" x14ac:dyDescent="0.3">
      <c r="A92" s="42">
        <v>246</v>
      </c>
      <c r="B92" s="74"/>
      <c r="C92" s="75" t="e">
        <f t="shared" si="13"/>
        <v>#N/A</v>
      </c>
      <c r="D92" s="73">
        <f t="shared" si="11"/>
        <v>6949.0652999499825</v>
      </c>
      <c r="E92" s="73">
        <f t="shared" si="12"/>
        <v>24818.090356964221</v>
      </c>
      <c r="F92" s="6">
        <f>HistData!GQ87</f>
        <v>0.99272361427856892</v>
      </c>
      <c r="G92" s="3">
        <f>+HistData!AW87</f>
        <v>77080.900357893828</v>
      </c>
      <c r="H92" s="3">
        <f>+HistData!AV87</f>
        <v>253.5</v>
      </c>
      <c r="J92" s="118" t="str">
        <f t="shared" si="6"/>
        <v/>
      </c>
      <c r="K92" s="119" t="str">
        <f t="shared" si="7"/>
        <v/>
      </c>
      <c r="L92" s="119" t="str">
        <f t="shared" si="8"/>
        <v/>
      </c>
      <c r="N92" s="124" t="str">
        <f>IF(B92="","",C92/HistData!CU87)</f>
        <v/>
      </c>
      <c r="AC92" s="139">
        <v>247</v>
      </c>
      <c r="AD92" s="136">
        <v>6970.8203622110459</v>
      </c>
      <c r="AE92" s="136">
        <v>24895.78700789659</v>
      </c>
    </row>
    <row r="93" spans="1:31" x14ac:dyDescent="0.25">
      <c r="A93" s="42">
        <v>247</v>
      </c>
      <c r="B93" s="74"/>
      <c r="C93" s="75" t="e">
        <f t="shared" si="13"/>
        <v>#N/A</v>
      </c>
      <c r="D93" s="73">
        <f t="shared" si="11"/>
        <v>6967.8585641165409</v>
      </c>
      <c r="E93" s="73">
        <f t="shared" si="12"/>
        <v>24885.209157559075</v>
      </c>
      <c r="F93" s="6">
        <f>HistData!GQ88</f>
        <v>0.99540836630236296</v>
      </c>
      <c r="G93" s="3">
        <f>+HistData!AW88</f>
        <v>77312.900357893828</v>
      </c>
      <c r="H93" s="3">
        <f>+HistData!AV88</f>
        <v>232</v>
      </c>
      <c r="J93" s="118" t="str">
        <f t="shared" si="6"/>
        <v/>
      </c>
      <c r="K93" s="119" t="str">
        <f t="shared" si="7"/>
        <v/>
      </c>
      <c r="L93" s="119" t="str">
        <f t="shared" si="8"/>
        <v/>
      </c>
      <c r="N93" s="124" t="str">
        <f>IF(B93="","",C93/HistData!CU88)</f>
        <v/>
      </c>
      <c r="AC93" s="137">
        <v>248</v>
      </c>
      <c r="AD93" s="136">
        <v>6978.1218903844092</v>
      </c>
      <c r="AE93" s="136">
        <v>24921.863894230035</v>
      </c>
    </row>
    <row r="94" spans="1:31" x14ac:dyDescent="0.25">
      <c r="A94" s="42">
        <v>248</v>
      </c>
      <c r="B94" s="74"/>
      <c r="C94" s="75" t="e">
        <f t="shared" si="13"/>
        <v>#N/A</v>
      </c>
      <c r="D94" s="73">
        <f t="shared" si="11"/>
        <v>6978.1218903844092</v>
      </c>
      <c r="E94" s="73">
        <f t="shared" si="12"/>
        <v>24921.863894230035</v>
      </c>
      <c r="F94" s="6">
        <f>HistData!GQ89</f>
        <v>0.99687455576920136</v>
      </c>
      <c r="G94" s="3">
        <f>+HistData!AW89</f>
        <v>77523.400357893828</v>
      </c>
      <c r="H94" s="3">
        <f>+HistData!AV89</f>
        <v>210.5</v>
      </c>
      <c r="J94" s="118" t="str">
        <f t="shared" ref="J94:J107" si="14">IF(B94="","",C94/F97)</f>
        <v/>
      </c>
      <c r="K94" s="119" t="str">
        <f t="shared" ref="K94:K107" si="15">IF(B94="","",C94/F94)</f>
        <v/>
      </c>
      <c r="L94" s="119" t="str">
        <f t="shared" ref="L94:L107" si="16">IF(B94="","",C94/F91)</f>
        <v/>
      </c>
      <c r="N94" s="124" t="str">
        <f>IF(B94="","",C94/HistData!CU89)</f>
        <v/>
      </c>
      <c r="AC94" s="138">
        <v>249</v>
      </c>
      <c r="AD94" s="136">
        <v>6983.9187740704901</v>
      </c>
      <c r="AE94" s="136">
        <v>24942.567050251753</v>
      </c>
    </row>
    <row r="95" spans="1:31" x14ac:dyDescent="0.25">
      <c r="A95" s="42">
        <v>249</v>
      </c>
      <c r="B95" s="74"/>
      <c r="C95" s="75" t="e">
        <f t="shared" si="13"/>
        <v>#N/A</v>
      </c>
      <c r="D95" s="73">
        <f t="shared" si="11"/>
        <v>6983.9187740704901</v>
      </c>
      <c r="E95" s="73">
        <f t="shared" si="12"/>
        <v>24942.567050251753</v>
      </c>
      <c r="F95" s="6">
        <f>HistData!GQ90</f>
        <v>0.99770268201007006</v>
      </c>
      <c r="G95" s="3">
        <f>+HistData!AW90</f>
        <v>77622.150357893828</v>
      </c>
      <c r="H95" s="3">
        <f>+HistData!AV90</f>
        <v>98.75</v>
      </c>
      <c r="J95" s="118" t="str">
        <f t="shared" si="14"/>
        <v/>
      </c>
      <c r="K95" s="119" t="str">
        <f t="shared" si="15"/>
        <v/>
      </c>
      <c r="L95" s="119" t="str">
        <f t="shared" si="16"/>
        <v/>
      </c>
      <c r="N95" s="124" t="str">
        <f>IF(B95="","",C95/HistData!CU90)</f>
        <v/>
      </c>
      <c r="AC95" s="138">
        <v>250</v>
      </c>
      <c r="AD95" s="136">
        <v>6990.6235256377831</v>
      </c>
      <c r="AE95" s="136">
        <v>24966.512591563511</v>
      </c>
    </row>
    <row r="96" spans="1:31" x14ac:dyDescent="0.25">
      <c r="A96" s="42">
        <v>250</v>
      </c>
      <c r="B96" s="74"/>
      <c r="C96" s="75" t="e">
        <f t="shared" si="13"/>
        <v>#N/A</v>
      </c>
      <c r="D96" s="73">
        <f t="shared" si="11"/>
        <v>6990.6235256377831</v>
      </c>
      <c r="E96" s="73">
        <f t="shared" si="12"/>
        <v>24966.512591563511</v>
      </c>
      <c r="F96" s="6">
        <f>HistData!GQ91</f>
        <v>0.99866050366254044</v>
      </c>
      <c r="G96" s="3">
        <f>+HistData!AW91</f>
        <v>77737.150357893828</v>
      </c>
      <c r="H96" s="3">
        <f>+HistData!AV91</f>
        <v>115</v>
      </c>
      <c r="J96" s="118" t="str">
        <f t="shared" si="14"/>
        <v/>
      </c>
      <c r="K96" s="119" t="str">
        <f t="shared" si="15"/>
        <v/>
      </c>
      <c r="L96" s="119" t="str">
        <f t="shared" si="16"/>
        <v/>
      </c>
      <c r="N96" s="124" t="str">
        <f>IF(B96="","",C96/HistData!CU91)</f>
        <v/>
      </c>
      <c r="AC96" s="138">
        <v>251</v>
      </c>
      <c r="AD96" s="136">
        <v>6995.7891209391009</v>
      </c>
      <c r="AE96" s="136">
        <v>24984.961146211073</v>
      </c>
    </row>
    <row r="97" spans="1:31" x14ac:dyDescent="0.25">
      <c r="A97" s="42">
        <v>251</v>
      </c>
      <c r="B97" s="74"/>
      <c r="C97" s="75" t="e">
        <f t="shared" si="13"/>
        <v>#N/A</v>
      </c>
      <c r="D97" s="73">
        <f t="shared" si="11"/>
        <v>6995.7891209391018</v>
      </c>
      <c r="E97" s="73">
        <f t="shared" si="12"/>
        <v>24984.961146211077</v>
      </c>
      <c r="F97" s="6">
        <f>HistData!GQ92</f>
        <v>0.99939844584844306</v>
      </c>
      <c r="G97" s="3">
        <f>+HistData!AW92</f>
        <v>77868.483691227157</v>
      </c>
      <c r="H97" s="3">
        <f>+HistData!AV92</f>
        <v>131.33333333333334</v>
      </c>
      <c r="J97" s="118" t="str">
        <f t="shared" si="14"/>
        <v/>
      </c>
      <c r="K97" s="119" t="str">
        <f t="shared" si="15"/>
        <v/>
      </c>
      <c r="L97" s="119" t="str">
        <f t="shared" si="16"/>
        <v/>
      </c>
      <c r="N97" s="124" t="str">
        <f>IF(B97="","",C97/HistData!CU92)</f>
        <v/>
      </c>
      <c r="AC97" s="138">
        <v>252</v>
      </c>
      <c r="AD97" s="136">
        <v>6996.8030759788435</v>
      </c>
      <c r="AE97" s="136">
        <v>24988.582414210156</v>
      </c>
    </row>
    <row r="98" spans="1:31" ht="15.6" thickBot="1" x14ac:dyDescent="0.3">
      <c r="A98" s="42">
        <v>252</v>
      </c>
      <c r="B98" s="74"/>
      <c r="C98" s="75" t="e">
        <f t="shared" si="13"/>
        <v>#N/A</v>
      </c>
      <c r="D98" s="73">
        <f t="shared" si="11"/>
        <v>6996.8030759788444</v>
      </c>
      <c r="E98" s="73">
        <f t="shared" si="12"/>
        <v>24988.582414210159</v>
      </c>
      <c r="F98" s="6">
        <f>HistData!GQ93</f>
        <v>0.99954329656840635</v>
      </c>
      <c r="G98" s="3">
        <f>+HistData!AW93</f>
        <v>77909.483691227157</v>
      </c>
      <c r="H98" s="3">
        <f>+HistData!AV93</f>
        <v>41</v>
      </c>
      <c r="J98" s="118" t="str">
        <f t="shared" si="14"/>
        <v/>
      </c>
      <c r="K98" s="119" t="str">
        <f t="shared" si="15"/>
        <v/>
      </c>
      <c r="L98" s="119" t="str">
        <f t="shared" si="16"/>
        <v/>
      </c>
      <c r="N98" s="124" t="str">
        <f>IF(B98="","",C98/HistData!CU93)</f>
        <v/>
      </c>
      <c r="AC98" s="139">
        <v>253</v>
      </c>
      <c r="AD98" s="136">
        <v>7000</v>
      </c>
      <c r="AE98" s="136">
        <v>25000</v>
      </c>
    </row>
    <row r="99" spans="1:31" x14ac:dyDescent="0.25">
      <c r="A99" s="42">
        <v>253</v>
      </c>
      <c r="B99" s="74"/>
      <c r="C99" s="75" t="e">
        <f t="shared" si="13"/>
        <v>#N/A</v>
      </c>
      <c r="D99" s="73">
        <f t="shared" si="11"/>
        <v>7000</v>
      </c>
      <c r="E99" s="73">
        <f t="shared" si="12"/>
        <v>25000</v>
      </c>
      <c r="F99" s="6">
        <f>HistData!GQ94</f>
        <v>1</v>
      </c>
      <c r="G99" s="3">
        <f>+HistData!AW94</f>
        <v>78162.483691227157</v>
      </c>
      <c r="H99" s="3">
        <f>+HistData!AV94</f>
        <v>253</v>
      </c>
      <c r="J99" s="118" t="str">
        <f t="shared" si="14"/>
        <v/>
      </c>
      <c r="K99" s="119" t="str">
        <f t="shared" si="15"/>
        <v/>
      </c>
      <c r="L99" s="119" t="str">
        <f t="shared" si="16"/>
        <v/>
      </c>
      <c r="N99" s="124" t="str">
        <f>IF(B99="","",C99/HistData!CU94)</f>
        <v/>
      </c>
    </row>
    <row r="100" spans="1:31" x14ac:dyDescent="0.25">
      <c r="A100" s="42">
        <v>254</v>
      </c>
      <c r="B100" s="74"/>
      <c r="C100" s="75" t="e">
        <f t="shared" si="13"/>
        <v>#N/A</v>
      </c>
      <c r="D100" s="73">
        <f t="shared" si="11"/>
        <v>7000</v>
      </c>
      <c r="E100" s="73">
        <f t="shared" si="12"/>
        <v>25000</v>
      </c>
      <c r="F100" s="6">
        <f>HistData!GQ95</f>
        <v>1</v>
      </c>
      <c r="G100" s="3">
        <f>+HistData!AW95</f>
        <v>0</v>
      </c>
      <c r="H100" s="3">
        <f>+HistData!AV95</f>
        <v>0</v>
      </c>
      <c r="J100" s="118" t="str">
        <f t="shared" si="14"/>
        <v/>
      </c>
      <c r="K100" s="119" t="str">
        <f t="shared" si="15"/>
        <v/>
      </c>
      <c r="L100" s="119" t="str">
        <f t="shared" si="16"/>
        <v/>
      </c>
      <c r="N100" s="124" t="str">
        <f>IF(B100="","",C100/HistData!CU95)</f>
        <v/>
      </c>
    </row>
    <row r="101" spans="1:31" x14ac:dyDescent="0.25">
      <c r="A101" s="42">
        <v>255</v>
      </c>
      <c r="B101" s="74"/>
      <c r="C101" s="75" t="e">
        <f t="shared" si="13"/>
        <v>#N/A</v>
      </c>
      <c r="D101" s="73">
        <f t="shared" si="11"/>
        <v>7000</v>
      </c>
      <c r="E101" s="73">
        <f t="shared" si="12"/>
        <v>25000</v>
      </c>
      <c r="F101" s="6">
        <f>HistData!GQ96</f>
        <v>1</v>
      </c>
      <c r="G101" s="3">
        <f>+HistData!AW96</f>
        <v>0</v>
      </c>
      <c r="H101" s="3">
        <f>+HistData!AV96</f>
        <v>0</v>
      </c>
      <c r="J101" s="118" t="str">
        <f t="shared" si="14"/>
        <v/>
      </c>
      <c r="K101" s="119" t="str">
        <f t="shared" si="15"/>
        <v/>
      </c>
      <c r="L101" s="119" t="str">
        <f t="shared" si="16"/>
        <v/>
      </c>
      <c r="N101" s="124" t="str">
        <f>IF(B101="","",C101/HistData!CU96)</f>
        <v/>
      </c>
    </row>
    <row r="102" spans="1:31" x14ac:dyDescent="0.25">
      <c r="A102" s="42">
        <v>256</v>
      </c>
      <c r="B102" s="74"/>
      <c r="C102" s="75" t="e">
        <f t="shared" si="13"/>
        <v>#N/A</v>
      </c>
      <c r="D102" s="73">
        <f t="shared" si="11"/>
        <v>7000</v>
      </c>
      <c r="E102" s="73">
        <f t="shared" si="12"/>
        <v>25000</v>
      </c>
      <c r="F102" s="6">
        <f>HistData!GQ97</f>
        <v>1</v>
      </c>
      <c r="G102" s="3">
        <f>+HistData!AW97</f>
        <v>0</v>
      </c>
      <c r="H102" s="3">
        <f>+HistData!AV97</f>
        <v>0</v>
      </c>
      <c r="J102" s="118" t="str">
        <f t="shared" si="14"/>
        <v/>
      </c>
      <c r="K102" s="119" t="str">
        <f t="shared" si="15"/>
        <v/>
      </c>
      <c r="L102" s="119" t="str">
        <f t="shared" si="16"/>
        <v/>
      </c>
      <c r="N102" s="124" t="str">
        <f>IF(B102="","",C102/HistData!CU97)</f>
        <v/>
      </c>
    </row>
    <row r="103" spans="1:31" x14ac:dyDescent="0.25">
      <c r="A103" s="42">
        <v>257</v>
      </c>
      <c r="B103" s="74"/>
      <c r="C103" s="75" t="e">
        <f t="shared" si="13"/>
        <v>#N/A</v>
      </c>
      <c r="D103" s="73">
        <f t="shared" si="11"/>
        <v>7000</v>
      </c>
      <c r="E103" s="73">
        <f t="shared" si="12"/>
        <v>25000</v>
      </c>
      <c r="F103" s="6">
        <f>HistData!GQ98</f>
        <v>1</v>
      </c>
      <c r="G103" s="3">
        <f>+HistData!AW98</f>
        <v>0</v>
      </c>
      <c r="H103" s="3">
        <f>+HistData!AV98</f>
        <v>0</v>
      </c>
      <c r="J103" s="118" t="str">
        <f t="shared" si="14"/>
        <v/>
      </c>
      <c r="K103" s="119" t="str">
        <f t="shared" si="15"/>
        <v/>
      </c>
      <c r="L103" s="119" t="str">
        <f t="shared" si="16"/>
        <v/>
      </c>
      <c r="N103" s="124" t="str">
        <f>IF(B103="","",C103/HistData!CU98)</f>
        <v/>
      </c>
    </row>
    <row r="104" spans="1:31" x14ac:dyDescent="0.25">
      <c r="A104" s="42">
        <v>258</v>
      </c>
      <c r="B104" s="74"/>
      <c r="C104" s="75" t="e">
        <f t="shared" si="13"/>
        <v>#N/A</v>
      </c>
      <c r="D104" s="73">
        <f t="shared" si="11"/>
        <v>7000</v>
      </c>
      <c r="E104" s="73">
        <f t="shared" si="12"/>
        <v>25000</v>
      </c>
      <c r="F104" s="6">
        <f>HistData!GQ99</f>
        <v>1</v>
      </c>
      <c r="G104" s="3">
        <f>+HistData!AW99</f>
        <v>0</v>
      </c>
      <c r="H104" s="3">
        <f>+HistData!AV99</f>
        <v>0</v>
      </c>
      <c r="J104" s="118" t="str">
        <f t="shared" si="14"/>
        <v/>
      </c>
      <c r="K104" s="119" t="str">
        <f t="shared" si="15"/>
        <v/>
      </c>
      <c r="L104" s="119" t="str">
        <f t="shared" si="16"/>
        <v/>
      </c>
      <c r="N104" s="124" t="str">
        <f>IF(B104="","",C104/HistData!CU99)</f>
        <v/>
      </c>
    </row>
    <row r="105" spans="1:31" x14ac:dyDescent="0.25">
      <c r="A105" s="42">
        <v>259</v>
      </c>
      <c r="B105" s="74"/>
      <c r="C105" s="75" t="e">
        <f t="shared" si="13"/>
        <v>#N/A</v>
      </c>
      <c r="D105" s="73">
        <f t="shared" si="11"/>
        <v>7000</v>
      </c>
      <c r="E105" s="73">
        <f t="shared" si="12"/>
        <v>25000</v>
      </c>
      <c r="F105" s="6">
        <f>HistData!GQ100</f>
        <v>1</v>
      </c>
      <c r="G105" s="3">
        <f>+HistData!AW100</f>
        <v>0</v>
      </c>
      <c r="H105" s="3">
        <f>+HistData!AV100</f>
        <v>0</v>
      </c>
      <c r="J105" s="118" t="str">
        <f t="shared" si="14"/>
        <v/>
      </c>
      <c r="K105" s="119" t="str">
        <f t="shared" si="15"/>
        <v/>
      </c>
      <c r="L105" s="119" t="str">
        <f t="shared" si="16"/>
        <v/>
      </c>
      <c r="N105" s="124" t="str">
        <f>IF(B105="","",C105/HistData!CU100)</f>
        <v/>
      </c>
    </row>
    <row r="106" spans="1:31" x14ac:dyDescent="0.25">
      <c r="A106" s="42">
        <v>260</v>
      </c>
      <c r="B106" s="74"/>
      <c r="C106" s="75" t="e">
        <f t="shared" si="13"/>
        <v>#N/A</v>
      </c>
      <c r="D106" s="73">
        <f t="shared" si="11"/>
        <v>7000</v>
      </c>
      <c r="E106" s="73">
        <f>$S$1*F106</f>
        <v>25000</v>
      </c>
      <c r="F106" s="6">
        <f>HistData!GQ101</f>
        <v>1</v>
      </c>
      <c r="G106" s="3">
        <f>+HistData!AW101</f>
        <v>0</v>
      </c>
      <c r="H106" s="3">
        <f>+HistData!AV101</f>
        <v>0</v>
      </c>
      <c r="J106" s="118" t="str">
        <f t="shared" si="14"/>
        <v/>
      </c>
      <c r="K106" s="119" t="str">
        <f t="shared" si="15"/>
        <v/>
      </c>
      <c r="L106" s="119" t="str">
        <f t="shared" si="16"/>
        <v/>
      </c>
      <c r="N106" s="124" t="str">
        <f>IF(B106="","",C106/HistData!CU101)</f>
        <v/>
      </c>
    </row>
    <row r="107" spans="1:31" x14ac:dyDescent="0.25">
      <c r="A107" s="42">
        <v>261</v>
      </c>
      <c r="B107" s="74"/>
      <c r="C107" s="75" t="e">
        <f t="shared" si="13"/>
        <v>#N/A</v>
      </c>
      <c r="D107" s="73">
        <f t="shared" si="11"/>
        <v>7000</v>
      </c>
      <c r="E107" s="73">
        <f>$S$1*F107</f>
        <v>25000</v>
      </c>
      <c r="F107" s="6">
        <f>HistData!GQ102</f>
        <v>1</v>
      </c>
      <c r="G107" s="3">
        <f>+HistData!AW102</f>
        <v>0</v>
      </c>
      <c r="H107" s="3">
        <f>+HistData!AV102</f>
        <v>0</v>
      </c>
      <c r="J107" s="118" t="str">
        <f t="shared" si="14"/>
        <v/>
      </c>
      <c r="K107" s="119" t="str">
        <f t="shared" si="15"/>
        <v/>
      </c>
      <c r="L107" s="119" t="str">
        <f t="shared" si="16"/>
        <v/>
      </c>
      <c r="N107" s="124" t="str">
        <f>IF(B107="","",C107/HistData!CU102)</f>
        <v/>
      </c>
    </row>
    <row r="108" spans="1:31" x14ac:dyDescent="0.25">
      <c r="H108" s="6"/>
    </row>
    <row r="111" spans="1:31" hidden="1" x14ac:dyDescent="0.25"/>
    <row r="112" spans="1:31" hidden="1" x14ac:dyDescent="0.25"/>
    <row r="113" spans="1:26" hidden="1" x14ac:dyDescent="0.25"/>
    <row r="114" spans="1:26" hidden="1" x14ac:dyDescent="0.25">
      <c r="A114" s="10" t="s">
        <v>25</v>
      </c>
      <c r="B114" s="11"/>
      <c r="C114" s="11"/>
      <c r="D114" s="11"/>
      <c r="E114" s="11"/>
      <c r="F114" s="11"/>
      <c r="G114" s="11"/>
    </row>
    <row r="115" spans="1:26" hidden="1" x14ac:dyDescent="0.25">
      <c r="A115" s="27" t="s">
        <v>27</v>
      </c>
      <c r="B115" s="11"/>
      <c r="C115" s="11"/>
      <c r="D115" s="11"/>
      <c r="E115" s="11"/>
      <c r="F115" s="11"/>
      <c r="G115" s="11"/>
    </row>
    <row r="116" spans="1:26" hidden="1" x14ac:dyDescent="0.25">
      <c r="A116" s="31" t="s">
        <v>26</v>
      </c>
      <c r="B116" s="18"/>
      <c r="C116" s="18"/>
      <c r="D116" s="18"/>
      <c r="E116" s="18"/>
      <c r="F116" s="18"/>
      <c r="G116" s="18"/>
    </row>
    <row r="117" spans="1:26" hidden="1" x14ac:dyDescent="0.25">
      <c r="A117" s="11"/>
      <c r="B117" s="11"/>
      <c r="C117" s="11"/>
      <c r="D117" s="11"/>
      <c r="E117" s="15">
        <v>2008</v>
      </c>
      <c r="F117" s="11"/>
      <c r="G117" s="11"/>
    </row>
    <row r="118" spans="1:26" hidden="1" x14ac:dyDescent="0.25">
      <c r="A118" s="11"/>
      <c r="B118" s="16" t="s">
        <v>0</v>
      </c>
      <c r="C118" s="16"/>
      <c r="D118" s="16" t="s">
        <v>0</v>
      </c>
      <c r="E118" s="15" t="s">
        <v>24</v>
      </c>
      <c r="F118" s="16" t="s">
        <v>0</v>
      </c>
      <c r="G118" s="11"/>
    </row>
    <row r="119" spans="1:26" hidden="1" x14ac:dyDescent="0.25">
      <c r="A119" s="11"/>
      <c r="B119" s="17" t="s">
        <v>3</v>
      </c>
      <c r="C119" s="17"/>
      <c r="D119" s="17" t="s">
        <v>3</v>
      </c>
      <c r="E119" s="13" t="s">
        <v>23</v>
      </c>
      <c r="F119" s="17" t="s">
        <v>3</v>
      </c>
      <c r="G119" s="11"/>
    </row>
    <row r="120" spans="1:26" hidden="1" x14ac:dyDescent="0.25">
      <c r="A120" s="13" t="s">
        <v>18</v>
      </c>
      <c r="B120" s="11"/>
      <c r="C120" s="11"/>
      <c r="D120" s="13" t="s">
        <v>19</v>
      </c>
      <c r="E120" s="13" t="s">
        <v>10</v>
      </c>
      <c r="F120" s="11"/>
      <c r="G120" s="11"/>
    </row>
    <row r="121" spans="1:26" hidden="1" x14ac:dyDescent="0.25">
      <c r="A121" s="11"/>
      <c r="B121" s="13" t="s">
        <v>20</v>
      </c>
      <c r="C121" s="13"/>
      <c r="D121" s="13" t="s">
        <v>21</v>
      </c>
      <c r="E121" s="13" t="s">
        <v>2</v>
      </c>
      <c r="F121" s="13" t="s">
        <v>1</v>
      </c>
      <c r="G121" s="32" t="s">
        <v>28</v>
      </c>
      <c r="Z121" s="13"/>
    </row>
    <row r="122" spans="1:26" hidden="1" x14ac:dyDescent="0.25">
      <c r="A122" s="11"/>
      <c r="B122" s="21">
        <v>60</v>
      </c>
      <c r="C122" s="11"/>
      <c r="D122" s="22">
        <v>2.5</v>
      </c>
      <c r="E122" s="33" t="e">
        <f>#REF!*0.9</f>
        <v>#REF!</v>
      </c>
      <c r="F122" s="23">
        <v>0</v>
      </c>
      <c r="G122" s="10" t="s">
        <v>30</v>
      </c>
      <c r="Z122" s="22"/>
    </row>
    <row r="123" spans="1:26" hidden="1" x14ac:dyDescent="0.25">
      <c r="A123" s="11"/>
      <c r="B123" s="21">
        <v>60</v>
      </c>
      <c r="C123" s="11"/>
      <c r="D123" s="22">
        <v>2.5</v>
      </c>
      <c r="E123" s="14" t="e">
        <f>#REF!*0.9</f>
        <v>#REF!</v>
      </c>
      <c r="F123" s="23">
        <v>2549</v>
      </c>
      <c r="G123" s="10"/>
      <c r="Z123" s="23"/>
    </row>
    <row r="124" spans="1:26" hidden="1" x14ac:dyDescent="0.25">
      <c r="A124" s="11"/>
      <c r="B124" s="21">
        <v>60</v>
      </c>
      <c r="C124" s="11"/>
      <c r="D124" s="22">
        <v>2.5</v>
      </c>
      <c r="E124" s="14" t="e">
        <f>#REF!*0.9</f>
        <v>#REF!</v>
      </c>
      <c r="F124" s="23">
        <v>1570</v>
      </c>
      <c r="G124" s="10"/>
    </row>
    <row r="125" spans="1:26" hidden="1" x14ac:dyDescent="0.25">
      <c r="A125" s="11"/>
      <c r="B125" s="21">
        <v>36</v>
      </c>
      <c r="C125" s="11"/>
      <c r="D125" s="22">
        <v>1.5</v>
      </c>
      <c r="E125" s="14" t="e">
        <f>#REF!*0.9</f>
        <v>#REF!</v>
      </c>
      <c r="F125" s="23">
        <v>1724</v>
      </c>
      <c r="G125" s="10"/>
    </row>
    <row r="126" spans="1:26" hidden="1" x14ac:dyDescent="0.25">
      <c r="A126" s="11"/>
      <c r="B126" s="21">
        <v>36</v>
      </c>
      <c r="C126" s="11"/>
      <c r="D126" s="22">
        <v>1.5</v>
      </c>
      <c r="E126" s="14" t="e">
        <f>#REF!*0.9</f>
        <v>#REF!</v>
      </c>
      <c r="F126" s="23">
        <v>1126</v>
      </c>
      <c r="G126" s="10"/>
    </row>
    <row r="127" spans="1:26" hidden="1" x14ac:dyDescent="0.25">
      <c r="A127" s="11"/>
      <c r="B127" s="21"/>
      <c r="C127" s="11"/>
      <c r="D127" s="22"/>
      <c r="E127" s="14" t="e">
        <f>#REF!*0.9</f>
        <v>#REF!</v>
      </c>
      <c r="F127" s="23"/>
      <c r="G127" s="10"/>
    </row>
    <row r="128" spans="1:26" hidden="1" x14ac:dyDescent="0.25">
      <c r="A128" s="11"/>
      <c r="B128" s="21"/>
      <c r="C128" s="11"/>
      <c r="D128" s="22"/>
      <c r="E128" s="14" t="e">
        <f>#REF!*0.9</f>
        <v>#REF!</v>
      </c>
      <c r="F128" s="23"/>
      <c r="G128" s="10"/>
    </row>
    <row r="129" spans="1:7" hidden="1" x14ac:dyDescent="0.25">
      <c r="A129" s="11"/>
      <c r="B129" s="21"/>
      <c r="C129" s="11"/>
      <c r="D129" s="22"/>
      <c r="E129" s="14" t="e">
        <f>#REF!*0.9</f>
        <v>#REF!</v>
      </c>
      <c r="F129" s="23"/>
      <c r="G129" s="10"/>
    </row>
    <row r="130" spans="1:7" hidden="1" x14ac:dyDescent="0.25">
      <c r="A130" s="11"/>
      <c r="B130" s="21"/>
      <c r="C130" s="11"/>
      <c r="D130" s="22"/>
      <c r="E130" s="14" t="e">
        <f>#REF!*0.9</f>
        <v>#REF!</v>
      </c>
      <c r="F130" s="23"/>
      <c r="G130" s="10"/>
    </row>
    <row r="131" spans="1:7" hidden="1" x14ac:dyDescent="0.25">
      <c r="A131" s="11"/>
      <c r="B131" s="21"/>
      <c r="C131" s="11"/>
      <c r="D131" s="22"/>
      <c r="E131" s="14" t="e">
        <f>#REF!*0.9</f>
        <v>#REF!</v>
      </c>
      <c r="F131" s="23"/>
      <c r="G131" s="10"/>
    </row>
    <row r="132" spans="1:7" hidden="1" x14ac:dyDescent="0.25">
      <c r="A132" s="11"/>
      <c r="B132" s="21"/>
      <c r="C132" s="11"/>
      <c r="D132" s="22"/>
      <c r="E132" s="14" t="e">
        <f>#REF!*0.9</f>
        <v>#REF!</v>
      </c>
      <c r="F132" s="22"/>
      <c r="G132" s="11"/>
    </row>
    <row r="133" spans="1:7" hidden="1" x14ac:dyDescent="0.25">
      <c r="A133" s="11"/>
      <c r="B133" s="21"/>
      <c r="C133" s="11"/>
      <c r="D133" s="22"/>
      <c r="E133" s="14" t="e">
        <f>#REF!*0.9</f>
        <v>#REF!</v>
      </c>
      <c r="F133" s="22"/>
      <c r="G133" s="11"/>
    </row>
    <row r="134" spans="1:7" hidden="1" x14ac:dyDescent="0.25">
      <c r="A134" s="11"/>
      <c r="B134" s="21"/>
      <c r="C134" s="11"/>
      <c r="D134" s="22"/>
      <c r="E134" s="14" t="e">
        <f>#REF!*0.9</f>
        <v>#REF!</v>
      </c>
      <c r="F134" s="22"/>
      <c r="G134" s="11"/>
    </row>
    <row r="135" spans="1:7" hidden="1" x14ac:dyDescent="0.25">
      <c r="A135" s="18"/>
      <c r="B135" s="24"/>
      <c r="C135" s="18"/>
      <c r="D135" s="25"/>
      <c r="E135" s="19" t="e">
        <f>#REF!*0.9</f>
        <v>#REF!</v>
      </c>
      <c r="F135" s="25"/>
      <c r="G135" s="18"/>
    </row>
    <row r="136" spans="1:7" hidden="1" x14ac:dyDescent="0.25">
      <c r="A136" s="18"/>
      <c r="B136" s="18"/>
      <c r="C136" s="18"/>
      <c r="D136" s="18"/>
      <c r="E136" s="19" t="e">
        <f>SUM(E122:E135)</f>
        <v>#REF!</v>
      </c>
      <c r="F136" s="19">
        <f>SUM(F122:F135)</f>
        <v>6969</v>
      </c>
      <c r="G136" s="18"/>
    </row>
    <row r="137" spans="1:7" hidden="1" x14ac:dyDescent="0.25">
      <c r="A137" s="11"/>
      <c r="B137" s="11"/>
      <c r="C137" s="11"/>
      <c r="D137" s="11"/>
      <c r="E137" s="14"/>
      <c r="F137" s="14" t="e">
        <f>+#REF!</f>
        <v>#REF!</v>
      </c>
      <c r="G137" s="12" t="s">
        <v>31</v>
      </c>
    </row>
    <row r="138" spans="1:7" hidden="1" x14ac:dyDescent="0.25">
      <c r="A138" s="11"/>
      <c r="B138" s="11"/>
      <c r="C138" s="11"/>
      <c r="D138" s="11"/>
      <c r="E138" s="14"/>
      <c r="F138" s="14"/>
      <c r="G138" s="11"/>
    </row>
    <row r="139" spans="1:7" hidden="1" x14ac:dyDescent="0.25">
      <c r="A139" s="11"/>
      <c r="B139" s="11"/>
      <c r="C139" s="11"/>
      <c r="D139" s="11"/>
      <c r="E139" s="14" t="e">
        <f>+#REF!</f>
        <v>#REF!</v>
      </c>
      <c r="F139" s="33" t="e">
        <f>+#REF!</f>
        <v>#REF!</v>
      </c>
      <c r="G139" s="12" t="s">
        <v>29</v>
      </c>
    </row>
    <row r="140" spans="1:7" hidden="1" x14ac:dyDescent="0.25">
      <c r="A140" s="11"/>
      <c r="B140" s="11"/>
      <c r="C140" s="11"/>
      <c r="D140" s="11"/>
      <c r="E140" s="14" t="e">
        <f>#REF!*0.85</f>
        <v>#REF!</v>
      </c>
      <c r="F140" s="23">
        <v>0</v>
      </c>
      <c r="G140" s="12" t="s">
        <v>29</v>
      </c>
    </row>
    <row r="141" spans="1:7" hidden="1" x14ac:dyDescent="0.25">
      <c r="A141" s="11"/>
      <c r="B141" s="11"/>
      <c r="C141" s="11"/>
      <c r="D141" s="11"/>
      <c r="E141" s="14"/>
      <c r="F141" s="14"/>
      <c r="G141" s="11"/>
    </row>
    <row r="142" spans="1:7" hidden="1" x14ac:dyDescent="0.25">
      <c r="A142" s="11"/>
      <c r="B142" s="11"/>
      <c r="C142" s="11"/>
      <c r="D142" s="11"/>
      <c r="E142" s="14"/>
      <c r="F142" s="14"/>
      <c r="G142" s="11"/>
    </row>
    <row r="143" spans="1:7" hidden="1" x14ac:dyDescent="0.25">
      <c r="A143" s="11"/>
      <c r="B143" s="11"/>
      <c r="C143" s="11"/>
      <c r="D143" s="11"/>
      <c r="E143" s="14" t="e">
        <f>SUM(E139:E141)</f>
        <v>#REF!</v>
      </c>
      <c r="F143" s="14" t="e">
        <f>SUM(F136:F141)</f>
        <v>#REF!</v>
      </c>
      <c r="G143" s="11"/>
    </row>
    <row r="144" spans="1:7" hidden="1" x14ac:dyDescent="0.25">
      <c r="A144" s="11"/>
      <c r="B144" s="11"/>
      <c r="C144" s="11"/>
      <c r="D144" s="11"/>
      <c r="E144" s="14"/>
      <c r="F144" s="14"/>
      <c r="G144" s="11"/>
    </row>
    <row r="145" spans="1:8" hidden="1" x14ac:dyDescent="0.25">
      <c r="A145" s="11"/>
      <c r="B145" s="11"/>
      <c r="C145" s="11"/>
      <c r="D145" s="11"/>
      <c r="E145" s="14" t="e">
        <f>#REF!</f>
        <v>#REF!</v>
      </c>
      <c r="F145" s="14" t="e">
        <f>#REF!</f>
        <v>#REF!</v>
      </c>
      <c r="G145" s="11"/>
    </row>
    <row r="146" spans="1:8" hidden="1" x14ac:dyDescent="0.25">
      <c r="A146" s="11"/>
      <c r="B146" s="11"/>
      <c r="C146" s="11"/>
      <c r="D146" s="11"/>
      <c r="E146" s="14" t="e">
        <f>+#REF!</f>
        <v>#REF!</v>
      </c>
      <c r="F146" s="33" t="e">
        <f>+#REF!</f>
        <v>#REF!</v>
      </c>
      <c r="G146" s="12" t="s">
        <v>29</v>
      </c>
    </row>
    <row r="147" spans="1:8" hidden="1" x14ac:dyDescent="0.25">
      <c r="A147" s="11"/>
      <c r="B147" s="11"/>
      <c r="C147" s="11"/>
      <c r="D147" s="11"/>
      <c r="E147" s="14" t="e">
        <f>E145-E146</f>
        <v>#REF!</v>
      </c>
      <c r="F147" s="14" t="e">
        <f>F145-F146</f>
        <v>#REF!</v>
      </c>
      <c r="G147" s="11"/>
    </row>
    <row r="148" spans="1:8" hidden="1" x14ac:dyDescent="0.25">
      <c r="A148" s="11"/>
      <c r="B148" s="11"/>
      <c r="C148" s="11"/>
      <c r="D148" s="11"/>
      <c r="E148" s="14"/>
      <c r="F148" s="14"/>
      <c r="G148" s="11"/>
    </row>
    <row r="149" spans="1:8" hidden="1" x14ac:dyDescent="0.25">
      <c r="A149" s="18"/>
      <c r="B149" s="18"/>
      <c r="C149" s="18"/>
      <c r="D149" s="18"/>
      <c r="E149" s="19" t="e">
        <f>E143+E145</f>
        <v>#REF!</v>
      </c>
      <c r="F149" s="19" t="e">
        <f>F143+F145</f>
        <v>#REF!</v>
      </c>
      <c r="G149" s="18"/>
    </row>
    <row r="150" spans="1:8" hidden="1" x14ac:dyDescent="0.25">
      <c r="A150" s="11"/>
      <c r="B150" s="11"/>
      <c r="C150" s="11"/>
      <c r="D150" s="11"/>
      <c r="E150" s="11"/>
      <c r="F150" s="11"/>
      <c r="G150" s="11"/>
    </row>
    <row r="151" spans="1:8" hidden="1" x14ac:dyDescent="0.25">
      <c r="A151" s="11"/>
      <c r="B151" s="12" t="s">
        <v>32</v>
      </c>
      <c r="C151" s="11"/>
      <c r="D151" s="11"/>
      <c r="E151" s="11"/>
      <c r="F151" s="11"/>
      <c r="G151" s="11"/>
    </row>
    <row r="152" spans="1:8" hidden="1" x14ac:dyDescent="0.25">
      <c r="A152" s="11"/>
      <c r="B152" s="11"/>
      <c r="C152" s="11"/>
      <c r="D152" s="11"/>
      <c r="E152" s="11"/>
      <c r="F152" s="11"/>
      <c r="G152" s="11"/>
    </row>
    <row r="153" spans="1:8" hidden="1" x14ac:dyDescent="0.25"/>
    <row r="154" spans="1:8" x14ac:dyDescent="0.25">
      <c r="A154" s="36"/>
      <c r="B154" s="36"/>
      <c r="C154" s="36"/>
      <c r="D154" s="36"/>
      <c r="E154" s="36"/>
      <c r="F154" s="36"/>
      <c r="G154" s="36"/>
      <c r="H154" s="36"/>
    </row>
  </sheetData>
  <mergeCells count="1">
    <mergeCell ref="J3:N3"/>
  </mergeCells>
  <phoneticPr fontId="1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H223"/>
  <sheetViews>
    <sheetView zoomScale="90" zoomScaleNormal="90" workbookViewId="0">
      <selection activeCell="J44" sqref="J44"/>
    </sheetView>
  </sheetViews>
  <sheetFormatPr defaultColWidth="8.9140625" defaultRowHeight="13.2" x14ac:dyDescent="0.25"/>
  <cols>
    <col min="1" max="1" width="1.58203125" style="1" customWidth="1"/>
    <col min="2" max="12" width="6" style="1" customWidth="1"/>
    <col min="13" max="13" width="5.25" style="1" customWidth="1"/>
    <col min="14" max="24" width="6" style="1" customWidth="1"/>
    <col min="25" max="25" width="6.58203125" style="1" customWidth="1"/>
    <col min="26" max="26" width="6" style="1" customWidth="1"/>
    <col min="27" max="27" width="7.6640625" style="1" customWidth="1"/>
    <col min="28" max="32" width="8.9140625" style="1" customWidth="1"/>
    <col min="33" max="33" width="6.58203125" style="1" customWidth="1"/>
    <col min="34" max="34" width="2.33203125" style="1" customWidth="1"/>
    <col min="35" max="16384" width="8.9140625" style="1"/>
  </cols>
  <sheetData>
    <row r="1" spans="1:33" ht="13.8" thickBot="1" x14ac:dyDescent="0.3">
      <c r="A1" s="37"/>
    </row>
    <row r="2" spans="1:33" ht="20.25" customHeight="1" x14ac:dyDescent="0.4">
      <c r="A2" s="37"/>
      <c r="B2" s="53" t="s">
        <v>43</v>
      </c>
      <c r="C2" s="54"/>
      <c r="D2" s="54"/>
      <c r="E2" s="54"/>
      <c r="F2" s="54"/>
      <c r="G2" s="54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50"/>
    </row>
    <row r="3" spans="1:33" ht="20.25" customHeight="1" thickBot="1" x14ac:dyDescent="0.45">
      <c r="A3" s="37"/>
      <c r="B3" s="55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2"/>
    </row>
    <row r="4" spans="1:33" x14ac:dyDescent="0.25">
      <c r="A4" s="37"/>
    </row>
    <row r="5" spans="1:33" x14ac:dyDescent="0.25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</row>
    <row r="6" spans="1:33" x14ac:dyDescent="0.25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</row>
    <row r="7" spans="1:33" x14ac:dyDescent="0.25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</row>
    <row r="8" spans="1:33" x14ac:dyDescent="0.25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</row>
    <row r="9" spans="1:33" x14ac:dyDescent="0.25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</row>
    <row r="10" spans="1:33" x14ac:dyDescent="0.25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</row>
    <row r="11" spans="1:33" x14ac:dyDescent="0.25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</row>
    <row r="12" spans="1:33" x14ac:dyDescent="0.25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</row>
    <row r="13" spans="1:33" x14ac:dyDescent="0.25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</row>
    <row r="14" spans="1:33" x14ac:dyDescent="0.25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</row>
    <row r="15" spans="1:33" x14ac:dyDescent="0.25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</row>
    <row r="16" spans="1:33" x14ac:dyDescent="0.25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</row>
    <row r="17" spans="1:33" x14ac:dyDescent="0.25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</row>
    <row r="18" spans="1:33" x14ac:dyDescent="0.25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</row>
    <row r="19" spans="1:33" x14ac:dyDescent="0.25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</row>
    <row r="20" spans="1:33" x14ac:dyDescent="0.25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</row>
    <row r="21" spans="1:33" x14ac:dyDescent="0.25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</row>
    <row r="22" spans="1:33" x14ac:dyDescent="0.25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</row>
    <row r="23" spans="1:33" x14ac:dyDescent="0.25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</row>
    <row r="24" spans="1:33" x14ac:dyDescent="0.25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</row>
    <row r="25" spans="1:33" x14ac:dyDescent="0.25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</row>
    <row r="26" spans="1:33" x14ac:dyDescent="0.25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</row>
    <row r="27" spans="1:33" x14ac:dyDescent="0.25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</row>
    <row r="28" spans="1:33" x14ac:dyDescent="0.25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</row>
    <row r="29" spans="1:33" x14ac:dyDescent="0.25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</row>
    <row r="30" spans="1:33" x14ac:dyDescent="0.25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</row>
    <row r="31" spans="1:33" x14ac:dyDescent="0.25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</row>
    <row r="32" spans="1:33" x14ac:dyDescent="0.25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</row>
    <row r="33" spans="1:34" x14ac:dyDescent="0.25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</row>
    <row r="34" spans="1:34" x14ac:dyDescent="0.25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57"/>
    </row>
    <row r="35" spans="1:34" x14ac:dyDescent="0.2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</row>
    <row r="36" spans="1:34" x14ac:dyDescent="0.25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</row>
    <row r="37" spans="1:34" x14ac:dyDescent="0.25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</row>
    <row r="38" spans="1:34" x14ac:dyDescent="0.25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</row>
    <row r="39" spans="1:34" x14ac:dyDescent="0.25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</row>
    <row r="40" spans="1:34" x14ac:dyDescent="0.25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</row>
    <row r="41" spans="1:34" x14ac:dyDescent="0.25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</row>
    <row r="42" spans="1:34" x14ac:dyDescent="0.25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</row>
    <row r="43" spans="1:34" x14ac:dyDescent="0.25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</row>
    <row r="44" spans="1:34" x14ac:dyDescent="0.25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</row>
    <row r="45" spans="1:34" x14ac:dyDescent="0.25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</row>
    <row r="46" spans="1:34" x14ac:dyDescent="0.25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</row>
    <row r="47" spans="1:34" x14ac:dyDescent="0.25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</row>
    <row r="48" spans="1:34" x14ac:dyDescent="0.25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</row>
    <row r="49" spans="1:33" x14ac:dyDescent="0.25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</row>
    <row r="50" spans="1:33" x14ac:dyDescent="0.25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</row>
    <row r="51" spans="1:33" x14ac:dyDescent="0.25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</row>
    <row r="52" spans="1:33" x14ac:dyDescent="0.25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</row>
    <row r="53" spans="1:33" x14ac:dyDescent="0.25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</row>
    <row r="54" spans="1:33" x14ac:dyDescent="0.25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</row>
    <row r="55" spans="1:33" x14ac:dyDescent="0.2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</row>
    <row r="56" spans="1:33" x14ac:dyDescent="0.25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</row>
    <row r="57" spans="1:33" x14ac:dyDescent="0.25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</row>
    <row r="58" spans="1:33" x14ac:dyDescent="0.25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</row>
    <row r="59" spans="1:33" x14ac:dyDescent="0.25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</row>
    <row r="60" spans="1:33" x14ac:dyDescent="0.25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</row>
    <row r="61" spans="1:33" x14ac:dyDescent="0.25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</row>
    <row r="62" spans="1:33" x14ac:dyDescent="0.25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</row>
    <row r="63" spans="1:33" x14ac:dyDescent="0.25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</row>
    <row r="65" spans="2:14" x14ac:dyDescent="0.25">
      <c r="B65" s="56"/>
      <c r="C65" s="56"/>
      <c r="D65" s="56"/>
      <c r="E65" s="56"/>
      <c r="F65" s="56"/>
      <c r="L65" s="30"/>
    </row>
    <row r="66" spans="2:14" x14ac:dyDescent="0.25">
      <c r="K66" s="30"/>
    </row>
    <row r="71" spans="2:14" x14ac:dyDescent="0.25">
      <c r="N71" s="5"/>
    </row>
    <row r="72" spans="2:14" x14ac:dyDescent="0.25">
      <c r="N72" s="5"/>
    </row>
    <row r="73" spans="2:14" x14ac:dyDescent="0.25">
      <c r="N73" s="5"/>
    </row>
    <row r="74" spans="2:14" x14ac:dyDescent="0.25">
      <c r="N74" s="5"/>
    </row>
    <row r="75" spans="2:14" x14ac:dyDescent="0.25">
      <c r="N75" s="5"/>
    </row>
    <row r="76" spans="2:14" x14ac:dyDescent="0.25">
      <c r="N76" s="5"/>
    </row>
    <row r="77" spans="2:14" x14ac:dyDescent="0.25">
      <c r="N77" s="5"/>
    </row>
    <row r="78" spans="2:14" x14ac:dyDescent="0.25">
      <c r="N78" s="5"/>
    </row>
    <row r="79" spans="2:14" x14ac:dyDescent="0.25">
      <c r="N79" s="5"/>
    </row>
    <row r="80" spans="2:14" x14ac:dyDescent="0.25">
      <c r="N80" s="5"/>
    </row>
    <row r="81" spans="14:14" x14ac:dyDescent="0.25">
      <c r="N81" s="5"/>
    </row>
    <row r="82" spans="14:14" x14ac:dyDescent="0.25">
      <c r="N82" s="5"/>
    </row>
    <row r="83" spans="14:14" x14ac:dyDescent="0.25">
      <c r="N83" s="5"/>
    </row>
    <row r="84" spans="14:14" x14ac:dyDescent="0.25">
      <c r="N84" s="5"/>
    </row>
    <row r="85" spans="14:14" x14ac:dyDescent="0.25">
      <c r="N85" s="5"/>
    </row>
    <row r="86" spans="14:14" x14ac:dyDescent="0.25">
      <c r="N86" s="5"/>
    </row>
    <row r="87" spans="14:14" x14ac:dyDescent="0.25">
      <c r="N87" s="5"/>
    </row>
    <row r="88" spans="14:14" x14ac:dyDescent="0.25">
      <c r="N88" s="5"/>
    </row>
    <row r="89" spans="14:14" x14ac:dyDescent="0.25">
      <c r="N89" s="5"/>
    </row>
    <row r="90" spans="14:14" x14ac:dyDescent="0.25">
      <c r="N90" s="5"/>
    </row>
    <row r="91" spans="14:14" x14ac:dyDescent="0.25">
      <c r="N91" s="5"/>
    </row>
    <row r="92" spans="14:14" x14ac:dyDescent="0.25">
      <c r="N92" s="5"/>
    </row>
    <row r="93" spans="14:14" x14ac:dyDescent="0.25">
      <c r="N93" s="5"/>
    </row>
    <row r="94" spans="14:14" x14ac:dyDescent="0.25">
      <c r="N94" s="5"/>
    </row>
    <row r="95" spans="14:14" x14ac:dyDescent="0.25">
      <c r="N95" s="5"/>
    </row>
    <row r="96" spans="14:14" x14ac:dyDescent="0.25">
      <c r="N96" s="5"/>
    </row>
    <row r="97" spans="14:14" x14ac:dyDescent="0.25">
      <c r="N97" s="5"/>
    </row>
    <row r="98" spans="14:14" x14ac:dyDescent="0.25">
      <c r="N98" s="5"/>
    </row>
    <row r="99" spans="14:14" x14ac:dyDescent="0.25">
      <c r="N99" s="5"/>
    </row>
    <row r="100" spans="14:14" x14ac:dyDescent="0.25">
      <c r="N100" s="5"/>
    </row>
    <row r="101" spans="14:14" x14ac:dyDescent="0.25">
      <c r="N101" s="5"/>
    </row>
    <row r="102" spans="14:14" x14ac:dyDescent="0.25">
      <c r="N102" s="5"/>
    </row>
    <row r="103" spans="14:14" x14ac:dyDescent="0.25">
      <c r="N103" s="5"/>
    </row>
    <row r="104" spans="14:14" x14ac:dyDescent="0.25">
      <c r="N104" s="5"/>
    </row>
    <row r="105" spans="14:14" x14ac:dyDescent="0.25">
      <c r="N105" s="5"/>
    </row>
    <row r="106" spans="14:14" x14ac:dyDescent="0.25">
      <c r="N106" s="5"/>
    </row>
    <row r="107" spans="14:14" x14ac:dyDescent="0.25">
      <c r="N107" s="5"/>
    </row>
    <row r="108" spans="14:14" x14ac:dyDescent="0.25">
      <c r="N108" s="5"/>
    </row>
    <row r="109" spans="14:14" x14ac:dyDescent="0.25">
      <c r="N109" s="5"/>
    </row>
    <row r="110" spans="14:14" x14ac:dyDescent="0.25">
      <c r="N110" s="5"/>
    </row>
    <row r="111" spans="14:14" x14ac:dyDescent="0.25">
      <c r="N111" s="5"/>
    </row>
    <row r="112" spans="14:14" x14ac:dyDescent="0.25">
      <c r="N112" s="5"/>
    </row>
    <row r="113" spans="14:14" x14ac:dyDescent="0.25">
      <c r="N113" s="5"/>
    </row>
    <row r="114" spans="14:14" x14ac:dyDescent="0.25">
      <c r="N114" s="5"/>
    </row>
    <row r="115" spans="14:14" x14ac:dyDescent="0.25">
      <c r="N115" s="5"/>
    </row>
    <row r="116" spans="14:14" x14ac:dyDescent="0.25">
      <c r="N116" s="5"/>
    </row>
    <row r="117" spans="14:14" x14ac:dyDescent="0.25">
      <c r="N117" s="5"/>
    </row>
    <row r="118" spans="14:14" x14ac:dyDescent="0.25">
      <c r="N118" s="5"/>
    </row>
    <row r="119" spans="14:14" x14ac:dyDescent="0.25">
      <c r="N119" s="5"/>
    </row>
    <row r="120" spans="14:14" x14ac:dyDescent="0.25">
      <c r="N120" s="5"/>
    </row>
    <row r="121" spans="14:14" x14ac:dyDescent="0.25">
      <c r="N121" s="5"/>
    </row>
    <row r="122" spans="14:14" x14ac:dyDescent="0.25">
      <c r="N122" s="5"/>
    </row>
    <row r="123" spans="14:14" x14ac:dyDescent="0.25">
      <c r="N123" s="5"/>
    </row>
    <row r="124" spans="14:14" x14ac:dyDescent="0.25">
      <c r="N124" s="5"/>
    </row>
    <row r="125" spans="14:14" x14ac:dyDescent="0.25">
      <c r="N125" s="5"/>
    </row>
    <row r="126" spans="14:14" x14ac:dyDescent="0.25">
      <c r="N126" s="5"/>
    </row>
    <row r="127" spans="14:14" x14ac:dyDescent="0.25">
      <c r="N127" s="5"/>
    </row>
    <row r="128" spans="14:14" x14ac:dyDescent="0.25">
      <c r="N128" s="5"/>
    </row>
    <row r="129" spans="14:14" x14ac:dyDescent="0.25">
      <c r="N129" s="5"/>
    </row>
    <row r="130" spans="14:14" x14ac:dyDescent="0.25">
      <c r="N130" s="5"/>
    </row>
    <row r="131" spans="14:14" x14ac:dyDescent="0.25">
      <c r="N131" s="5"/>
    </row>
    <row r="132" spans="14:14" x14ac:dyDescent="0.25">
      <c r="N132" s="5"/>
    </row>
    <row r="133" spans="14:14" x14ac:dyDescent="0.25">
      <c r="N133" s="5"/>
    </row>
    <row r="134" spans="14:14" x14ac:dyDescent="0.25">
      <c r="N134" s="5"/>
    </row>
    <row r="135" spans="14:14" x14ac:dyDescent="0.25">
      <c r="N135" s="5"/>
    </row>
    <row r="136" spans="14:14" x14ac:dyDescent="0.25">
      <c r="N136" s="5"/>
    </row>
    <row r="137" spans="14:14" x14ac:dyDescent="0.25">
      <c r="N137" s="5"/>
    </row>
    <row r="138" spans="14:14" x14ac:dyDescent="0.25">
      <c r="N138" s="5"/>
    </row>
    <row r="139" spans="14:14" x14ac:dyDescent="0.25">
      <c r="N139" s="5"/>
    </row>
    <row r="140" spans="14:14" x14ac:dyDescent="0.25">
      <c r="N140" s="5"/>
    </row>
    <row r="141" spans="14:14" x14ac:dyDescent="0.25">
      <c r="N141" s="5"/>
    </row>
    <row r="142" spans="14:14" x14ac:dyDescent="0.25">
      <c r="N142" s="5"/>
    </row>
    <row r="143" spans="14:14" x14ac:dyDescent="0.25">
      <c r="N143" s="5"/>
    </row>
    <row r="144" spans="14:14" x14ac:dyDescent="0.25">
      <c r="N144" s="5"/>
    </row>
    <row r="145" spans="14:14" x14ac:dyDescent="0.25">
      <c r="N145" s="5"/>
    </row>
    <row r="146" spans="14:14" x14ac:dyDescent="0.25">
      <c r="N146" s="5"/>
    </row>
    <row r="147" spans="14:14" x14ac:dyDescent="0.25">
      <c r="N147" s="5"/>
    </row>
    <row r="148" spans="14:14" x14ac:dyDescent="0.25">
      <c r="N148" s="5"/>
    </row>
    <row r="149" spans="14:14" x14ac:dyDescent="0.25">
      <c r="N149" s="5"/>
    </row>
    <row r="150" spans="14:14" x14ac:dyDescent="0.25">
      <c r="N150" s="5"/>
    </row>
    <row r="151" spans="14:14" x14ac:dyDescent="0.25">
      <c r="N151" s="5"/>
    </row>
    <row r="152" spans="14:14" x14ac:dyDescent="0.25">
      <c r="N152" s="5"/>
    </row>
    <row r="203" spans="1:1" x14ac:dyDescent="0.25">
      <c r="A203" s="20"/>
    </row>
    <row r="221" spans="1:1" x14ac:dyDescent="0.25">
      <c r="A221" s="26"/>
    </row>
    <row r="222" spans="1:1" x14ac:dyDescent="0.25">
      <c r="A222" s="28"/>
    </row>
    <row r="223" spans="1:1" x14ac:dyDescent="0.25">
      <c r="A223" s="29"/>
    </row>
  </sheetData>
  <phoneticPr fontId="0" type="noConversion"/>
  <pageMargins left="0.75" right="0.33" top="0.51" bottom="0.49" header="0.22" footer="0.22"/>
  <pageSetup scale="49" orientation="landscape" horizontalDpi="4294967292" r:id="rId1"/>
  <headerFooter alignWithMargins="0">
    <oddHeader>&amp;CPrepared by Alaska Dept. of Fish and Game &amp;D</oddHeader>
    <oddFooter>&amp;R&amp;F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R314"/>
  <sheetViews>
    <sheetView tabSelected="1" topLeftCell="BA1" zoomScale="80" zoomScaleNormal="80" workbookViewId="0">
      <pane ySplit="3" topLeftCell="A4" activePane="bottomLeft" state="frozen"/>
      <selection pane="bottomLeft" activeCell="CT18" sqref="CT18"/>
    </sheetView>
  </sheetViews>
  <sheetFormatPr defaultColWidth="4.33203125" defaultRowHeight="13.2" x14ac:dyDescent="0.25"/>
  <cols>
    <col min="1" max="1" width="6.25" style="30" customWidth="1"/>
    <col min="2" max="2" width="5" style="30" bestFit="1" customWidth="1"/>
    <col min="3" max="3" width="4.6640625" style="30" bestFit="1" customWidth="1"/>
    <col min="4" max="4" width="5.33203125" style="30" bestFit="1" customWidth="1"/>
    <col min="5" max="5" width="4.4140625" style="30" bestFit="1" customWidth="1"/>
    <col min="6" max="6" width="4.58203125" style="30" bestFit="1" customWidth="1"/>
    <col min="7" max="7" width="4.6640625" style="30" bestFit="1" customWidth="1"/>
    <col min="8" max="8" width="5" style="30" bestFit="1" customWidth="1"/>
    <col min="9" max="9" width="4.4140625" style="30" bestFit="1" customWidth="1"/>
    <col min="10" max="10" width="5" style="30" bestFit="1" customWidth="1"/>
    <col min="11" max="11" width="4.4140625" style="30" bestFit="1" customWidth="1"/>
    <col min="12" max="12" width="5.33203125" style="30" bestFit="1" customWidth="1"/>
    <col min="13" max="13" width="5" style="30" bestFit="1" customWidth="1"/>
    <col min="14" max="14" width="5.33203125" style="30" bestFit="1" customWidth="1"/>
    <col min="15" max="15" width="4.6640625" style="30" bestFit="1" customWidth="1"/>
    <col min="16" max="16" width="5.33203125" style="30" bestFit="1" customWidth="1"/>
    <col min="17" max="20" width="5" style="30" bestFit="1" customWidth="1"/>
    <col min="21" max="21" width="4.4140625" style="30" bestFit="1" customWidth="1"/>
    <col min="22" max="22" width="5.33203125" style="30" bestFit="1" customWidth="1"/>
    <col min="23" max="23" width="4.6640625" style="30" bestFit="1" customWidth="1"/>
    <col min="24" max="24" width="4.4140625" style="30" bestFit="1" customWidth="1"/>
    <col min="25" max="26" width="5.33203125" style="30" bestFit="1" customWidth="1"/>
    <col min="27" max="27" width="5.33203125" style="30" customWidth="1"/>
    <col min="28" max="28" width="5.33203125" style="30" bestFit="1" customWidth="1"/>
    <col min="29" max="29" width="6.25" style="30" customWidth="1"/>
    <col min="30" max="30" width="5.6640625" style="30" customWidth="1"/>
    <col min="31" max="33" width="5.9140625" style="30" customWidth="1"/>
    <col min="34" max="36" width="5.33203125" style="30" bestFit="1" customWidth="1"/>
    <col min="37" max="37" width="6.08203125" style="30" customWidth="1"/>
    <col min="38" max="38" width="6" style="30" customWidth="1"/>
    <col min="39" max="40" width="5.33203125" style="30" bestFit="1" customWidth="1"/>
    <col min="41" max="45" width="5.33203125" style="30" customWidth="1"/>
    <col min="46" max="47" width="7.08203125" style="30" customWidth="1"/>
    <col min="48" max="48" width="8.25" style="63" customWidth="1"/>
    <col min="49" max="49" width="7.4140625" style="64" bestFit="1" customWidth="1"/>
    <col min="50" max="50" width="4.33203125" style="30"/>
    <col min="51" max="51" width="6.75" style="30" customWidth="1"/>
    <col min="52" max="70" width="5" style="30" bestFit="1" customWidth="1"/>
    <col min="71" max="71" width="4.4140625" style="30" bestFit="1" customWidth="1"/>
    <col min="72" max="91" width="5" style="30" bestFit="1" customWidth="1"/>
    <col min="92" max="97" width="5" style="30" customWidth="1"/>
    <col min="98" max="99" width="6.9140625" style="63" customWidth="1"/>
    <col min="100" max="100" width="4.33203125" style="30"/>
    <col min="101" max="101" width="6.33203125" style="30" customWidth="1"/>
    <col min="102" max="102" width="5.33203125" style="30" bestFit="1" customWidth="1"/>
    <col min="103" max="103" width="5.9140625" style="30" customWidth="1"/>
    <col min="104" max="104" width="5.33203125" style="30" bestFit="1" customWidth="1"/>
    <col min="105" max="105" width="4.4140625" style="30" bestFit="1" customWidth="1"/>
    <col min="106" max="106" width="4.58203125" style="30" bestFit="1" customWidth="1"/>
    <col min="107" max="107" width="6" style="30" customWidth="1"/>
    <col min="108" max="108" width="6.25" style="30" customWidth="1"/>
    <col min="109" max="109" width="4.58203125" style="30" bestFit="1" customWidth="1"/>
    <col min="110" max="110" width="5.58203125" style="30" customWidth="1"/>
    <col min="111" max="111" width="5" style="30" customWidth="1"/>
    <col min="112" max="114" width="5.33203125" style="30" bestFit="1" customWidth="1"/>
    <col min="115" max="115" width="6" style="30" customWidth="1"/>
    <col min="116" max="118" width="5.33203125" style="30" bestFit="1" customWidth="1"/>
    <col min="119" max="119" width="5.9140625" style="30" customWidth="1"/>
    <col min="120" max="120" width="5.33203125" style="30" bestFit="1" customWidth="1"/>
    <col min="121" max="121" width="4.9140625" style="30" customWidth="1"/>
    <col min="122" max="122" width="5.33203125" style="30" bestFit="1" customWidth="1"/>
    <col min="123" max="123" width="4.6640625" style="30" bestFit="1" customWidth="1"/>
    <col min="124" max="124" width="4.58203125" style="30" bestFit="1" customWidth="1"/>
    <col min="125" max="128" width="5.33203125" style="30" bestFit="1" customWidth="1"/>
    <col min="129" max="129" width="6.58203125" style="30" customWidth="1"/>
    <col min="130" max="130" width="5.33203125" style="30" bestFit="1" customWidth="1"/>
    <col min="131" max="131" width="6" style="30" customWidth="1"/>
    <col min="132" max="132" width="5.6640625" style="30" customWidth="1"/>
    <col min="133" max="133" width="5.9140625" style="30" customWidth="1"/>
    <col min="134" max="136" width="5.33203125" style="30" bestFit="1" customWidth="1"/>
    <col min="137" max="137" width="5.9140625" style="30" customWidth="1"/>
    <col min="138" max="138" width="5.6640625" style="30" customWidth="1"/>
    <col min="139" max="141" width="5.33203125" style="30" bestFit="1" customWidth="1"/>
    <col min="142" max="145" width="5.33203125" style="30" customWidth="1"/>
    <col min="146" max="147" width="6.9140625" style="30" customWidth="1"/>
    <col min="148" max="148" width="7.25" style="63" customWidth="1"/>
    <col min="149" max="149" width="10.58203125" style="30" customWidth="1"/>
    <col min="150" max="151" width="4.33203125" style="30"/>
    <col min="152" max="152" width="6.4140625" style="30" customWidth="1"/>
    <col min="153" max="154" width="6.6640625" style="30" bestFit="1" customWidth="1"/>
    <col min="155" max="155" width="6.33203125" style="30" bestFit="1" customWidth="1"/>
    <col min="156" max="164" width="6.6640625" style="30" bestFit="1" customWidth="1"/>
    <col min="165" max="165" width="6.33203125" style="30" bestFit="1" customWidth="1"/>
    <col min="166" max="168" width="6.6640625" style="30" bestFit="1" customWidth="1"/>
    <col min="169" max="169" width="5.58203125" style="30" customWidth="1"/>
    <col min="170" max="170" width="5.4140625" style="30" customWidth="1"/>
    <col min="171" max="171" width="5.75" style="30" customWidth="1"/>
    <col min="172" max="172" width="4.75" style="30" customWidth="1"/>
    <col min="173" max="188" width="4.33203125" style="30"/>
    <col min="189" max="189" width="5.4140625" style="30" customWidth="1"/>
    <col min="190" max="191" width="5" style="30" customWidth="1"/>
    <col min="192" max="193" width="5.08203125" style="30" customWidth="1"/>
    <col min="194" max="198" width="6.25" style="30" customWidth="1"/>
    <col min="199" max="199" width="9" style="30" customWidth="1"/>
    <col min="200" max="200" width="11.33203125" style="30" customWidth="1"/>
    <col min="201" max="16384" width="4.33203125" style="30"/>
  </cols>
  <sheetData>
    <row r="1" spans="1:200" x14ac:dyDescent="0.25">
      <c r="A1" s="70" t="s">
        <v>44</v>
      </c>
      <c r="B1" s="70"/>
      <c r="C1" s="70"/>
      <c r="D1" s="70"/>
      <c r="E1" s="70"/>
      <c r="F1" s="70"/>
      <c r="G1" s="70"/>
      <c r="H1" s="70"/>
      <c r="I1" s="70"/>
      <c r="J1" s="70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W1" s="66" t="s">
        <v>39</v>
      </c>
      <c r="AX1" s="43"/>
      <c r="AY1" s="59" t="s">
        <v>45</v>
      </c>
      <c r="AZ1" s="59"/>
      <c r="BA1" s="59"/>
      <c r="BB1" s="59"/>
      <c r="BC1" s="59"/>
      <c r="BD1" s="59"/>
      <c r="BE1" s="59"/>
      <c r="BF1" s="59"/>
      <c r="BG1" s="59"/>
      <c r="BH1" s="59"/>
      <c r="BI1" s="43"/>
      <c r="BJ1" s="43"/>
      <c r="BK1" s="43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  <c r="BX1" s="43"/>
      <c r="BY1" s="43"/>
      <c r="BZ1" s="43"/>
      <c r="CA1" s="43"/>
      <c r="CB1" s="43"/>
      <c r="CC1" s="43"/>
      <c r="CD1" s="43"/>
      <c r="CE1" s="43"/>
      <c r="CF1" s="43"/>
      <c r="CG1" s="43"/>
      <c r="CH1" s="43"/>
      <c r="CI1" s="43"/>
      <c r="CJ1" s="43"/>
      <c r="CK1" s="43"/>
      <c r="CL1" s="43"/>
      <c r="CM1" s="43"/>
      <c r="CN1" s="43"/>
      <c r="CO1" s="43"/>
      <c r="CP1" s="43"/>
      <c r="CQ1" s="43"/>
      <c r="CR1" s="43"/>
      <c r="CS1" s="43"/>
      <c r="CT1" s="66" t="s">
        <v>39</v>
      </c>
      <c r="CU1" s="66" t="s">
        <v>41</v>
      </c>
      <c r="CV1" s="43"/>
      <c r="CW1" s="59" t="s">
        <v>46</v>
      </c>
      <c r="CX1" s="59"/>
      <c r="CY1" s="59"/>
      <c r="CZ1" s="59"/>
      <c r="DA1" s="59"/>
      <c r="DB1" s="59"/>
      <c r="DC1" s="59"/>
      <c r="DD1" s="59"/>
      <c r="DE1" s="59"/>
      <c r="DF1" s="59"/>
      <c r="DG1" s="43"/>
      <c r="DH1" s="43"/>
      <c r="DI1" s="43"/>
      <c r="DJ1" s="43"/>
      <c r="DK1" s="43"/>
      <c r="DL1" s="43"/>
      <c r="DM1" s="43"/>
      <c r="DN1" s="43"/>
      <c r="DO1" s="43"/>
      <c r="DP1" s="43"/>
      <c r="DQ1" s="43"/>
      <c r="DR1" s="43"/>
      <c r="DS1" s="43"/>
      <c r="DT1" s="43"/>
      <c r="DU1" s="43"/>
      <c r="DV1" s="43"/>
      <c r="DW1" s="43"/>
      <c r="DX1" s="43"/>
      <c r="DY1" s="43"/>
      <c r="DZ1" s="43"/>
      <c r="EA1" s="43"/>
      <c r="EB1" s="43"/>
      <c r="EC1" s="43"/>
      <c r="ED1" s="43"/>
      <c r="EE1" s="43"/>
      <c r="EF1" s="43"/>
      <c r="EG1" s="43"/>
      <c r="EH1" s="43"/>
      <c r="EI1" s="43"/>
      <c r="EJ1" s="43"/>
      <c r="EK1" s="43"/>
      <c r="EL1" s="43"/>
      <c r="EM1" s="43"/>
      <c r="EN1" s="43"/>
      <c r="EO1" s="43"/>
      <c r="EP1" s="43"/>
      <c r="EQ1" s="43"/>
    </row>
    <row r="2" spans="1:200" x14ac:dyDescent="0.25">
      <c r="AV2" s="66" t="s">
        <v>39</v>
      </c>
      <c r="AW2" s="65" t="s">
        <v>40</v>
      </c>
      <c r="CT2" s="65" t="s">
        <v>40</v>
      </c>
      <c r="CU2" s="65" t="s">
        <v>40</v>
      </c>
      <c r="ER2" s="66" t="s">
        <v>39</v>
      </c>
      <c r="ES2" s="66" t="s">
        <v>47</v>
      </c>
      <c r="GQ2" s="66" t="s">
        <v>39</v>
      </c>
      <c r="GR2" s="66" t="s">
        <v>47</v>
      </c>
    </row>
    <row r="3" spans="1:200" x14ac:dyDescent="0.25">
      <c r="A3" s="41" t="s">
        <v>16</v>
      </c>
      <c r="B3" s="77">
        <v>1953</v>
      </c>
      <c r="C3" s="77">
        <v>1954</v>
      </c>
      <c r="D3" s="77">
        <v>1955</v>
      </c>
      <c r="E3" s="41">
        <v>1982</v>
      </c>
      <c r="F3" s="41">
        <v>1983</v>
      </c>
      <c r="G3" s="41">
        <v>1984</v>
      </c>
      <c r="H3" s="41">
        <v>1985</v>
      </c>
      <c r="I3" s="41">
        <v>1986</v>
      </c>
      <c r="J3" s="41">
        <v>1987</v>
      </c>
      <c r="K3" s="41">
        <v>1988</v>
      </c>
      <c r="L3" s="41">
        <v>1989</v>
      </c>
      <c r="M3" s="41">
        <v>1990</v>
      </c>
      <c r="N3" s="41">
        <v>1991</v>
      </c>
      <c r="O3" s="41">
        <v>1992</v>
      </c>
      <c r="P3" s="41">
        <v>1993</v>
      </c>
      <c r="Q3" s="41">
        <v>1994</v>
      </c>
      <c r="R3" s="41">
        <v>1995</v>
      </c>
      <c r="S3" s="41">
        <v>1996</v>
      </c>
      <c r="T3" s="41">
        <v>1997</v>
      </c>
      <c r="U3" s="41">
        <v>1998</v>
      </c>
      <c r="V3" s="41">
        <v>1999</v>
      </c>
      <c r="W3" s="41">
        <v>2000</v>
      </c>
      <c r="X3" s="41">
        <v>2001</v>
      </c>
      <c r="Y3" s="41">
        <v>2002</v>
      </c>
      <c r="Z3" s="41">
        <v>2003</v>
      </c>
      <c r="AA3" s="41">
        <v>2004</v>
      </c>
      <c r="AB3" s="41">
        <v>2005</v>
      </c>
      <c r="AC3" s="41">
        <v>2006</v>
      </c>
      <c r="AD3" s="41">
        <v>2007</v>
      </c>
      <c r="AE3" s="41">
        <v>2008</v>
      </c>
      <c r="AF3" s="41">
        <v>2009</v>
      </c>
      <c r="AG3" s="41">
        <v>2010</v>
      </c>
      <c r="AH3" s="41">
        <v>2011</v>
      </c>
      <c r="AI3" s="41">
        <v>2012</v>
      </c>
      <c r="AJ3" s="41">
        <v>2013</v>
      </c>
      <c r="AK3" s="41">
        <v>2014</v>
      </c>
      <c r="AL3" s="41">
        <v>2015</v>
      </c>
      <c r="AM3" s="41">
        <v>2016</v>
      </c>
      <c r="AN3" s="41">
        <v>2017</v>
      </c>
      <c r="AO3" s="30">
        <v>2018</v>
      </c>
      <c r="AP3" s="30">
        <v>2019</v>
      </c>
      <c r="AQ3" s="30">
        <v>2020</v>
      </c>
      <c r="AR3" s="30">
        <v>2021</v>
      </c>
      <c r="AS3" s="30">
        <v>2022</v>
      </c>
      <c r="AT3" s="30">
        <v>2023</v>
      </c>
      <c r="AU3" s="30">
        <v>2024</v>
      </c>
      <c r="AV3" s="66" t="s">
        <v>22</v>
      </c>
      <c r="AW3" s="65" t="s">
        <v>5</v>
      </c>
      <c r="AY3" s="60" t="s">
        <v>16</v>
      </c>
      <c r="AZ3" s="77">
        <v>1953</v>
      </c>
      <c r="BA3" s="77">
        <v>1954</v>
      </c>
      <c r="BB3" s="77">
        <v>1955</v>
      </c>
      <c r="BC3" s="41">
        <v>1982</v>
      </c>
      <c r="BD3" s="41">
        <v>1983</v>
      </c>
      <c r="BE3" s="41">
        <v>1984</v>
      </c>
      <c r="BF3" s="41">
        <v>1985</v>
      </c>
      <c r="BG3" s="41">
        <v>1986</v>
      </c>
      <c r="BH3" s="41">
        <v>1987</v>
      </c>
      <c r="BI3" s="41">
        <v>1988</v>
      </c>
      <c r="BJ3" s="41">
        <v>1989</v>
      </c>
      <c r="BK3" s="41">
        <v>1990</v>
      </c>
      <c r="BL3" s="41">
        <v>1991</v>
      </c>
      <c r="BM3" s="41">
        <v>1992</v>
      </c>
      <c r="BN3" s="41">
        <v>1993</v>
      </c>
      <c r="BO3" s="41">
        <v>1994</v>
      </c>
      <c r="BP3" s="41">
        <v>1995</v>
      </c>
      <c r="BQ3" s="41">
        <v>1996</v>
      </c>
      <c r="BR3" s="41">
        <v>1997</v>
      </c>
      <c r="BS3" s="41">
        <v>1998</v>
      </c>
      <c r="BT3" s="41">
        <v>1999</v>
      </c>
      <c r="BU3" s="41">
        <v>2000</v>
      </c>
      <c r="BV3" s="41">
        <v>2001</v>
      </c>
      <c r="BW3" s="41">
        <v>2002</v>
      </c>
      <c r="BX3" s="41">
        <v>2003</v>
      </c>
      <c r="BY3" s="41">
        <v>2004</v>
      </c>
      <c r="BZ3" s="41">
        <v>2005</v>
      </c>
      <c r="CA3" s="41">
        <v>2006</v>
      </c>
      <c r="CB3" s="41">
        <v>2007</v>
      </c>
      <c r="CC3" s="41">
        <v>2008</v>
      </c>
      <c r="CD3" s="41">
        <v>2009</v>
      </c>
      <c r="CE3" s="41">
        <v>2010</v>
      </c>
      <c r="CF3" s="41">
        <v>2011</v>
      </c>
      <c r="CG3" s="41">
        <v>2012</v>
      </c>
      <c r="CH3" s="41">
        <v>2013</v>
      </c>
      <c r="CI3" s="41">
        <v>2014</v>
      </c>
      <c r="CJ3" s="41">
        <v>2015</v>
      </c>
      <c r="CK3" s="41">
        <v>2016</v>
      </c>
      <c r="CL3" s="41">
        <v>2017</v>
      </c>
      <c r="CM3" s="41">
        <v>2018</v>
      </c>
      <c r="CN3" s="30">
        <v>2019</v>
      </c>
      <c r="CO3" s="30">
        <v>2020</v>
      </c>
      <c r="CP3" s="30">
        <v>2021</v>
      </c>
      <c r="CQ3" s="30">
        <v>2022</v>
      </c>
      <c r="CR3" s="30">
        <v>2023</v>
      </c>
      <c r="CS3" s="30">
        <v>2024</v>
      </c>
      <c r="CT3" s="65" t="s">
        <v>14</v>
      </c>
      <c r="CU3" s="65" t="s">
        <v>14</v>
      </c>
      <c r="CW3" s="60" t="s">
        <v>16</v>
      </c>
      <c r="CX3" s="77">
        <v>1953</v>
      </c>
      <c r="CY3" s="77">
        <v>1954</v>
      </c>
      <c r="CZ3" s="77">
        <v>1955</v>
      </c>
      <c r="DA3" s="41">
        <v>1982</v>
      </c>
      <c r="DB3" s="41">
        <v>1983</v>
      </c>
      <c r="DC3" s="41">
        <v>1984</v>
      </c>
      <c r="DD3" s="41">
        <v>1985</v>
      </c>
      <c r="DE3" s="41">
        <v>1986</v>
      </c>
      <c r="DF3" s="41">
        <v>1987</v>
      </c>
      <c r="DG3" s="41">
        <v>1988</v>
      </c>
      <c r="DH3" s="41">
        <v>1989</v>
      </c>
      <c r="DI3" s="41">
        <v>1990</v>
      </c>
      <c r="DJ3" s="41">
        <v>1991</v>
      </c>
      <c r="DK3" s="41">
        <v>1992</v>
      </c>
      <c r="DL3" s="41">
        <v>1993</v>
      </c>
      <c r="DM3" s="41">
        <v>1994</v>
      </c>
      <c r="DN3" s="41">
        <v>1995</v>
      </c>
      <c r="DO3" s="41">
        <v>1996</v>
      </c>
      <c r="DP3" s="41">
        <v>1997</v>
      </c>
      <c r="DQ3" s="41">
        <v>1998</v>
      </c>
      <c r="DR3" s="41">
        <v>1999</v>
      </c>
      <c r="DS3" s="41">
        <v>2000</v>
      </c>
      <c r="DT3" s="41">
        <v>2001</v>
      </c>
      <c r="DU3" s="41">
        <v>2002</v>
      </c>
      <c r="DV3" s="41">
        <v>2003</v>
      </c>
      <c r="DW3" s="41">
        <v>2004</v>
      </c>
      <c r="DX3" s="41">
        <v>2005</v>
      </c>
      <c r="DY3" s="41">
        <v>2006</v>
      </c>
      <c r="DZ3" s="41">
        <v>2007</v>
      </c>
      <c r="EA3" s="41">
        <v>2008</v>
      </c>
      <c r="EB3" s="41">
        <v>2009</v>
      </c>
      <c r="EC3" s="41">
        <v>2010</v>
      </c>
      <c r="ED3" s="41">
        <v>2011</v>
      </c>
      <c r="EE3" s="41">
        <v>2012</v>
      </c>
      <c r="EF3" s="41">
        <v>2013</v>
      </c>
      <c r="EG3" s="41">
        <v>2014</v>
      </c>
      <c r="EH3" s="41">
        <v>2015</v>
      </c>
      <c r="EI3" s="41">
        <v>2016</v>
      </c>
      <c r="EJ3" s="41">
        <v>2017</v>
      </c>
      <c r="EK3" s="41">
        <v>2018</v>
      </c>
      <c r="EL3" s="30">
        <v>2019</v>
      </c>
      <c r="EM3" s="30">
        <v>2020</v>
      </c>
      <c r="EN3" s="30">
        <v>2021</v>
      </c>
      <c r="EO3" s="30">
        <v>2022</v>
      </c>
      <c r="EP3" s="30">
        <v>2023</v>
      </c>
      <c r="EQ3" s="30">
        <v>2024</v>
      </c>
      <c r="ER3" s="66" t="s">
        <v>22</v>
      </c>
      <c r="ES3" s="66" t="s">
        <v>22</v>
      </c>
      <c r="EV3" s="60" t="s">
        <v>16</v>
      </c>
      <c r="EW3" s="135">
        <v>1979</v>
      </c>
      <c r="EX3" s="135">
        <v>1980</v>
      </c>
      <c r="EY3" s="135">
        <v>1981</v>
      </c>
      <c r="EZ3" s="135">
        <v>1982</v>
      </c>
      <c r="FA3" s="135">
        <v>1983</v>
      </c>
      <c r="FB3" s="135">
        <v>1984</v>
      </c>
      <c r="FC3" s="135">
        <v>1985</v>
      </c>
      <c r="FD3" s="135">
        <v>1986</v>
      </c>
      <c r="FE3" s="135">
        <v>1987</v>
      </c>
      <c r="FF3" s="135">
        <v>1988</v>
      </c>
      <c r="FG3" s="135">
        <v>1989</v>
      </c>
      <c r="FH3" s="135">
        <v>1990</v>
      </c>
      <c r="FI3" s="135">
        <v>1991</v>
      </c>
      <c r="FJ3" s="135">
        <v>1992</v>
      </c>
      <c r="FK3" s="135">
        <v>1993</v>
      </c>
      <c r="FL3" s="135">
        <v>1994</v>
      </c>
      <c r="FM3" s="41">
        <v>1995</v>
      </c>
      <c r="FN3" s="41">
        <v>1996</v>
      </c>
      <c r="FO3" s="41">
        <v>1997</v>
      </c>
      <c r="FP3" s="41">
        <v>1998</v>
      </c>
      <c r="FQ3" s="41">
        <v>1999</v>
      </c>
      <c r="FR3" s="41">
        <v>2000</v>
      </c>
      <c r="FS3" s="41">
        <v>2001</v>
      </c>
      <c r="FT3" s="41">
        <v>2002</v>
      </c>
      <c r="FU3" s="41">
        <v>2003</v>
      </c>
      <c r="FV3" s="41">
        <v>2004</v>
      </c>
      <c r="FW3" s="41">
        <v>2005</v>
      </c>
      <c r="FX3" s="41">
        <v>2006</v>
      </c>
      <c r="FY3" s="41">
        <v>2007</v>
      </c>
      <c r="FZ3" s="41">
        <v>2008</v>
      </c>
      <c r="GA3" s="41">
        <v>2009</v>
      </c>
      <c r="GB3" s="41">
        <v>2010</v>
      </c>
      <c r="GC3" s="41">
        <v>2011</v>
      </c>
      <c r="GD3" s="41">
        <v>2012</v>
      </c>
      <c r="GE3" s="41">
        <v>2013</v>
      </c>
      <c r="GF3" s="41">
        <v>2014</v>
      </c>
      <c r="GG3" s="41">
        <v>2015</v>
      </c>
      <c r="GH3" s="41">
        <v>2016</v>
      </c>
      <c r="GI3" s="41">
        <v>2017</v>
      </c>
      <c r="GJ3" s="41">
        <v>2018</v>
      </c>
      <c r="GK3" s="30">
        <v>2019</v>
      </c>
      <c r="GL3" s="30">
        <v>2020</v>
      </c>
      <c r="GM3" s="30">
        <v>2021</v>
      </c>
      <c r="GN3" s="30">
        <v>2022</v>
      </c>
      <c r="GO3" s="30">
        <v>2023</v>
      </c>
      <c r="GP3" s="30">
        <v>2024</v>
      </c>
      <c r="GQ3" s="66" t="s">
        <v>22</v>
      </c>
      <c r="GR3" s="66" t="s">
        <v>22</v>
      </c>
    </row>
    <row r="4" spans="1:200" x14ac:dyDescent="0.25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W4" s="65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66"/>
      <c r="CU4" s="66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S4" s="46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63"/>
      <c r="GR4" s="46"/>
    </row>
    <row r="5" spans="1:200" x14ac:dyDescent="0.25">
      <c r="A5" s="42">
        <v>164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>
        <v>0</v>
      </c>
      <c r="S5" s="81"/>
      <c r="T5" s="81"/>
      <c r="V5" s="81"/>
      <c r="W5" s="81">
        <v>0</v>
      </c>
      <c r="X5" s="81"/>
      <c r="Y5" s="81">
        <v>3</v>
      </c>
      <c r="Z5" s="81">
        <v>2</v>
      </c>
      <c r="AA5" s="81">
        <v>6</v>
      </c>
      <c r="AB5" s="81">
        <v>0</v>
      </c>
      <c r="AC5" s="81"/>
      <c r="AD5" s="81"/>
      <c r="AE5" s="81">
        <v>0</v>
      </c>
      <c r="AF5" s="97"/>
      <c r="AG5" s="97"/>
      <c r="AH5" s="97"/>
      <c r="AI5" s="83"/>
      <c r="AJ5" s="83"/>
      <c r="AK5" s="83"/>
      <c r="AL5" s="83"/>
      <c r="AM5" s="81"/>
      <c r="AN5" s="81"/>
      <c r="AO5" s="81"/>
      <c r="AP5" s="81"/>
      <c r="AQ5" s="81">
        <v>0</v>
      </c>
      <c r="AR5" s="81"/>
      <c r="AS5" s="81"/>
      <c r="AT5" s="81"/>
      <c r="AU5" s="81"/>
      <c r="AV5" s="71"/>
      <c r="AW5" s="71">
        <f>AW4+AV5</f>
        <v>0</v>
      </c>
      <c r="AY5" s="42">
        <v>164</v>
      </c>
      <c r="AZ5" s="48">
        <f t="shared" ref="AZ5:AZ20" si="0">B5/B$104</f>
        <v>0</v>
      </c>
      <c r="BA5" s="48">
        <f t="shared" ref="BA5:BA68" si="1">C5/C$104</f>
        <v>0</v>
      </c>
      <c r="BB5" s="48">
        <f t="shared" ref="BB5:BB68" si="2">D5/D$104</f>
        <v>0</v>
      </c>
      <c r="BC5" s="48">
        <f t="shared" ref="BC5:BC68" si="3">E5/E$104</f>
        <v>0</v>
      </c>
      <c r="BD5" s="48">
        <f t="shared" ref="BD5:BD68" si="4">F5/F$104</f>
        <v>0</v>
      </c>
      <c r="BE5" s="48">
        <f t="shared" ref="BE5:BE68" si="5">G5/G$104</f>
        <v>0</v>
      </c>
      <c r="BF5" s="48">
        <f t="shared" ref="BF5:BF68" si="6">H5/H$104</f>
        <v>0</v>
      </c>
      <c r="BG5" s="48">
        <f t="shared" ref="BG5:BG68" si="7">I5/I$104</f>
        <v>0</v>
      </c>
      <c r="BH5" s="48">
        <f t="shared" ref="BH5:BH68" si="8">J5/J$104</f>
        <v>0</v>
      </c>
      <c r="BI5" s="48">
        <f t="shared" ref="BI5:BI68" si="9">K5/K$104</f>
        <v>0</v>
      </c>
      <c r="BJ5" s="48">
        <f t="shared" ref="BJ5:BJ68" si="10">L5/L$104</f>
        <v>0</v>
      </c>
      <c r="BK5" s="48">
        <f t="shared" ref="BK5:BK68" si="11">M5/M$104</f>
        <v>0</v>
      </c>
      <c r="BL5" s="48">
        <f t="shared" ref="BL5:BL68" si="12">N5/N$104</f>
        <v>0</v>
      </c>
      <c r="BM5" s="48">
        <f t="shared" ref="BM5:BM68" si="13">O5/O$104</f>
        <v>0</v>
      </c>
      <c r="BN5" s="48">
        <f t="shared" ref="BN5:BN68" si="14">P5/P$104</f>
        <v>0</v>
      </c>
      <c r="BO5" s="48">
        <f t="shared" ref="BO5:BO68" si="15">Q5/Q$104</f>
        <v>0</v>
      </c>
      <c r="BP5" s="48">
        <f t="shared" ref="BP5:BP68" si="16">R5/R$104</f>
        <v>0</v>
      </c>
      <c r="BQ5" s="48">
        <f t="shared" ref="BQ5:BQ68" si="17">S5/S$104</f>
        <v>0</v>
      </c>
      <c r="BR5" s="48">
        <f t="shared" ref="BR5:BR68" si="18">T5/T$104</f>
        <v>0</v>
      </c>
      <c r="BS5" s="48"/>
      <c r="BT5" s="48">
        <f t="shared" ref="BT5:BT68" si="19">V5/V$104</f>
        <v>0</v>
      </c>
      <c r="BU5" s="48">
        <f t="shared" ref="BU5:BU68" si="20">W5/W$104</f>
        <v>0</v>
      </c>
      <c r="BV5" s="48">
        <f t="shared" ref="BV5:BV68" si="21">X5/X$104</f>
        <v>0</v>
      </c>
      <c r="BW5" s="48">
        <f t="shared" ref="BW5:BW68" si="22">Y5/Y$104</f>
        <v>1.2539474571732589E-4</v>
      </c>
      <c r="BX5" s="48">
        <f t="shared" ref="BX5:BX68" si="23">Z5/Z$104</f>
        <v>2.8629095750010737E-5</v>
      </c>
      <c r="BY5" s="48">
        <f t="shared" ref="BY5:BY68" si="24">AA5/AA$104</f>
        <v>7.7872522680372226E-5</v>
      </c>
      <c r="BZ5" s="48">
        <f t="shared" ref="BZ5:BZ68" si="25">AB5/AB$104</f>
        <v>0</v>
      </c>
      <c r="CA5" s="48">
        <f t="shared" ref="CA5:CA68" si="26">AC5/AC$104</f>
        <v>0</v>
      </c>
      <c r="CB5" s="48">
        <f t="shared" ref="CB5:CB68" si="27">AD5/AD$104</f>
        <v>0</v>
      </c>
      <c r="CC5" s="48">
        <f t="shared" ref="CC5:CC68" si="28">AE5/AE$104</f>
        <v>0</v>
      </c>
      <c r="CD5" s="48">
        <f t="shared" ref="CD5:CD68" si="29">AF5/AF$104</f>
        <v>0</v>
      </c>
      <c r="CE5" s="48">
        <f t="shared" ref="CE5:CE68" si="30">AG5/AG$104</f>
        <v>0</v>
      </c>
      <c r="CF5" s="48">
        <f t="shared" ref="CF5:CF68" si="31">AH5/AH$104</f>
        <v>0</v>
      </c>
      <c r="CG5" s="48">
        <f t="shared" ref="CG5:CG68" si="32">AI5/AI$104</f>
        <v>0</v>
      </c>
      <c r="CH5" s="48">
        <f t="shared" ref="CH5:CH68" si="33">AJ5/AJ$104</f>
        <v>0</v>
      </c>
      <c r="CI5" s="48">
        <f t="shared" ref="CI5:CI68" si="34">AK5/AK$104</f>
        <v>0</v>
      </c>
      <c r="CJ5" s="48">
        <f t="shared" ref="CJ5:CJ68" si="35">AL5/AL$104</f>
        <v>0</v>
      </c>
      <c r="CK5" s="48">
        <f t="shared" ref="CK5:CK68" si="36">AM5/AM$104</f>
        <v>0</v>
      </c>
      <c r="CL5" s="48">
        <f t="shared" ref="CL5:CL68" si="37">AN5/AN$104</f>
        <v>0</v>
      </c>
      <c r="CM5" s="48">
        <f t="shared" ref="CM5:CS5" si="38">AO5/AO$104</f>
        <v>0</v>
      </c>
      <c r="CN5" s="48">
        <f t="shared" si="38"/>
        <v>0</v>
      </c>
      <c r="CO5" s="48">
        <f t="shared" si="38"/>
        <v>0</v>
      </c>
      <c r="CP5" s="48">
        <f t="shared" si="38"/>
        <v>0</v>
      </c>
      <c r="CQ5" s="48">
        <f t="shared" si="38"/>
        <v>0</v>
      </c>
      <c r="CR5" s="48">
        <f t="shared" si="38"/>
        <v>0</v>
      </c>
      <c r="CS5" s="48">
        <f t="shared" si="38"/>
        <v>0</v>
      </c>
      <c r="CT5" s="68">
        <f>CT4+AVERAGE(CJ5:CS5)</f>
        <v>0</v>
      </c>
      <c r="CU5" s="68">
        <f>CU4+AVERAGE(BD5:CS5)</f>
        <v>5.6560088816514353E-6</v>
      </c>
      <c r="CW5" s="42">
        <v>164</v>
      </c>
      <c r="CX5" s="58">
        <f t="shared" ref="CX5:DP5" si="39">B5</f>
        <v>0</v>
      </c>
      <c r="CY5" s="58">
        <f t="shared" si="39"/>
        <v>0</v>
      </c>
      <c r="CZ5" s="58">
        <f t="shared" si="39"/>
        <v>0</v>
      </c>
      <c r="DA5" s="58">
        <f t="shared" si="39"/>
        <v>0</v>
      </c>
      <c r="DB5" s="58">
        <f t="shared" si="39"/>
        <v>0</v>
      </c>
      <c r="DC5" s="58">
        <f t="shared" si="39"/>
        <v>0</v>
      </c>
      <c r="DD5" s="58">
        <f t="shared" si="39"/>
        <v>0</v>
      </c>
      <c r="DE5" s="58">
        <f t="shared" si="39"/>
        <v>0</v>
      </c>
      <c r="DF5" s="58">
        <f t="shared" si="39"/>
        <v>0</v>
      </c>
      <c r="DG5" s="58">
        <f t="shared" si="39"/>
        <v>0</v>
      </c>
      <c r="DH5" s="58">
        <f t="shared" si="39"/>
        <v>0</v>
      </c>
      <c r="DI5" s="58">
        <f t="shared" si="39"/>
        <v>0</v>
      </c>
      <c r="DJ5" s="58">
        <f t="shared" si="39"/>
        <v>0</v>
      </c>
      <c r="DK5" s="58">
        <f t="shared" si="39"/>
        <v>0</v>
      </c>
      <c r="DL5" s="58">
        <f t="shared" si="39"/>
        <v>0</v>
      </c>
      <c r="DM5" s="58">
        <f t="shared" si="39"/>
        <v>0</v>
      </c>
      <c r="DN5" s="58">
        <f t="shared" si="39"/>
        <v>0</v>
      </c>
      <c r="DO5" s="58">
        <f t="shared" si="39"/>
        <v>0</v>
      </c>
      <c r="DP5" s="58">
        <f t="shared" si="39"/>
        <v>0</v>
      </c>
      <c r="DQ5" s="58"/>
      <c r="DR5" s="58">
        <f t="shared" ref="DR5:EQ5" si="40">V5</f>
        <v>0</v>
      </c>
      <c r="DS5" s="58">
        <f t="shared" si="40"/>
        <v>0</v>
      </c>
      <c r="DT5" s="58">
        <f t="shared" si="40"/>
        <v>0</v>
      </c>
      <c r="DU5" s="58">
        <f t="shared" si="40"/>
        <v>3</v>
      </c>
      <c r="DV5" s="58">
        <f t="shared" si="40"/>
        <v>2</v>
      </c>
      <c r="DW5" s="58">
        <f t="shared" si="40"/>
        <v>6</v>
      </c>
      <c r="DX5" s="58">
        <f t="shared" si="40"/>
        <v>0</v>
      </c>
      <c r="DY5" s="58">
        <f t="shared" si="40"/>
        <v>0</v>
      </c>
      <c r="DZ5" s="58">
        <f t="shared" si="40"/>
        <v>0</v>
      </c>
      <c r="EA5" s="58">
        <f t="shared" si="40"/>
        <v>0</v>
      </c>
      <c r="EB5" s="58">
        <f t="shared" si="40"/>
        <v>0</v>
      </c>
      <c r="EC5" s="58">
        <f t="shared" si="40"/>
        <v>0</v>
      </c>
      <c r="ED5" s="58">
        <f t="shared" si="40"/>
        <v>0</v>
      </c>
      <c r="EE5" s="58">
        <f t="shared" si="40"/>
        <v>0</v>
      </c>
      <c r="EF5" s="58">
        <f t="shared" si="40"/>
        <v>0</v>
      </c>
      <c r="EG5" s="58">
        <f t="shared" si="40"/>
        <v>0</v>
      </c>
      <c r="EH5" s="58">
        <f t="shared" si="40"/>
        <v>0</v>
      </c>
      <c r="EI5" s="58">
        <f t="shared" si="40"/>
        <v>0</v>
      </c>
      <c r="EJ5" s="58">
        <f t="shared" si="40"/>
        <v>0</v>
      </c>
      <c r="EK5" s="58">
        <f t="shared" si="40"/>
        <v>0</v>
      </c>
      <c r="EL5" s="58">
        <f t="shared" si="40"/>
        <v>0</v>
      </c>
      <c r="EM5" s="58">
        <f t="shared" si="40"/>
        <v>0</v>
      </c>
      <c r="EN5" s="58">
        <f t="shared" si="40"/>
        <v>0</v>
      </c>
      <c r="EO5" s="58">
        <f t="shared" si="40"/>
        <v>0</v>
      </c>
      <c r="EP5" s="58">
        <f t="shared" si="40"/>
        <v>0</v>
      </c>
      <c r="EQ5" s="58">
        <f t="shared" si="40"/>
        <v>0</v>
      </c>
      <c r="ER5" s="67">
        <f>AVERAGE(EH5:EQ5)</f>
        <v>0</v>
      </c>
      <c r="ES5" s="67">
        <f>AVERAGE(DB5:EQ5)</f>
        <v>0.26829268292682928</v>
      </c>
      <c r="EV5" s="42">
        <v>164</v>
      </c>
      <c r="EW5" s="128">
        <f t="shared" ref="EW5:EW36" si="41">CX5/CX$102</f>
        <v>0</v>
      </c>
      <c r="EX5" s="128">
        <f t="shared" ref="EX5:EX36" si="42">CY5/CY$102</f>
        <v>0</v>
      </c>
      <c r="EY5" s="128">
        <f t="shared" ref="EY5:EY36" si="43">CZ5/CZ$102</f>
        <v>0</v>
      </c>
      <c r="EZ5" s="128">
        <f t="shared" ref="EZ5:EZ36" si="44">DA5/DA$102</f>
        <v>0</v>
      </c>
      <c r="FA5" s="128">
        <f t="shared" ref="FA5:FA36" si="45">DB5/DB$102</f>
        <v>0</v>
      </c>
      <c r="FB5" s="128">
        <f t="shared" ref="FB5:FB36" si="46">DC5/DC$102</f>
        <v>0</v>
      </c>
      <c r="FC5" s="128">
        <f t="shared" ref="FC5:FC36" si="47">DD5/DD$102</f>
        <v>0</v>
      </c>
      <c r="FD5" s="128">
        <f t="shared" ref="FD5:FD36" si="48">DE5/DE$102</f>
        <v>0</v>
      </c>
      <c r="FE5" s="128">
        <f t="shared" ref="FE5:FE36" si="49">DF5/DF$102</f>
        <v>0</v>
      </c>
      <c r="FF5" s="128">
        <f t="shared" ref="FF5:FF36" si="50">DG5/DG$102</f>
        <v>0</v>
      </c>
      <c r="FG5" s="128">
        <f t="shared" ref="FG5:FG36" si="51">DH5/DH$102</f>
        <v>0</v>
      </c>
      <c r="FH5" s="128">
        <f t="shared" ref="FH5:FH36" si="52">DI5/DI$102</f>
        <v>0</v>
      </c>
      <c r="FI5" s="128">
        <f t="shared" ref="FI5:FI36" si="53">DJ5/DJ$102</f>
        <v>0</v>
      </c>
      <c r="FJ5" s="128">
        <f t="shared" ref="FJ5:FJ36" si="54">DK5/DK$102</f>
        <v>0</v>
      </c>
      <c r="FK5" s="128">
        <f t="shared" ref="FK5:FK36" si="55">DL5/DL$102</f>
        <v>0</v>
      </c>
      <c r="FL5" s="128">
        <f t="shared" ref="FL5:FL36" si="56">DM5/DM$102</f>
        <v>0</v>
      </c>
      <c r="FM5" s="128">
        <f t="shared" ref="FM5:FM36" si="57">DN5/DN$102</f>
        <v>0</v>
      </c>
      <c r="FN5" s="128">
        <f t="shared" ref="FN5:FN36" si="58">DO5/DO$102</f>
        <v>0</v>
      </c>
      <c r="FO5" s="128">
        <f t="shared" ref="FO5:FO36" si="59">DP5/DP$102</f>
        <v>0</v>
      </c>
      <c r="FP5" s="128"/>
      <c r="FQ5" s="128">
        <f t="shared" ref="FQ5:GP5" si="60">DR5/DR$102</f>
        <v>0</v>
      </c>
      <c r="FR5" s="128">
        <f t="shared" si="60"/>
        <v>0</v>
      </c>
      <c r="FS5" s="128">
        <f t="shared" si="60"/>
        <v>0</v>
      </c>
      <c r="FT5" s="128">
        <f t="shared" si="60"/>
        <v>1.2539474571732589E-4</v>
      </c>
      <c r="FU5" s="128">
        <f t="shared" si="60"/>
        <v>2.8629095750010737E-5</v>
      </c>
      <c r="FV5" s="128">
        <f t="shared" si="60"/>
        <v>7.7872522680372226E-5</v>
      </c>
      <c r="FW5" s="128">
        <f t="shared" si="60"/>
        <v>0</v>
      </c>
      <c r="FX5" s="128">
        <f t="shared" si="60"/>
        <v>0</v>
      </c>
      <c r="FY5" s="128">
        <f t="shared" si="60"/>
        <v>0</v>
      </c>
      <c r="FZ5" s="128">
        <f t="shared" si="60"/>
        <v>0</v>
      </c>
      <c r="GA5" s="128">
        <f t="shared" si="60"/>
        <v>0</v>
      </c>
      <c r="GB5" s="128">
        <f t="shared" si="60"/>
        <v>0</v>
      </c>
      <c r="GC5" s="128">
        <f t="shared" si="60"/>
        <v>0</v>
      </c>
      <c r="GD5" s="128">
        <f t="shared" si="60"/>
        <v>0</v>
      </c>
      <c r="GE5" s="128">
        <f t="shared" si="60"/>
        <v>0</v>
      </c>
      <c r="GF5" s="128">
        <f t="shared" si="60"/>
        <v>0</v>
      </c>
      <c r="GG5" s="128">
        <f t="shared" si="60"/>
        <v>0</v>
      </c>
      <c r="GH5" s="128">
        <f t="shared" si="60"/>
        <v>0</v>
      </c>
      <c r="GI5" s="128">
        <f t="shared" si="60"/>
        <v>0</v>
      </c>
      <c r="GJ5" s="128">
        <f t="shared" si="60"/>
        <v>0</v>
      </c>
      <c r="GK5" s="128">
        <f t="shared" si="60"/>
        <v>0</v>
      </c>
      <c r="GL5" s="128">
        <f t="shared" si="60"/>
        <v>0</v>
      </c>
      <c r="GM5" s="128">
        <f t="shared" si="60"/>
        <v>0</v>
      </c>
      <c r="GN5" s="128">
        <f t="shared" si="60"/>
        <v>0</v>
      </c>
      <c r="GO5" s="128">
        <f t="shared" si="60"/>
        <v>0</v>
      </c>
      <c r="GP5" s="128">
        <f t="shared" si="60"/>
        <v>0</v>
      </c>
      <c r="GQ5" s="129">
        <f>AVERAGE(GG5:GP5)</f>
        <v>0</v>
      </c>
      <c r="GR5" s="129">
        <f>AVERAGE(FA5:GP5)</f>
        <v>5.6560088816514353E-6</v>
      </c>
    </row>
    <row r="6" spans="1:200" x14ac:dyDescent="0.25">
      <c r="A6" s="42">
        <v>165</v>
      </c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>
        <v>0</v>
      </c>
      <c r="Q6" s="81"/>
      <c r="R6" s="81"/>
      <c r="S6" s="81"/>
      <c r="T6" s="81"/>
      <c r="V6" s="81"/>
      <c r="W6" s="81">
        <v>0</v>
      </c>
      <c r="X6" s="81"/>
      <c r="Y6" s="81">
        <v>2</v>
      </c>
      <c r="Z6" s="81">
        <v>0</v>
      </c>
      <c r="AA6" s="81">
        <v>29</v>
      </c>
      <c r="AB6" s="81">
        <v>0</v>
      </c>
      <c r="AC6" s="81"/>
      <c r="AD6" s="81"/>
      <c r="AE6" s="81">
        <v>0</v>
      </c>
      <c r="AF6" s="97"/>
      <c r="AG6" s="97"/>
      <c r="AH6" s="97"/>
      <c r="AI6" s="83"/>
      <c r="AJ6" s="83"/>
      <c r="AK6" s="83"/>
      <c r="AL6" s="83"/>
      <c r="AM6" s="81"/>
      <c r="AN6" s="81"/>
      <c r="AO6" s="81"/>
      <c r="AP6" s="81"/>
      <c r="AQ6" s="81">
        <v>0</v>
      </c>
      <c r="AR6" s="81"/>
      <c r="AS6" s="81"/>
      <c r="AT6" s="81">
        <v>0</v>
      </c>
      <c r="AU6" s="81"/>
      <c r="AV6" s="71"/>
      <c r="AW6" s="71">
        <f>AW5+AV6</f>
        <v>0</v>
      </c>
      <c r="AY6" s="42">
        <v>165</v>
      </c>
      <c r="AZ6" s="48">
        <f t="shared" si="0"/>
        <v>0</v>
      </c>
      <c r="BA6" s="48">
        <f t="shared" si="1"/>
        <v>0</v>
      </c>
      <c r="BB6" s="48">
        <f t="shared" si="2"/>
        <v>0</v>
      </c>
      <c r="BC6" s="48">
        <f t="shared" si="3"/>
        <v>0</v>
      </c>
      <c r="BD6" s="48">
        <f t="shared" si="4"/>
        <v>0</v>
      </c>
      <c r="BE6" s="48">
        <f t="shared" si="5"/>
        <v>0</v>
      </c>
      <c r="BF6" s="48">
        <f t="shared" si="6"/>
        <v>0</v>
      </c>
      <c r="BG6" s="48">
        <f t="shared" si="7"/>
        <v>0</v>
      </c>
      <c r="BH6" s="48">
        <f t="shared" si="8"/>
        <v>0</v>
      </c>
      <c r="BI6" s="48">
        <f t="shared" si="9"/>
        <v>0</v>
      </c>
      <c r="BJ6" s="48">
        <f t="shared" si="10"/>
        <v>0</v>
      </c>
      <c r="BK6" s="48">
        <f t="shared" si="11"/>
        <v>0</v>
      </c>
      <c r="BL6" s="48">
        <f t="shared" si="12"/>
        <v>0</v>
      </c>
      <c r="BM6" s="48">
        <f t="shared" si="13"/>
        <v>0</v>
      </c>
      <c r="BN6" s="48">
        <f t="shared" si="14"/>
        <v>0</v>
      </c>
      <c r="BO6" s="48">
        <f t="shared" si="15"/>
        <v>0</v>
      </c>
      <c r="BP6" s="48">
        <f t="shared" si="16"/>
        <v>0</v>
      </c>
      <c r="BQ6" s="48">
        <f t="shared" si="17"/>
        <v>0</v>
      </c>
      <c r="BR6" s="48">
        <f t="shared" si="18"/>
        <v>0</v>
      </c>
      <c r="BS6" s="48"/>
      <c r="BT6" s="48">
        <f t="shared" si="19"/>
        <v>0</v>
      </c>
      <c r="BU6" s="48">
        <f t="shared" si="20"/>
        <v>0</v>
      </c>
      <c r="BV6" s="48">
        <f t="shared" si="21"/>
        <v>0</v>
      </c>
      <c r="BW6" s="48">
        <f t="shared" si="22"/>
        <v>8.3596497144883925E-5</v>
      </c>
      <c r="BX6" s="48">
        <f t="shared" si="23"/>
        <v>0</v>
      </c>
      <c r="BY6" s="48">
        <f t="shared" si="24"/>
        <v>3.7638385962179914E-4</v>
      </c>
      <c r="BZ6" s="48">
        <f t="shared" si="25"/>
        <v>0</v>
      </c>
      <c r="CA6" s="48">
        <f t="shared" si="26"/>
        <v>0</v>
      </c>
      <c r="CB6" s="48">
        <f t="shared" si="27"/>
        <v>0</v>
      </c>
      <c r="CC6" s="48">
        <f t="shared" si="28"/>
        <v>0</v>
      </c>
      <c r="CD6" s="48">
        <f t="shared" si="29"/>
        <v>0</v>
      </c>
      <c r="CE6" s="48">
        <f t="shared" si="30"/>
        <v>0</v>
      </c>
      <c r="CF6" s="48">
        <f t="shared" si="31"/>
        <v>0</v>
      </c>
      <c r="CG6" s="48">
        <f t="shared" si="32"/>
        <v>0</v>
      </c>
      <c r="CH6" s="48">
        <f t="shared" si="33"/>
        <v>0</v>
      </c>
      <c r="CI6" s="48">
        <f t="shared" si="34"/>
        <v>0</v>
      </c>
      <c r="CJ6" s="48">
        <f t="shared" si="35"/>
        <v>0</v>
      </c>
      <c r="CK6" s="48">
        <f t="shared" si="36"/>
        <v>0</v>
      </c>
      <c r="CL6" s="48">
        <f t="shared" si="37"/>
        <v>0</v>
      </c>
      <c r="CM6" s="48">
        <f t="shared" ref="CM6:CM68" si="61">AO6/AO$104</f>
        <v>0</v>
      </c>
      <c r="CN6" s="48">
        <f t="shared" ref="CN6:CN69" si="62">AP6/AP$104</f>
        <v>0</v>
      </c>
      <c r="CO6" s="48">
        <f t="shared" ref="CO6:CO37" si="63">AQ6/AQ$104</f>
        <v>0</v>
      </c>
      <c r="CP6" s="48">
        <f t="shared" ref="CP6:CP69" si="64">AR6/AR$104</f>
        <v>0</v>
      </c>
      <c r="CQ6" s="48">
        <f>AS6/AS$104</f>
        <v>0</v>
      </c>
      <c r="CR6" s="48">
        <f t="shared" ref="CR6:CR68" si="65">AT6/AT$104</f>
        <v>0</v>
      </c>
      <c r="CS6" s="48">
        <f t="shared" ref="CS6:CS69" si="66">AU6/AU$104</f>
        <v>0</v>
      </c>
      <c r="CT6" s="68">
        <f t="shared" ref="CT6:CT69" si="67">CT5+AVERAGE(CJ6:CS6)</f>
        <v>0</v>
      </c>
      <c r="CU6" s="68">
        <f t="shared" ref="CU6:CU69" si="68">CU5+AVERAGE(BD6:CS6)</f>
        <v>1.6875041973521755E-5</v>
      </c>
      <c r="CW6" s="42">
        <v>165</v>
      </c>
      <c r="CX6" s="58">
        <f t="shared" ref="CX6:DG12" si="69">CX5+B6</f>
        <v>0</v>
      </c>
      <c r="CY6" s="58">
        <f t="shared" si="69"/>
        <v>0</v>
      </c>
      <c r="CZ6" s="58">
        <f t="shared" si="69"/>
        <v>0</v>
      </c>
      <c r="DA6" s="58">
        <f t="shared" si="69"/>
        <v>0</v>
      </c>
      <c r="DB6" s="58">
        <f t="shared" si="69"/>
        <v>0</v>
      </c>
      <c r="DC6" s="58">
        <f t="shared" si="69"/>
        <v>0</v>
      </c>
      <c r="DD6" s="58">
        <f t="shared" si="69"/>
        <v>0</v>
      </c>
      <c r="DE6" s="58">
        <f t="shared" si="69"/>
        <v>0</v>
      </c>
      <c r="DF6" s="58">
        <f t="shared" si="69"/>
        <v>0</v>
      </c>
      <c r="DG6" s="58">
        <f t="shared" si="69"/>
        <v>0</v>
      </c>
      <c r="DH6" s="58">
        <f t="shared" ref="DH6:DP12" si="70">DH5+L6</f>
        <v>0</v>
      </c>
      <c r="DI6" s="58">
        <f t="shared" si="70"/>
        <v>0</v>
      </c>
      <c r="DJ6" s="58">
        <f t="shared" si="70"/>
        <v>0</v>
      </c>
      <c r="DK6" s="58">
        <f t="shared" si="70"/>
        <v>0</v>
      </c>
      <c r="DL6" s="58">
        <f t="shared" si="70"/>
        <v>0</v>
      </c>
      <c r="DM6" s="58">
        <f t="shared" si="70"/>
        <v>0</v>
      </c>
      <c r="DN6" s="58">
        <f t="shared" si="70"/>
        <v>0</v>
      </c>
      <c r="DO6" s="58">
        <f t="shared" si="70"/>
        <v>0</v>
      </c>
      <c r="DP6" s="58">
        <f t="shared" si="70"/>
        <v>0</v>
      </c>
      <c r="DQ6" s="58"/>
      <c r="DR6" s="58">
        <f t="shared" ref="DR6:EQ6" si="71">DR5+V6</f>
        <v>0</v>
      </c>
      <c r="DS6" s="58">
        <f t="shared" si="71"/>
        <v>0</v>
      </c>
      <c r="DT6" s="58">
        <f t="shared" si="71"/>
        <v>0</v>
      </c>
      <c r="DU6" s="58">
        <f t="shared" si="71"/>
        <v>5</v>
      </c>
      <c r="DV6" s="58">
        <f t="shared" si="71"/>
        <v>2</v>
      </c>
      <c r="DW6" s="58">
        <f t="shared" si="71"/>
        <v>35</v>
      </c>
      <c r="DX6" s="58">
        <f t="shared" si="71"/>
        <v>0</v>
      </c>
      <c r="DY6" s="58">
        <f t="shared" si="71"/>
        <v>0</v>
      </c>
      <c r="DZ6" s="58">
        <f t="shared" si="71"/>
        <v>0</v>
      </c>
      <c r="EA6" s="58">
        <f t="shared" si="71"/>
        <v>0</v>
      </c>
      <c r="EB6" s="58">
        <f t="shared" si="71"/>
        <v>0</v>
      </c>
      <c r="EC6" s="58">
        <f t="shared" si="71"/>
        <v>0</v>
      </c>
      <c r="ED6" s="58">
        <f t="shared" si="71"/>
        <v>0</v>
      </c>
      <c r="EE6" s="58">
        <f t="shared" si="71"/>
        <v>0</v>
      </c>
      <c r="EF6" s="58">
        <f t="shared" si="71"/>
        <v>0</v>
      </c>
      <c r="EG6" s="58">
        <f t="shared" si="71"/>
        <v>0</v>
      </c>
      <c r="EH6" s="58">
        <f t="shared" si="71"/>
        <v>0</v>
      </c>
      <c r="EI6" s="58">
        <f t="shared" si="71"/>
        <v>0</v>
      </c>
      <c r="EJ6" s="58">
        <f t="shared" si="71"/>
        <v>0</v>
      </c>
      <c r="EK6" s="58">
        <f t="shared" si="71"/>
        <v>0</v>
      </c>
      <c r="EL6" s="58">
        <f t="shared" si="71"/>
        <v>0</v>
      </c>
      <c r="EM6" s="58">
        <f t="shared" si="71"/>
        <v>0</v>
      </c>
      <c r="EN6" s="58">
        <f t="shared" si="71"/>
        <v>0</v>
      </c>
      <c r="EO6" s="58">
        <f t="shared" si="71"/>
        <v>0</v>
      </c>
      <c r="EP6" s="58">
        <f t="shared" si="71"/>
        <v>0</v>
      </c>
      <c r="EQ6" s="58">
        <f t="shared" si="71"/>
        <v>0</v>
      </c>
      <c r="ER6" s="67">
        <f t="shared" ref="ER6:ER69" si="72">AVERAGE(EH6:EQ6)</f>
        <v>0</v>
      </c>
      <c r="ES6" s="67">
        <f t="shared" ref="ES6:ES69" si="73">AVERAGE(DB6:EQ6)</f>
        <v>1.024390243902439</v>
      </c>
      <c r="EV6" s="42">
        <v>165</v>
      </c>
      <c r="EW6" s="128">
        <f t="shared" si="41"/>
        <v>0</v>
      </c>
      <c r="EX6" s="128">
        <f t="shared" si="42"/>
        <v>0</v>
      </c>
      <c r="EY6" s="128">
        <f t="shared" si="43"/>
        <v>0</v>
      </c>
      <c r="EZ6" s="128">
        <f t="shared" si="44"/>
        <v>0</v>
      </c>
      <c r="FA6" s="128">
        <f t="shared" si="45"/>
        <v>0</v>
      </c>
      <c r="FB6" s="128">
        <f t="shared" si="46"/>
        <v>0</v>
      </c>
      <c r="FC6" s="128">
        <f t="shared" si="47"/>
        <v>0</v>
      </c>
      <c r="FD6" s="128">
        <f t="shared" si="48"/>
        <v>0</v>
      </c>
      <c r="FE6" s="128">
        <f t="shared" si="49"/>
        <v>0</v>
      </c>
      <c r="FF6" s="128">
        <f t="shared" si="50"/>
        <v>0</v>
      </c>
      <c r="FG6" s="128">
        <f t="shared" si="51"/>
        <v>0</v>
      </c>
      <c r="FH6" s="128">
        <f t="shared" si="52"/>
        <v>0</v>
      </c>
      <c r="FI6" s="128">
        <f t="shared" si="53"/>
        <v>0</v>
      </c>
      <c r="FJ6" s="128">
        <f t="shared" si="54"/>
        <v>0</v>
      </c>
      <c r="FK6" s="128">
        <f t="shared" si="55"/>
        <v>0</v>
      </c>
      <c r="FL6" s="128">
        <f t="shared" si="56"/>
        <v>0</v>
      </c>
      <c r="FM6" s="128">
        <f t="shared" si="57"/>
        <v>0</v>
      </c>
      <c r="FN6" s="128">
        <f t="shared" si="58"/>
        <v>0</v>
      </c>
      <c r="FO6" s="128">
        <f t="shared" si="59"/>
        <v>0</v>
      </c>
      <c r="FP6" s="128"/>
      <c r="FQ6" s="128">
        <f t="shared" ref="FQ6:FQ37" si="74">DR6/DR$102</f>
        <v>0</v>
      </c>
      <c r="FR6" s="128">
        <f t="shared" ref="FR6:FR37" si="75">DS6/DS$102</f>
        <v>0</v>
      </c>
      <c r="FS6" s="128">
        <f t="shared" ref="FS6:FS37" si="76">DT6/DT$102</f>
        <v>0</v>
      </c>
      <c r="FT6" s="128">
        <f t="shared" ref="FT6:FT37" si="77">DU6/DU$102</f>
        <v>2.0899124286220981E-4</v>
      </c>
      <c r="FU6" s="128">
        <f t="shared" ref="FU6:FU37" si="78">DV6/DV$102</f>
        <v>2.8629095750010737E-5</v>
      </c>
      <c r="FV6" s="128">
        <f t="shared" ref="FV6:FV37" si="79">DW6/DW$102</f>
        <v>4.5425638230217136E-4</v>
      </c>
      <c r="FW6" s="128">
        <f t="shared" ref="FW6:FW37" si="80">DX6/DX$102</f>
        <v>0</v>
      </c>
      <c r="FX6" s="128">
        <f t="shared" ref="FX6:FX37" si="81">DY6/DY$102</f>
        <v>0</v>
      </c>
      <c r="FY6" s="128">
        <f t="shared" ref="FY6:FY37" si="82">DZ6/DZ$102</f>
        <v>0</v>
      </c>
      <c r="FZ6" s="128">
        <f t="shared" ref="FZ6:FZ37" si="83">EA6/EA$102</f>
        <v>0</v>
      </c>
      <c r="GA6" s="128">
        <f t="shared" ref="GA6:GA37" si="84">EB6/EB$102</f>
        <v>0</v>
      </c>
      <c r="GB6" s="128">
        <f t="shared" ref="GB6:GB37" si="85">EC6/EC$102</f>
        <v>0</v>
      </c>
      <c r="GC6" s="128">
        <f t="shared" ref="GC6:GC37" si="86">ED6/ED$102</f>
        <v>0</v>
      </c>
      <c r="GD6" s="128">
        <f t="shared" ref="GD6:GD37" si="87">EE6/EE$102</f>
        <v>0</v>
      </c>
      <c r="GE6" s="128">
        <f t="shared" ref="GE6:GE37" si="88">EF6/EF$102</f>
        <v>0</v>
      </c>
      <c r="GF6" s="128">
        <f t="shared" ref="GF6:GF37" si="89">EG6/EG$102</f>
        <v>0</v>
      </c>
      <c r="GG6" s="128">
        <f t="shared" ref="GG6:GG37" si="90">EH6/EH$102</f>
        <v>0</v>
      </c>
      <c r="GH6" s="128">
        <f t="shared" ref="GH6:GH37" si="91">EI6/EI$102</f>
        <v>0</v>
      </c>
      <c r="GI6" s="128">
        <f t="shared" ref="GI6:GI37" si="92">EJ6/EJ$102</f>
        <v>0</v>
      </c>
      <c r="GJ6" s="128">
        <f t="shared" ref="GJ6:GJ37" si="93">EK6/EK$102</f>
        <v>0</v>
      </c>
      <c r="GK6" s="128">
        <f t="shared" ref="GK6:GK37" si="94">EL6/EL$102</f>
        <v>0</v>
      </c>
      <c r="GL6" s="128">
        <f t="shared" ref="GL6:GL37" si="95">EM6/EM$102</f>
        <v>0</v>
      </c>
      <c r="GM6" s="128">
        <f t="shared" ref="GM6:GM37" si="96">EN6/EN$102</f>
        <v>0</v>
      </c>
      <c r="GN6" s="128">
        <f t="shared" ref="GN6:GN69" si="97">EO6/EO$102</f>
        <v>0</v>
      </c>
      <c r="GO6" s="128">
        <f t="shared" ref="GO6:GO69" si="98">EP6/EP$102</f>
        <v>0</v>
      </c>
      <c r="GP6" s="128">
        <f t="shared" ref="GP6:GP69" si="99">EQ6/EQ$102</f>
        <v>0</v>
      </c>
      <c r="GQ6" s="129">
        <f t="shared" ref="GQ6:GQ69" si="100">AVERAGE(GG6:GP6)</f>
        <v>0</v>
      </c>
      <c r="GR6" s="129">
        <f t="shared" ref="GR6:GR69" si="101">AVERAGE(FA6:GP6)</f>
        <v>1.6875041973521752E-5</v>
      </c>
    </row>
    <row r="7" spans="1:200" x14ac:dyDescent="0.25">
      <c r="A7" s="42">
        <v>166</v>
      </c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>
        <v>0</v>
      </c>
      <c r="Q7" s="81"/>
      <c r="R7" s="81"/>
      <c r="S7" s="81">
        <v>0</v>
      </c>
      <c r="T7" s="81"/>
      <c r="V7" s="81"/>
      <c r="W7" s="81">
        <v>0</v>
      </c>
      <c r="X7" s="81"/>
      <c r="Y7" s="81">
        <v>1</v>
      </c>
      <c r="Z7" s="81">
        <v>2</v>
      </c>
      <c r="AA7" s="81">
        <v>18</v>
      </c>
      <c r="AB7" s="81">
        <v>0</v>
      </c>
      <c r="AC7" s="81"/>
      <c r="AD7" s="81"/>
      <c r="AE7" s="81">
        <v>0</v>
      </c>
      <c r="AF7" s="97"/>
      <c r="AG7" s="97"/>
      <c r="AH7" s="97"/>
      <c r="AI7" s="83"/>
      <c r="AJ7" s="83"/>
      <c r="AK7" s="83"/>
      <c r="AL7" s="98"/>
      <c r="AM7" s="81"/>
      <c r="AN7" s="81"/>
      <c r="AO7" s="81"/>
      <c r="AP7" s="81"/>
      <c r="AQ7" s="81">
        <v>0</v>
      </c>
      <c r="AR7" s="81"/>
      <c r="AS7" s="81"/>
      <c r="AT7" s="81">
        <v>0</v>
      </c>
      <c r="AU7" s="81">
        <v>0</v>
      </c>
      <c r="AV7" s="71"/>
      <c r="AW7" s="71">
        <f t="shared" ref="AW7:AW69" si="102">AW6+AV7</f>
        <v>0</v>
      </c>
      <c r="AY7" s="42">
        <v>166</v>
      </c>
      <c r="AZ7" s="48">
        <f t="shared" si="0"/>
        <v>0</v>
      </c>
      <c r="BA7" s="48">
        <f t="shared" si="1"/>
        <v>0</v>
      </c>
      <c r="BB7" s="48">
        <f t="shared" si="2"/>
        <v>0</v>
      </c>
      <c r="BC7" s="48">
        <f t="shared" si="3"/>
        <v>0</v>
      </c>
      <c r="BD7" s="48">
        <f t="shared" si="4"/>
        <v>0</v>
      </c>
      <c r="BE7" s="48">
        <f t="shared" si="5"/>
        <v>0</v>
      </c>
      <c r="BF7" s="48">
        <f t="shared" si="6"/>
        <v>0</v>
      </c>
      <c r="BG7" s="48">
        <f t="shared" si="7"/>
        <v>0</v>
      </c>
      <c r="BH7" s="48">
        <f t="shared" si="8"/>
        <v>0</v>
      </c>
      <c r="BI7" s="48">
        <f t="shared" si="9"/>
        <v>0</v>
      </c>
      <c r="BJ7" s="48">
        <f t="shared" si="10"/>
        <v>0</v>
      </c>
      <c r="BK7" s="48">
        <f t="shared" si="11"/>
        <v>0</v>
      </c>
      <c r="BL7" s="48">
        <f t="shared" si="12"/>
        <v>0</v>
      </c>
      <c r="BM7" s="48">
        <f t="shared" si="13"/>
        <v>0</v>
      </c>
      <c r="BN7" s="48">
        <f t="shared" si="14"/>
        <v>0</v>
      </c>
      <c r="BO7" s="48">
        <f t="shared" si="15"/>
        <v>0</v>
      </c>
      <c r="BP7" s="48">
        <f t="shared" si="16"/>
        <v>0</v>
      </c>
      <c r="BQ7" s="48">
        <f t="shared" si="17"/>
        <v>0</v>
      </c>
      <c r="BR7" s="48">
        <f t="shared" si="18"/>
        <v>0</v>
      </c>
      <c r="BS7" s="48"/>
      <c r="BT7" s="48">
        <f t="shared" si="19"/>
        <v>0</v>
      </c>
      <c r="BU7" s="48">
        <f t="shared" si="20"/>
        <v>0</v>
      </c>
      <c r="BV7" s="48">
        <f t="shared" si="21"/>
        <v>0</v>
      </c>
      <c r="BW7" s="48">
        <f t="shared" si="22"/>
        <v>4.1798248572441963E-5</v>
      </c>
      <c r="BX7" s="48">
        <f t="shared" si="23"/>
        <v>2.8629095750010737E-5</v>
      </c>
      <c r="BY7" s="48">
        <f t="shared" si="24"/>
        <v>2.336175680411167E-4</v>
      </c>
      <c r="BZ7" s="48">
        <f t="shared" si="25"/>
        <v>0</v>
      </c>
      <c r="CA7" s="48">
        <f t="shared" si="26"/>
        <v>0</v>
      </c>
      <c r="CB7" s="48">
        <f t="shared" si="27"/>
        <v>0</v>
      </c>
      <c r="CC7" s="48">
        <f t="shared" si="28"/>
        <v>0</v>
      </c>
      <c r="CD7" s="48">
        <f t="shared" si="29"/>
        <v>0</v>
      </c>
      <c r="CE7" s="48">
        <f t="shared" si="30"/>
        <v>0</v>
      </c>
      <c r="CF7" s="48">
        <f t="shared" si="31"/>
        <v>0</v>
      </c>
      <c r="CG7" s="48">
        <f t="shared" si="32"/>
        <v>0</v>
      </c>
      <c r="CH7" s="48">
        <f t="shared" si="33"/>
        <v>0</v>
      </c>
      <c r="CI7" s="48">
        <f t="shared" si="34"/>
        <v>0</v>
      </c>
      <c r="CJ7" s="48">
        <f t="shared" si="35"/>
        <v>0</v>
      </c>
      <c r="CK7" s="48">
        <f t="shared" si="36"/>
        <v>0</v>
      </c>
      <c r="CL7" s="48">
        <f t="shared" si="37"/>
        <v>0</v>
      </c>
      <c r="CM7" s="48">
        <f t="shared" si="61"/>
        <v>0</v>
      </c>
      <c r="CN7" s="48">
        <f t="shared" si="62"/>
        <v>0</v>
      </c>
      <c r="CO7" s="48">
        <f t="shared" si="63"/>
        <v>0</v>
      </c>
      <c r="CP7" s="48">
        <f t="shared" si="64"/>
        <v>0</v>
      </c>
      <c r="CQ7" s="48">
        <f>AS7/AS$104</f>
        <v>0</v>
      </c>
      <c r="CR7" s="48">
        <f t="shared" si="65"/>
        <v>0</v>
      </c>
      <c r="CS7" s="48">
        <f t="shared" si="66"/>
        <v>0</v>
      </c>
      <c r="CT7" s="68">
        <f t="shared" si="67"/>
        <v>0</v>
      </c>
      <c r="CU7" s="68">
        <f t="shared" si="68"/>
        <v>2.4290771543364912E-5</v>
      </c>
      <c r="CW7" s="42">
        <v>166</v>
      </c>
      <c r="CX7" s="58">
        <f t="shared" si="69"/>
        <v>0</v>
      </c>
      <c r="CY7" s="58">
        <f t="shared" si="69"/>
        <v>0</v>
      </c>
      <c r="CZ7" s="58">
        <f t="shared" si="69"/>
        <v>0</v>
      </c>
      <c r="DA7" s="58">
        <f t="shared" si="69"/>
        <v>0</v>
      </c>
      <c r="DB7" s="58">
        <f t="shared" si="69"/>
        <v>0</v>
      </c>
      <c r="DC7" s="58">
        <f t="shared" si="69"/>
        <v>0</v>
      </c>
      <c r="DD7" s="58">
        <f t="shared" si="69"/>
        <v>0</v>
      </c>
      <c r="DE7" s="58">
        <f t="shared" si="69"/>
        <v>0</v>
      </c>
      <c r="DF7" s="58">
        <f t="shared" si="69"/>
        <v>0</v>
      </c>
      <c r="DG7" s="58">
        <f t="shared" si="69"/>
        <v>0</v>
      </c>
      <c r="DH7" s="58">
        <f t="shared" si="70"/>
        <v>0</v>
      </c>
      <c r="DI7" s="58">
        <f t="shared" si="70"/>
        <v>0</v>
      </c>
      <c r="DJ7" s="58">
        <f t="shared" si="70"/>
        <v>0</v>
      </c>
      <c r="DK7" s="58">
        <f t="shared" si="70"/>
        <v>0</v>
      </c>
      <c r="DL7" s="58">
        <f t="shared" si="70"/>
        <v>0</v>
      </c>
      <c r="DM7" s="58">
        <f t="shared" si="70"/>
        <v>0</v>
      </c>
      <c r="DN7" s="58">
        <f t="shared" si="70"/>
        <v>0</v>
      </c>
      <c r="DO7" s="58">
        <f t="shared" si="70"/>
        <v>0</v>
      </c>
      <c r="DP7" s="58">
        <f t="shared" si="70"/>
        <v>0</v>
      </c>
      <c r="DQ7" s="58"/>
      <c r="DR7" s="58">
        <f t="shared" ref="DR7:EA11" si="103">DR6+V7</f>
        <v>0</v>
      </c>
      <c r="DS7" s="58">
        <f t="shared" si="103"/>
        <v>0</v>
      </c>
      <c r="DT7" s="58">
        <f t="shared" si="103"/>
        <v>0</v>
      </c>
      <c r="DU7" s="58">
        <f t="shared" si="103"/>
        <v>6</v>
      </c>
      <c r="DV7" s="58">
        <f t="shared" si="103"/>
        <v>4</v>
      </c>
      <c r="DW7" s="58">
        <f t="shared" si="103"/>
        <v>53</v>
      </c>
      <c r="DX7" s="58">
        <f t="shared" si="103"/>
        <v>0</v>
      </c>
      <c r="DY7" s="58">
        <f t="shared" si="103"/>
        <v>0</v>
      </c>
      <c r="DZ7" s="58">
        <f t="shared" si="103"/>
        <v>0</v>
      </c>
      <c r="EA7" s="58">
        <f t="shared" si="103"/>
        <v>0</v>
      </c>
      <c r="EB7" s="58">
        <f t="shared" ref="EB7:EK11" si="104">EB6+AF7</f>
        <v>0</v>
      </c>
      <c r="EC7" s="58">
        <f t="shared" si="104"/>
        <v>0</v>
      </c>
      <c r="ED7" s="58">
        <f t="shared" si="104"/>
        <v>0</v>
      </c>
      <c r="EE7" s="58">
        <f t="shared" si="104"/>
        <v>0</v>
      </c>
      <c r="EF7" s="58">
        <f t="shared" si="104"/>
        <v>0</v>
      </c>
      <c r="EG7" s="58">
        <f t="shared" si="104"/>
        <v>0</v>
      </c>
      <c r="EH7" s="58">
        <f t="shared" si="104"/>
        <v>0</v>
      </c>
      <c r="EI7" s="58">
        <f t="shared" si="104"/>
        <v>0</v>
      </c>
      <c r="EJ7" s="58">
        <f t="shared" si="104"/>
        <v>0</v>
      </c>
      <c r="EK7" s="58">
        <f t="shared" si="104"/>
        <v>0</v>
      </c>
      <c r="EL7" s="58">
        <f t="shared" ref="EL7:EL70" si="105">EL6+AP7</f>
        <v>0</v>
      </c>
      <c r="EM7" s="58">
        <f t="shared" ref="EM7:EM70" si="106">EM6+AQ7</f>
        <v>0</v>
      </c>
      <c r="EN7" s="58">
        <f t="shared" ref="EN7:EN70" si="107">EN6+AR7</f>
        <v>0</v>
      </c>
      <c r="EO7" s="58">
        <f t="shared" ref="EO7:EO70" si="108">EO6+AS7</f>
        <v>0</v>
      </c>
      <c r="EP7" s="58">
        <f t="shared" ref="EP7:EP70" si="109">EP6+AT7</f>
        <v>0</v>
      </c>
      <c r="EQ7" s="58">
        <f t="shared" ref="EQ7:EQ70" si="110">EQ6+AU7</f>
        <v>0</v>
      </c>
      <c r="ER7" s="67">
        <f t="shared" si="72"/>
        <v>0</v>
      </c>
      <c r="ES7" s="67">
        <f t="shared" si="73"/>
        <v>1.5365853658536586</v>
      </c>
      <c r="EV7" s="42">
        <v>166</v>
      </c>
      <c r="EW7" s="128">
        <f t="shared" si="41"/>
        <v>0</v>
      </c>
      <c r="EX7" s="128">
        <f t="shared" si="42"/>
        <v>0</v>
      </c>
      <c r="EY7" s="128">
        <f t="shared" si="43"/>
        <v>0</v>
      </c>
      <c r="EZ7" s="128">
        <f t="shared" si="44"/>
        <v>0</v>
      </c>
      <c r="FA7" s="128">
        <f t="shared" si="45"/>
        <v>0</v>
      </c>
      <c r="FB7" s="128">
        <f t="shared" si="46"/>
        <v>0</v>
      </c>
      <c r="FC7" s="128">
        <f t="shared" si="47"/>
        <v>0</v>
      </c>
      <c r="FD7" s="128">
        <f t="shared" si="48"/>
        <v>0</v>
      </c>
      <c r="FE7" s="128">
        <f t="shared" si="49"/>
        <v>0</v>
      </c>
      <c r="FF7" s="128">
        <f t="shared" si="50"/>
        <v>0</v>
      </c>
      <c r="FG7" s="128">
        <f t="shared" si="51"/>
        <v>0</v>
      </c>
      <c r="FH7" s="128">
        <f t="shared" si="52"/>
        <v>0</v>
      </c>
      <c r="FI7" s="128">
        <f t="shared" si="53"/>
        <v>0</v>
      </c>
      <c r="FJ7" s="128">
        <f t="shared" si="54"/>
        <v>0</v>
      </c>
      <c r="FK7" s="128">
        <f t="shared" si="55"/>
        <v>0</v>
      </c>
      <c r="FL7" s="128">
        <f t="shared" si="56"/>
        <v>0</v>
      </c>
      <c r="FM7" s="128">
        <f t="shared" si="57"/>
        <v>0</v>
      </c>
      <c r="FN7" s="128">
        <f t="shared" si="58"/>
        <v>0</v>
      </c>
      <c r="FO7" s="128">
        <f t="shared" si="59"/>
        <v>0</v>
      </c>
      <c r="FP7" s="128"/>
      <c r="FQ7" s="128">
        <f t="shared" si="74"/>
        <v>0</v>
      </c>
      <c r="FR7" s="128">
        <f t="shared" si="75"/>
        <v>0</v>
      </c>
      <c r="FS7" s="128">
        <f t="shared" si="76"/>
        <v>0</v>
      </c>
      <c r="FT7" s="128">
        <f t="shared" si="77"/>
        <v>2.5078949143465178E-4</v>
      </c>
      <c r="FU7" s="128">
        <f t="shared" si="78"/>
        <v>5.7258191500021474E-5</v>
      </c>
      <c r="FV7" s="128">
        <f t="shared" si="79"/>
        <v>6.8787395034328798E-4</v>
      </c>
      <c r="FW7" s="128">
        <f t="shared" si="80"/>
        <v>0</v>
      </c>
      <c r="FX7" s="128">
        <f t="shared" si="81"/>
        <v>0</v>
      </c>
      <c r="FY7" s="128">
        <f t="shared" si="82"/>
        <v>0</v>
      </c>
      <c r="FZ7" s="128">
        <f t="shared" si="83"/>
        <v>0</v>
      </c>
      <c r="GA7" s="128">
        <f t="shared" si="84"/>
        <v>0</v>
      </c>
      <c r="GB7" s="128">
        <f t="shared" si="85"/>
        <v>0</v>
      </c>
      <c r="GC7" s="128">
        <f t="shared" si="86"/>
        <v>0</v>
      </c>
      <c r="GD7" s="128">
        <f t="shared" si="87"/>
        <v>0</v>
      </c>
      <c r="GE7" s="128">
        <f t="shared" si="88"/>
        <v>0</v>
      </c>
      <c r="GF7" s="128">
        <f t="shared" si="89"/>
        <v>0</v>
      </c>
      <c r="GG7" s="128">
        <f t="shared" si="90"/>
        <v>0</v>
      </c>
      <c r="GH7" s="128">
        <f t="shared" si="91"/>
        <v>0</v>
      </c>
      <c r="GI7" s="128">
        <f t="shared" si="92"/>
        <v>0</v>
      </c>
      <c r="GJ7" s="128">
        <f t="shared" si="93"/>
        <v>0</v>
      </c>
      <c r="GK7" s="128">
        <f t="shared" si="94"/>
        <v>0</v>
      </c>
      <c r="GL7" s="128">
        <f t="shared" si="95"/>
        <v>0</v>
      </c>
      <c r="GM7" s="128">
        <f t="shared" si="96"/>
        <v>0</v>
      </c>
      <c r="GN7" s="128">
        <f t="shared" si="97"/>
        <v>0</v>
      </c>
      <c r="GO7" s="128">
        <f t="shared" si="98"/>
        <v>0</v>
      </c>
      <c r="GP7" s="128">
        <f t="shared" si="99"/>
        <v>0</v>
      </c>
      <c r="GQ7" s="129">
        <f t="shared" si="100"/>
        <v>0</v>
      </c>
      <c r="GR7" s="129">
        <f t="shared" si="101"/>
        <v>2.4290771543364909E-5</v>
      </c>
    </row>
    <row r="8" spans="1:200" x14ac:dyDescent="0.25">
      <c r="A8" s="42">
        <v>167</v>
      </c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>
        <v>0</v>
      </c>
      <c r="Q8" s="81">
        <v>0</v>
      </c>
      <c r="R8" s="81"/>
      <c r="S8" s="81">
        <v>9</v>
      </c>
      <c r="T8" s="81"/>
      <c r="V8" s="81"/>
      <c r="W8" s="81">
        <v>1</v>
      </c>
      <c r="X8" s="81">
        <v>11</v>
      </c>
      <c r="Y8" s="81">
        <v>4</v>
      </c>
      <c r="Z8" s="81">
        <v>3</v>
      </c>
      <c r="AA8" s="81">
        <v>29</v>
      </c>
      <c r="AB8" s="81">
        <v>0</v>
      </c>
      <c r="AC8" s="81"/>
      <c r="AD8" s="81"/>
      <c r="AE8" s="81">
        <v>1</v>
      </c>
      <c r="AF8" s="97"/>
      <c r="AG8" s="97"/>
      <c r="AH8" s="97"/>
      <c r="AI8" s="83"/>
      <c r="AJ8" s="83"/>
      <c r="AK8" s="83"/>
      <c r="AL8" s="83"/>
      <c r="AM8" s="99">
        <v>1</v>
      </c>
      <c r="AN8" s="81"/>
      <c r="AO8" s="81"/>
      <c r="AP8" s="81">
        <v>26</v>
      </c>
      <c r="AQ8" s="81">
        <v>0</v>
      </c>
      <c r="AR8" s="81">
        <v>3</v>
      </c>
      <c r="AS8" s="81">
        <v>1</v>
      </c>
      <c r="AT8" s="81">
        <v>12</v>
      </c>
      <c r="AU8" s="81">
        <v>7</v>
      </c>
      <c r="AV8" s="71">
        <f>AVERAGE(AL8:AU8)</f>
        <v>7.1428571428571432</v>
      </c>
      <c r="AW8" s="71">
        <f t="shared" ref="AW8:AW13" si="111">AW7+AV8</f>
        <v>7.1428571428571432</v>
      </c>
      <c r="AY8" s="42">
        <v>167</v>
      </c>
      <c r="AZ8" s="48">
        <f t="shared" si="0"/>
        <v>0</v>
      </c>
      <c r="BA8" s="48">
        <f t="shared" si="1"/>
        <v>0</v>
      </c>
      <c r="BB8" s="48">
        <f t="shared" si="2"/>
        <v>0</v>
      </c>
      <c r="BC8" s="48">
        <f t="shared" si="3"/>
        <v>0</v>
      </c>
      <c r="BD8" s="48">
        <f t="shared" si="4"/>
        <v>0</v>
      </c>
      <c r="BE8" s="48">
        <f t="shared" si="5"/>
        <v>0</v>
      </c>
      <c r="BF8" s="48">
        <f t="shared" si="6"/>
        <v>0</v>
      </c>
      <c r="BG8" s="48">
        <f t="shared" si="7"/>
        <v>0</v>
      </c>
      <c r="BH8" s="48">
        <f t="shared" si="8"/>
        <v>0</v>
      </c>
      <c r="BI8" s="48">
        <f t="shared" si="9"/>
        <v>0</v>
      </c>
      <c r="BJ8" s="48">
        <f t="shared" si="10"/>
        <v>0</v>
      </c>
      <c r="BK8" s="48">
        <f t="shared" si="11"/>
        <v>0</v>
      </c>
      <c r="BL8" s="48">
        <f t="shared" si="12"/>
        <v>0</v>
      </c>
      <c r="BM8" s="48">
        <f t="shared" si="13"/>
        <v>0</v>
      </c>
      <c r="BN8" s="48">
        <f t="shared" si="14"/>
        <v>0</v>
      </c>
      <c r="BO8" s="48">
        <f t="shared" si="15"/>
        <v>0</v>
      </c>
      <c r="BP8" s="48">
        <f t="shared" si="16"/>
        <v>0</v>
      </c>
      <c r="BQ8" s="48">
        <f t="shared" si="17"/>
        <v>4.8064085447263019E-4</v>
      </c>
      <c r="BR8" s="48">
        <f t="shared" si="18"/>
        <v>0</v>
      </c>
      <c r="BS8" s="48"/>
      <c r="BT8" s="48">
        <f t="shared" si="19"/>
        <v>0</v>
      </c>
      <c r="BU8" s="48">
        <f t="shared" si="20"/>
        <v>3.3921302578018993E-4</v>
      </c>
      <c r="BV8" s="48">
        <f t="shared" si="21"/>
        <v>3.0046435400163888E-3</v>
      </c>
      <c r="BW8" s="48">
        <f t="shared" si="22"/>
        <v>1.6719299428976785E-4</v>
      </c>
      <c r="BX8" s="48">
        <f t="shared" si="23"/>
        <v>4.2943643625016102E-5</v>
      </c>
      <c r="BY8" s="48">
        <f t="shared" si="24"/>
        <v>3.7638385962179914E-4</v>
      </c>
      <c r="BZ8" s="48">
        <f t="shared" si="25"/>
        <v>0</v>
      </c>
      <c r="CA8" s="48">
        <f t="shared" si="26"/>
        <v>0</v>
      </c>
      <c r="CB8" s="48">
        <f t="shared" si="27"/>
        <v>0</v>
      </c>
      <c r="CC8" s="48">
        <f t="shared" si="28"/>
        <v>9.9790440075840737E-5</v>
      </c>
      <c r="CD8" s="48">
        <f t="shared" si="29"/>
        <v>0</v>
      </c>
      <c r="CE8" s="48">
        <f t="shared" si="30"/>
        <v>0</v>
      </c>
      <c r="CF8" s="48">
        <f t="shared" si="31"/>
        <v>0</v>
      </c>
      <c r="CG8" s="48">
        <f t="shared" si="32"/>
        <v>0</v>
      </c>
      <c r="CH8" s="48">
        <f t="shared" si="33"/>
        <v>0</v>
      </c>
      <c r="CI8" s="48">
        <f t="shared" si="34"/>
        <v>0</v>
      </c>
      <c r="CJ8" s="48">
        <f t="shared" si="35"/>
        <v>0</v>
      </c>
      <c r="CK8" s="48">
        <f t="shared" si="36"/>
        <v>4.433999911320002E-5</v>
      </c>
      <c r="CL8" s="48">
        <f t="shared" si="37"/>
        <v>0</v>
      </c>
      <c r="CM8" s="48">
        <f t="shared" si="61"/>
        <v>0</v>
      </c>
      <c r="CN8" s="48">
        <f t="shared" si="62"/>
        <v>4.3988765945927655E-4</v>
      </c>
      <c r="CO8" s="48">
        <f t="shared" si="63"/>
        <v>0</v>
      </c>
      <c r="CP8" s="48">
        <f t="shared" si="64"/>
        <v>4.9996666888874073E-5</v>
      </c>
      <c r="CQ8" s="48">
        <f t="shared" ref="CQ8:CQ69" si="112">AS8/AS$104</f>
        <v>1.165704960074605E-5</v>
      </c>
      <c r="CR8" s="48">
        <f t="shared" si="65"/>
        <v>7.8223798286898824E-5</v>
      </c>
      <c r="CS8" s="48">
        <f t="shared" si="66"/>
        <v>3.3285307389813748E-5</v>
      </c>
      <c r="CT8" s="68">
        <f t="shared" si="67"/>
        <v>6.5739048073880924E-5</v>
      </c>
      <c r="CU8" s="68">
        <f t="shared" si="68"/>
        <v>1.5034440175361961E-4</v>
      </c>
      <c r="CW8" s="42">
        <v>167</v>
      </c>
      <c r="CX8" s="58">
        <f t="shared" si="69"/>
        <v>0</v>
      </c>
      <c r="CY8" s="58">
        <f t="shared" si="69"/>
        <v>0</v>
      </c>
      <c r="CZ8" s="58">
        <f t="shared" si="69"/>
        <v>0</v>
      </c>
      <c r="DA8" s="58">
        <f t="shared" si="69"/>
        <v>0</v>
      </c>
      <c r="DB8" s="58">
        <f t="shared" si="69"/>
        <v>0</v>
      </c>
      <c r="DC8" s="58">
        <f t="shared" si="69"/>
        <v>0</v>
      </c>
      <c r="DD8" s="58">
        <f t="shared" si="69"/>
        <v>0</v>
      </c>
      <c r="DE8" s="58">
        <f t="shared" si="69"/>
        <v>0</v>
      </c>
      <c r="DF8" s="58">
        <f t="shared" si="69"/>
        <v>0</v>
      </c>
      <c r="DG8" s="58">
        <f t="shared" si="69"/>
        <v>0</v>
      </c>
      <c r="DH8" s="58">
        <f t="shared" si="70"/>
        <v>0</v>
      </c>
      <c r="DI8" s="58">
        <f t="shared" si="70"/>
        <v>0</v>
      </c>
      <c r="DJ8" s="58">
        <f t="shared" si="70"/>
        <v>0</v>
      </c>
      <c r="DK8" s="58">
        <f t="shared" si="70"/>
        <v>0</v>
      </c>
      <c r="DL8" s="58">
        <f t="shared" si="70"/>
        <v>0</v>
      </c>
      <c r="DM8" s="58">
        <f t="shared" si="70"/>
        <v>0</v>
      </c>
      <c r="DN8" s="58">
        <f t="shared" si="70"/>
        <v>0</v>
      </c>
      <c r="DO8" s="58">
        <f t="shared" si="70"/>
        <v>9</v>
      </c>
      <c r="DP8" s="58">
        <f t="shared" si="70"/>
        <v>0</v>
      </c>
      <c r="DQ8" s="58"/>
      <c r="DR8" s="58">
        <f t="shared" si="103"/>
        <v>0</v>
      </c>
      <c r="DS8" s="58">
        <f t="shared" si="103"/>
        <v>1</v>
      </c>
      <c r="DT8" s="58">
        <f t="shared" si="103"/>
        <v>11</v>
      </c>
      <c r="DU8" s="58">
        <f t="shared" si="103"/>
        <v>10</v>
      </c>
      <c r="DV8" s="58">
        <f t="shared" si="103"/>
        <v>7</v>
      </c>
      <c r="DW8" s="58">
        <f t="shared" si="103"/>
        <v>82</v>
      </c>
      <c r="DX8" s="58">
        <f t="shared" si="103"/>
        <v>0</v>
      </c>
      <c r="DY8" s="58">
        <f t="shared" si="103"/>
        <v>0</v>
      </c>
      <c r="DZ8" s="58">
        <f t="shared" si="103"/>
        <v>0</v>
      </c>
      <c r="EA8" s="58">
        <f t="shared" si="103"/>
        <v>1</v>
      </c>
      <c r="EB8" s="58">
        <f t="shared" si="104"/>
        <v>0</v>
      </c>
      <c r="EC8" s="58">
        <f t="shared" si="104"/>
        <v>0</v>
      </c>
      <c r="ED8" s="58">
        <f t="shared" si="104"/>
        <v>0</v>
      </c>
      <c r="EE8" s="58">
        <f t="shared" si="104"/>
        <v>0</v>
      </c>
      <c r="EF8" s="58">
        <f t="shared" si="104"/>
        <v>0</v>
      </c>
      <c r="EG8" s="58">
        <f t="shared" si="104"/>
        <v>0</v>
      </c>
      <c r="EH8" s="58">
        <f t="shared" si="104"/>
        <v>0</v>
      </c>
      <c r="EI8" s="58">
        <f t="shared" si="104"/>
        <v>1</v>
      </c>
      <c r="EJ8" s="58">
        <f t="shared" si="104"/>
        <v>0</v>
      </c>
      <c r="EK8" s="58">
        <f t="shared" si="104"/>
        <v>0</v>
      </c>
      <c r="EL8" s="58">
        <f t="shared" si="105"/>
        <v>26</v>
      </c>
      <c r="EM8" s="58">
        <f t="shared" si="106"/>
        <v>0</v>
      </c>
      <c r="EN8" s="58">
        <f t="shared" si="107"/>
        <v>3</v>
      </c>
      <c r="EO8" s="58">
        <f t="shared" si="108"/>
        <v>1</v>
      </c>
      <c r="EP8" s="58">
        <f t="shared" si="109"/>
        <v>12</v>
      </c>
      <c r="EQ8" s="58">
        <f t="shared" si="110"/>
        <v>7</v>
      </c>
      <c r="ER8" s="67">
        <f t="shared" si="72"/>
        <v>5</v>
      </c>
      <c r="ES8" s="67">
        <f t="shared" si="73"/>
        <v>4.1707317073170733</v>
      </c>
      <c r="EV8" s="42">
        <v>167</v>
      </c>
      <c r="EW8" s="128">
        <f t="shared" si="41"/>
        <v>0</v>
      </c>
      <c r="EX8" s="128">
        <f t="shared" si="42"/>
        <v>0</v>
      </c>
      <c r="EY8" s="128">
        <f t="shared" si="43"/>
        <v>0</v>
      </c>
      <c r="EZ8" s="128">
        <f t="shared" si="44"/>
        <v>0</v>
      </c>
      <c r="FA8" s="128">
        <f t="shared" si="45"/>
        <v>0</v>
      </c>
      <c r="FB8" s="128">
        <f t="shared" si="46"/>
        <v>0</v>
      </c>
      <c r="FC8" s="128">
        <f t="shared" si="47"/>
        <v>0</v>
      </c>
      <c r="FD8" s="128">
        <f t="shared" si="48"/>
        <v>0</v>
      </c>
      <c r="FE8" s="128">
        <f t="shared" si="49"/>
        <v>0</v>
      </c>
      <c r="FF8" s="128">
        <f t="shared" si="50"/>
        <v>0</v>
      </c>
      <c r="FG8" s="128">
        <f t="shared" si="51"/>
        <v>0</v>
      </c>
      <c r="FH8" s="128">
        <f t="shared" si="52"/>
        <v>0</v>
      </c>
      <c r="FI8" s="128">
        <f t="shared" si="53"/>
        <v>0</v>
      </c>
      <c r="FJ8" s="128">
        <f t="shared" si="54"/>
        <v>0</v>
      </c>
      <c r="FK8" s="128">
        <f t="shared" si="55"/>
        <v>0</v>
      </c>
      <c r="FL8" s="128">
        <f t="shared" si="56"/>
        <v>0</v>
      </c>
      <c r="FM8" s="128">
        <f t="shared" si="57"/>
        <v>0</v>
      </c>
      <c r="FN8" s="128">
        <f t="shared" si="58"/>
        <v>4.8064085447263019E-4</v>
      </c>
      <c r="FO8" s="128">
        <f t="shared" si="59"/>
        <v>0</v>
      </c>
      <c r="FP8" s="128"/>
      <c r="FQ8" s="128">
        <f t="shared" si="74"/>
        <v>0</v>
      </c>
      <c r="FR8" s="128">
        <f t="shared" si="75"/>
        <v>3.3921302578018993E-4</v>
      </c>
      <c r="FS8" s="128">
        <f t="shared" si="76"/>
        <v>3.0046435400163888E-3</v>
      </c>
      <c r="FT8" s="128">
        <f t="shared" si="77"/>
        <v>4.1798248572441963E-4</v>
      </c>
      <c r="FU8" s="128">
        <f t="shared" si="78"/>
        <v>1.0020183512503758E-4</v>
      </c>
      <c r="FV8" s="128">
        <f t="shared" si="79"/>
        <v>1.0642578099650871E-3</v>
      </c>
      <c r="FW8" s="128">
        <f t="shared" si="80"/>
        <v>0</v>
      </c>
      <c r="FX8" s="128">
        <f t="shared" si="81"/>
        <v>0</v>
      </c>
      <c r="FY8" s="128">
        <f t="shared" si="82"/>
        <v>0</v>
      </c>
      <c r="FZ8" s="128">
        <f t="shared" si="83"/>
        <v>9.9790440075840737E-5</v>
      </c>
      <c r="GA8" s="128">
        <f t="shared" si="84"/>
        <v>0</v>
      </c>
      <c r="GB8" s="128">
        <f t="shared" si="85"/>
        <v>0</v>
      </c>
      <c r="GC8" s="128">
        <f t="shared" si="86"/>
        <v>0</v>
      </c>
      <c r="GD8" s="128">
        <f t="shared" si="87"/>
        <v>0</v>
      </c>
      <c r="GE8" s="128">
        <f t="shared" si="88"/>
        <v>0</v>
      </c>
      <c r="GF8" s="128">
        <f t="shared" si="89"/>
        <v>0</v>
      </c>
      <c r="GG8" s="128">
        <f t="shared" si="90"/>
        <v>0</v>
      </c>
      <c r="GH8" s="128">
        <f t="shared" si="91"/>
        <v>4.433999911320002E-5</v>
      </c>
      <c r="GI8" s="128">
        <f t="shared" si="92"/>
        <v>0</v>
      </c>
      <c r="GJ8" s="128">
        <f t="shared" si="93"/>
        <v>0</v>
      </c>
      <c r="GK8" s="128">
        <f t="shared" si="94"/>
        <v>4.3988765945927655E-4</v>
      </c>
      <c r="GL8" s="128">
        <f t="shared" si="95"/>
        <v>0</v>
      </c>
      <c r="GM8" s="128">
        <f t="shared" si="96"/>
        <v>4.9996666888874073E-5</v>
      </c>
      <c r="GN8" s="128">
        <f t="shared" si="97"/>
        <v>1.165704960074605E-5</v>
      </c>
      <c r="GO8" s="128">
        <f t="shared" si="98"/>
        <v>7.8223798286898824E-5</v>
      </c>
      <c r="GP8" s="128">
        <f t="shared" si="99"/>
        <v>3.3285307389813748E-5</v>
      </c>
      <c r="GQ8" s="129">
        <f t="shared" si="100"/>
        <v>6.5739048073880924E-5</v>
      </c>
      <c r="GR8" s="129">
        <f t="shared" si="101"/>
        <v>1.5034440175361959E-4</v>
      </c>
    </row>
    <row r="9" spans="1:200" x14ac:dyDescent="0.25">
      <c r="A9" s="42">
        <v>168</v>
      </c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>
        <v>0</v>
      </c>
      <c r="Q9" s="81">
        <v>0</v>
      </c>
      <c r="R9" s="81">
        <v>6</v>
      </c>
      <c r="S9" s="81">
        <v>3</v>
      </c>
      <c r="T9" s="81"/>
      <c r="V9" s="81"/>
      <c r="W9" s="81">
        <v>0</v>
      </c>
      <c r="X9" s="81">
        <v>6</v>
      </c>
      <c r="Y9" s="81">
        <v>24</v>
      </c>
      <c r="Z9" s="81">
        <v>3</v>
      </c>
      <c r="AA9" s="81">
        <v>24</v>
      </c>
      <c r="AB9" s="81">
        <v>5</v>
      </c>
      <c r="AC9" s="81"/>
      <c r="AD9" s="81"/>
      <c r="AE9" s="81">
        <v>0</v>
      </c>
      <c r="AF9" s="97"/>
      <c r="AG9" s="97"/>
      <c r="AH9" s="97"/>
      <c r="AI9" s="83"/>
      <c r="AJ9" s="83">
        <v>41</v>
      </c>
      <c r="AK9" s="83"/>
      <c r="AL9" s="83"/>
      <c r="AM9" s="99">
        <v>3</v>
      </c>
      <c r="AN9" s="81"/>
      <c r="AO9" s="81"/>
      <c r="AP9" s="81">
        <v>7</v>
      </c>
      <c r="AQ9" s="81">
        <v>1</v>
      </c>
      <c r="AR9" s="81">
        <v>4</v>
      </c>
      <c r="AS9" s="81">
        <v>2</v>
      </c>
      <c r="AT9" s="81">
        <v>100</v>
      </c>
      <c r="AU9" s="81">
        <v>0</v>
      </c>
      <c r="AV9" s="71">
        <f t="shared" ref="AV9:AV72" si="113">AVERAGE(AL9:AU9)</f>
        <v>16.714285714285715</v>
      </c>
      <c r="AW9" s="71">
        <f>AW8+AV9</f>
        <v>23.857142857142858</v>
      </c>
      <c r="AY9" s="42">
        <v>168</v>
      </c>
      <c r="AZ9" s="48">
        <f t="shared" si="0"/>
        <v>0</v>
      </c>
      <c r="BA9" s="48">
        <f t="shared" si="1"/>
        <v>0</v>
      </c>
      <c r="BB9" s="48">
        <f t="shared" si="2"/>
        <v>0</v>
      </c>
      <c r="BC9" s="48">
        <f t="shared" si="3"/>
        <v>0</v>
      </c>
      <c r="BD9" s="48">
        <f t="shared" si="4"/>
        <v>0</v>
      </c>
      <c r="BE9" s="48">
        <f t="shared" si="5"/>
        <v>0</v>
      </c>
      <c r="BF9" s="48">
        <f t="shared" si="6"/>
        <v>0</v>
      </c>
      <c r="BG9" s="48">
        <f t="shared" si="7"/>
        <v>0</v>
      </c>
      <c r="BH9" s="48">
        <f t="shared" si="8"/>
        <v>0</v>
      </c>
      <c r="BI9" s="48">
        <f t="shared" si="9"/>
        <v>0</v>
      </c>
      <c r="BJ9" s="48">
        <f t="shared" si="10"/>
        <v>0</v>
      </c>
      <c r="BK9" s="48">
        <f t="shared" si="11"/>
        <v>0</v>
      </c>
      <c r="BL9" s="48">
        <f t="shared" si="12"/>
        <v>0</v>
      </c>
      <c r="BM9" s="48">
        <f t="shared" si="13"/>
        <v>0</v>
      </c>
      <c r="BN9" s="48">
        <f t="shared" si="14"/>
        <v>0</v>
      </c>
      <c r="BO9" s="48">
        <f t="shared" si="15"/>
        <v>0</v>
      </c>
      <c r="BP9" s="48">
        <f t="shared" si="16"/>
        <v>1.7535655833528173E-4</v>
      </c>
      <c r="BQ9" s="48">
        <f t="shared" si="17"/>
        <v>1.6021361815754339E-4</v>
      </c>
      <c r="BR9" s="48">
        <f t="shared" si="18"/>
        <v>0</v>
      </c>
      <c r="BS9" s="48"/>
      <c r="BT9" s="48">
        <f t="shared" si="19"/>
        <v>0</v>
      </c>
      <c r="BU9" s="48">
        <f t="shared" si="20"/>
        <v>0</v>
      </c>
      <c r="BV9" s="48">
        <f>X9/X$104</f>
        <v>1.6388964763725759E-3</v>
      </c>
      <c r="BW9" s="48">
        <f t="shared" si="22"/>
        <v>1.0031579657386071E-3</v>
      </c>
      <c r="BX9" s="48">
        <f t="shared" si="23"/>
        <v>4.2943643625016102E-5</v>
      </c>
      <c r="BY9" s="48">
        <f t="shared" si="24"/>
        <v>3.114900907214889E-4</v>
      </c>
      <c r="BZ9" s="48">
        <f t="shared" si="25"/>
        <v>7.6282305556403136E-5</v>
      </c>
      <c r="CA9" s="48">
        <f t="shared" si="26"/>
        <v>0</v>
      </c>
      <c r="CB9" s="48">
        <f t="shared" si="27"/>
        <v>0</v>
      </c>
      <c r="CC9" s="48">
        <f t="shared" si="28"/>
        <v>0</v>
      </c>
      <c r="CD9" s="48">
        <f t="shared" si="29"/>
        <v>0</v>
      </c>
      <c r="CE9" s="48">
        <f t="shared" si="30"/>
        <v>0</v>
      </c>
      <c r="CF9" s="48">
        <f t="shared" si="31"/>
        <v>0</v>
      </c>
      <c r="CG9" s="48">
        <f t="shared" si="32"/>
        <v>0</v>
      </c>
      <c r="CH9" s="48">
        <f t="shared" si="33"/>
        <v>8.4789577086133807E-4</v>
      </c>
      <c r="CI9" s="48">
        <f t="shared" si="34"/>
        <v>0</v>
      </c>
      <c r="CJ9" s="48">
        <f t="shared" si="35"/>
        <v>0</v>
      </c>
      <c r="CK9" s="48">
        <f t="shared" si="36"/>
        <v>1.3301999733960005E-4</v>
      </c>
      <c r="CL9" s="48">
        <f t="shared" si="37"/>
        <v>0</v>
      </c>
      <c r="CM9" s="48">
        <f t="shared" si="61"/>
        <v>0</v>
      </c>
      <c r="CN9" s="48">
        <f t="shared" si="62"/>
        <v>1.1843129293134368E-4</v>
      </c>
      <c r="CO9" s="48">
        <f t="shared" si="63"/>
        <v>2.4219525781685195E-5</v>
      </c>
      <c r="CP9" s="48">
        <f t="shared" si="64"/>
        <v>6.6662222518498764E-5</v>
      </c>
      <c r="CQ9" s="48">
        <f t="shared" si="112"/>
        <v>2.3314099201492101E-5</v>
      </c>
      <c r="CR9" s="48">
        <f t="shared" si="65"/>
        <v>6.5186498572415686E-4</v>
      </c>
      <c r="CS9" s="48">
        <f t="shared" si="66"/>
        <v>0</v>
      </c>
      <c r="CT9" s="68">
        <f t="shared" si="67"/>
        <v>1.674902604235586E-4</v>
      </c>
      <c r="CU9" s="68">
        <f t="shared" si="68"/>
        <v>2.7897241523813256E-4</v>
      </c>
      <c r="CW9" s="42">
        <v>168</v>
      </c>
      <c r="CX9" s="58">
        <f t="shared" si="69"/>
        <v>0</v>
      </c>
      <c r="CY9" s="58">
        <f t="shared" si="69"/>
        <v>0</v>
      </c>
      <c r="CZ9" s="58">
        <f t="shared" si="69"/>
        <v>0</v>
      </c>
      <c r="DA9" s="58">
        <f t="shared" si="69"/>
        <v>0</v>
      </c>
      <c r="DB9" s="58">
        <f t="shared" si="69"/>
        <v>0</v>
      </c>
      <c r="DC9" s="58">
        <f t="shared" si="69"/>
        <v>0</v>
      </c>
      <c r="DD9" s="58">
        <f t="shared" si="69"/>
        <v>0</v>
      </c>
      <c r="DE9" s="58">
        <f t="shared" si="69"/>
        <v>0</v>
      </c>
      <c r="DF9" s="58">
        <f t="shared" si="69"/>
        <v>0</v>
      </c>
      <c r="DG9" s="58">
        <f t="shared" si="69"/>
        <v>0</v>
      </c>
      <c r="DH9" s="58">
        <f t="shared" si="70"/>
        <v>0</v>
      </c>
      <c r="DI9" s="58">
        <f t="shared" si="70"/>
        <v>0</v>
      </c>
      <c r="DJ9" s="58">
        <f t="shared" si="70"/>
        <v>0</v>
      </c>
      <c r="DK9" s="58">
        <f t="shared" si="70"/>
        <v>0</v>
      </c>
      <c r="DL9" s="58">
        <f t="shared" si="70"/>
        <v>0</v>
      </c>
      <c r="DM9" s="58">
        <f t="shared" si="70"/>
        <v>0</v>
      </c>
      <c r="DN9" s="58">
        <f t="shared" si="70"/>
        <v>6</v>
      </c>
      <c r="DO9" s="58">
        <f t="shared" si="70"/>
        <v>12</v>
      </c>
      <c r="DP9" s="58">
        <f t="shared" si="70"/>
        <v>0</v>
      </c>
      <c r="DQ9" s="58"/>
      <c r="DR9" s="58">
        <f t="shared" si="103"/>
        <v>0</v>
      </c>
      <c r="DS9" s="58">
        <f t="shared" si="103"/>
        <v>1</v>
      </c>
      <c r="DT9" s="58">
        <f t="shared" si="103"/>
        <v>17</v>
      </c>
      <c r="DU9" s="58">
        <f t="shared" si="103"/>
        <v>34</v>
      </c>
      <c r="DV9" s="58">
        <f t="shared" si="103"/>
        <v>10</v>
      </c>
      <c r="DW9" s="58">
        <f t="shared" si="103"/>
        <v>106</v>
      </c>
      <c r="DX9" s="58">
        <f t="shared" si="103"/>
        <v>5</v>
      </c>
      <c r="DY9" s="58">
        <f t="shared" si="103"/>
        <v>0</v>
      </c>
      <c r="DZ9" s="58">
        <f t="shared" si="103"/>
        <v>0</v>
      </c>
      <c r="EA9" s="58">
        <f t="shared" si="103"/>
        <v>1</v>
      </c>
      <c r="EB9" s="58">
        <f t="shared" si="104"/>
        <v>0</v>
      </c>
      <c r="EC9" s="58">
        <f t="shared" si="104"/>
        <v>0</v>
      </c>
      <c r="ED9" s="58">
        <f t="shared" si="104"/>
        <v>0</v>
      </c>
      <c r="EE9" s="58">
        <f t="shared" si="104"/>
        <v>0</v>
      </c>
      <c r="EF9" s="58">
        <f t="shared" si="104"/>
        <v>41</v>
      </c>
      <c r="EG9" s="58">
        <f t="shared" si="104"/>
        <v>0</v>
      </c>
      <c r="EH9" s="58">
        <f t="shared" si="104"/>
        <v>0</v>
      </c>
      <c r="EI9" s="58">
        <f t="shared" si="104"/>
        <v>4</v>
      </c>
      <c r="EJ9" s="58">
        <f t="shared" si="104"/>
        <v>0</v>
      </c>
      <c r="EK9" s="58">
        <f t="shared" si="104"/>
        <v>0</v>
      </c>
      <c r="EL9" s="58">
        <f t="shared" si="105"/>
        <v>33</v>
      </c>
      <c r="EM9" s="58">
        <f t="shared" si="106"/>
        <v>1</v>
      </c>
      <c r="EN9" s="58">
        <f t="shared" si="107"/>
        <v>7</v>
      </c>
      <c r="EO9" s="58">
        <f t="shared" si="108"/>
        <v>3</v>
      </c>
      <c r="EP9" s="58">
        <f t="shared" si="109"/>
        <v>112</v>
      </c>
      <c r="EQ9" s="58">
        <f t="shared" si="110"/>
        <v>7</v>
      </c>
      <c r="ER9" s="67">
        <f t="shared" si="72"/>
        <v>16.7</v>
      </c>
      <c r="ES9" s="67">
        <f t="shared" si="73"/>
        <v>9.7560975609756095</v>
      </c>
      <c r="EV9" s="42">
        <v>168</v>
      </c>
      <c r="EW9" s="128">
        <f t="shared" si="41"/>
        <v>0</v>
      </c>
      <c r="EX9" s="128">
        <f t="shared" si="42"/>
        <v>0</v>
      </c>
      <c r="EY9" s="128">
        <f t="shared" si="43"/>
        <v>0</v>
      </c>
      <c r="EZ9" s="128">
        <f t="shared" si="44"/>
        <v>0</v>
      </c>
      <c r="FA9" s="128">
        <f t="shared" si="45"/>
        <v>0</v>
      </c>
      <c r="FB9" s="128">
        <f t="shared" si="46"/>
        <v>0</v>
      </c>
      <c r="FC9" s="128">
        <f t="shared" si="47"/>
        <v>0</v>
      </c>
      <c r="FD9" s="128">
        <f t="shared" si="48"/>
        <v>0</v>
      </c>
      <c r="FE9" s="128">
        <f t="shared" si="49"/>
        <v>0</v>
      </c>
      <c r="FF9" s="128">
        <f t="shared" si="50"/>
        <v>0</v>
      </c>
      <c r="FG9" s="128">
        <f t="shared" si="51"/>
        <v>0</v>
      </c>
      <c r="FH9" s="128">
        <f t="shared" si="52"/>
        <v>0</v>
      </c>
      <c r="FI9" s="128">
        <f t="shared" si="53"/>
        <v>0</v>
      </c>
      <c r="FJ9" s="128">
        <f t="shared" si="54"/>
        <v>0</v>
      </c>
      <c r="FK9" s="128">
        <f t="shared" si="55"/>
        <v>0</v>
      </c>
      <c r="FL9" s="128">
        <f t="shared" si="56"/>
        <v>0</v>
      </c>
      <c r="FM9" s="128">
        <f t="shared" si="57"/>
        <v>1.7535655833528173E-4</v>
      </c>
      <c r="FN9" s="128">
        <f t="shared" si="58"/>
        <v>6.4085447263017355E-4</v>
      </c>
      <c r="FO9" s="128">
        <f t="shared" si="59"/>
        <v>0</v>
      </c>
      <c r="FP9" s="128"/>
      <c r="FQ9" s="128">
        <f t="shared" si="74"/>
        <v>0</v>
      </c>
      <c r="FR9" s="128">
        <f t="shared" si="75"/>
        <v>3.3921302578018993E-4</v>
      </c>
      <c r="FS9" s="128">
        <f t="shared" si="76"/>
        <v>4.6435400163889647E-3</v>
      </c>
      <c r="FT9" s="128">
        <f t="shared" si="77"/>
        <v>1.4211404514630267E-3</v>
      </c>
      <c r="FU9" s="128">
        <f t="shared" si="78"/>
        <v>1.4314547875005369E-4</v>
      </c>
      <c r="FV9" s="128">
        <f t="shared" si="79"/>
        <v>1.375747900686576E-3</v>
      </c>
      <c r="FW9" s="128">
        <f t="shared" si="80"/>
        <v>7.6282305556403136E-5</v>
      </c>
      <c r="FX9" s="128">
        <f t="shared" si="81"/>
        <v>0</v>
      </c>
      <c r="FY9" s="128">
        <f t="shared" si="82"/>
        <v>0</v>
      </c>
      <c r="FZ9" s="128">
        <f t="shared" si="83"/>
        <v>9.9790440075840737E-5</v>
      </c>
      <c r="GA9" s="128">
        <f t="shared" si="84"/>
        <v>0</v>
      </c>
      <c r="GB9" s="128">
        <f t="shared" si="85"/>
        <v>0</v>
      </c>
      <c r="GC9" s="128">
        <f t="shared" si="86"/>
        <v>0</v>
      </c>
      <c r="GD9" s="128">
        <f t="shared" si="87"/>
        <v>0</v>
      </c>
      <c r="GE9" s="128">
        <f t="shared" si="88"/>
        <v>8.4789577086133807E-4</v>
      </c>
      <c r="GF9" s="128">
        <f t="shared" si="89"/>
        <v>0</v>
      </c>
      <c r="GG9" s="128">
        <f t="shared" si="90"/>
        <v>0</v>
      </c>
      <c r="GH9" s="128">
        <f t="shared" si="91"/>
        <v>1.7735999645280008E-4</v>
      </c>
      <c r="GI9" s="128">
        <f t="shared" si="92"/>
        <v>0</v>
      </c>
      <c r="GJ9" s="128">
        <f t="shared" si="93"/>
        <v>0</v>
      </c>
      <c r="GK9" s="128">
        <f t="shared" si="94"/>
        <v>5.5831895239062028E-4</v>
      </c>
      <c r="GL9" s="128">
        <f t="shared" si="95"/>
        <v>2.4219525781685195E-5</v>
      </c>
      <c r="GM9" s="128">
        <f t="shared" si="96"/>
        <v>1.1665888940737284E-4</v>
      </c>
      <c r="GN9" s="128">
        <f t="shared" si="97"/>
        <v>3.4971148802238151E-5</v>
      </c>
      <c r="GO9" s="128">
        <f t="shared" si="98"/>
        <v>7.3008878401105567E-4</v>
      </c>
      <c r="GP9" s="128">
        <f t="shared" si="99"/>
        <v>3.3285307389813748E-5</v>
      </c>
      <c r="GQ9" s="129">
        <f t="shared" si="100"/>
        <v>1.674902604235586E-4</v>
      </c>
      <c r="GR9" s="129">
        <f t="shared" si="101"/>
        <v>2.7897241523813256E-4</v>
      </c>
    </row>
    <row r="10" spans="1:200" x14ac:dyDescent="0.25">
      <c r="A10" s="42">
        <v>169</v>
      </c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>
        <v>0</v>
      </c>
      <c r="Q10" s="81">
        <v>6</v>
      </c>
      <c r="R10" s="81">
        <v>2</v>
      </c>
      <c r="S10" s="81">
        <v>4</v>
      </c>
      <c r="T10" s="81"/>
      <c r="V10" s="81"/>
      <c r="W10" s="81">
        <v>2</v>
      </c>
      <c r="X10" s="81">
        <v>3</v>
      </c>
      <c r="Y10" s="81">
        <v>21</v>
      </c>
      <c r="Z10" s="81">
        <v>2</v>
      </c>
      <c r="AA10" s="81">
        <v>22</v>
      </c>
      <c r="AB10" s="81">
        <v>0</v>
      </c>
      <c r="AC10" s="81"/>
      <c r="AD10" s="81"/>
      <c r="AE10" s="81">
        <v>7</v>
      </c>
      <c r="AF10" s="97"/>
      <c r="AG10" s="97"/>
      <c r="AH10" s="97"/>
      <c r="AI10" s="83"/>
      <c r="AJ10" s="83">
        <v>33</v>
      </c>
      <c r="AK10" s="83"/>
      <c r="AL10" s="81">
        <v>0</v>
      </c>
      <c r="AM10" s="99">
        <v>3</v>
      </c>
      <c r="AN10" s="81"/>
      <c r="AO10" s="100"/>
      <c r="AP10" s="81">
        <v>57</v>
      </c>
      <c r="AQ10" s="81">
        <v>1</v>
      </c>
      <c r="AR10" s="81">
        <v>1</v>
      </c>
      <c r="AS10" s="81">
        <v>0</v>
      </c>
      <c r="AT10" s="81">
        <v>160</v>
      </c>
      <c r="AU10" s="81">
        <v>3</v>
      </c>
      <c r="AV10" s="71">
        <f t="shared" si="113"/>
        <v>28.125</v>
      </c>
      <c r="AW10" s="71">
        <f t="shared" si="111"/>
        <v>51.982142857142861</v>
      </c>
      <c r="AY10" s="42">
        <v>169</v>
      </c>
      <c r="AZ10" s="48">
        <f t="shared" si="0"/>
        <v>0</v>
      </c>
      <c r="BA10" s="48">
        <f t="shared" si="1"/>
        <v>0</v>
      </c>
      <c r="BB10" s="48">
        <f t="shared" si="2"/>
        <v>0</v>
      </c>
      <c r="BC10" s="48">
        <f t="shared" si="3"/>
        <v>0</v>
      </c>
      <c r="BD10" s="48">
        <f t="shared" si="4"/>
        <v>0</v>
      </c>
      <c r="BE10" s="48">
        <f t="shared" si="5"/>
        <v>0</v>
      </c>
      <c r="BF10" s="48">
        <f t="shared" si="6"/>
        <v>0</v>
      </c>
      <c r="BG10" s="48">
        <f t="shared" si="7"/>
        <v>0</v>
      </c>
      <c r="BH10" s="48">
        <f t="shared" si="8"/>
        <v>0</v>
      </c>
      <c r="BI10" s="48">
        <f t="shared" si="9"/>
        <v>0</v>
      </c>
      <c r="BJ10" s="48">
        <f t="shared" si="10"/>
        <v>0</v>
      </c>
      <c r="BK10" s="48">
        <f t="shared" si="11"/>
        <v>0</v>
      </c>
      <c r="BL10" s="48">
        <f t="shared" si="12"/>
        <v>0</v>
      </c>
      <c r="BM10" s="48">
        <f t="shared" si="13"/>
        <v>0</v>
      </c>
      <c r="BN10" s="48">
        <f t="shared" si="14"/>
        <v>0</v>
      </c>
      <c r="BO10" s="48">
        <f t="shared" si="15"/>
        <v>1.5299877600979191E-4</v>
      </c>
      <c r="BP10" s="48">
        <f t="shared" si="16"/>
        <v>5.8452186111760581E-5</v>
      </c>
      <c r="BQ10" s="48">
        <f t="shared" si="17"/>
        <v>2.136181575433912E-4</v>
      </c>
      <c r="BR10" s="48">
        <f t="shared" si="18"/>
        <v>0</v>
      </c>
      <c r="BS10" s="48"/>
      <c r="BT10" s="48">
        <f t="shared" si="19"/>
        <v>0</v>
      </c>
      <c r="BU10" s="48">
        <f t="shared" si="20"/>
        <v>6.7842605156037987E-4</v>
      </c>
      <c r="BV10" s="48">
        <f t="shared" si="21"/>
        <v>8.1944823818628793E-4</v>
      </c>
      <c r="BW10" s="48">
        <f t="shared" si="22"/>
        <v>8.7776322002128119E-4</v>
      </c>
      <c r="BX10" s="48">
        <f t="shared" si="23"/>
        <v>2.8629095750010737E-5</v>
      </c>
      <c r="BY10" s="48">
        <f t="shared" si="24"/>
        <v>2.8553258316136486E-4</v>
      </c>
      <c r="BZ10" s="48">
        <f t="shared" si="25"/>
        <v>0</v>
      </c>
      <c r="CA10" s="48">
        <f t="shared" si="26"/>
        <v>0</v>
      </c>
      <c r="CB10" s="48">
        <f t="shared" si="27"/>
        <v>0</v>
      </c>
      <c r="CC10" s="48">
        <f t="shared" si="28"/>
        <v>6.9853308053088512E-4</v>
      </c>
      <c r="CD10" s="48">
        <f t="shared" si="29"/>
        <v>0</v>
      </c>
      <c r="CE10" s="48">
        <f t="shared" si="30"/>
        <v>0</v>
      </c>
      <c r="CF10" s="48">
        <f t="shared" si="31"/>
        <v>0</v>
      </c>
      <c r="CG10" s="48">
        <f t="shared" si="32"/>
        <v>0</v>
      </c>
      <c r="CH10" s="48">
        <f t="shared" si="33"/>
        <v>6.824526936201013E-4</v>
      </c>
      <c r="CI10" s="48">
        <f t="shared" si="34"/>
        <v>0</v>
      </c>
      <c r="CJ10" s="48">
        <f t="shared" si="35"/>
        <v>0</v>
      </c>
      <c r="CK10" s="48">
        <f t="shared" si="36"/>
        <v>1.3301999733960005E-4</v>
      </c>
      <c r="CL10" s="48">
        <f t="shared" si="37"/>
        <v>0</v>
      </c>
      <c r="CM10" s="48">
        <f t="shared" si="61"/>
        <v>0</v>
      </c>
      <c r="CN10" s="48">
        <f t="shared" si="62"/>
        <v>9.6436909958379864E-4</v>
      </c>
      <c r="CO10" s="48">
        <f t="shared" si="63"/>
        <v>2.4219525781685195E-5</v>
      </c>
      <c r="CP10" s="48">
        <f t="shared" si="64"/>
        <v>1.6665555629624691E-5</v>
      </c>
      <c r="CQ10" s="48">
        <f t="shared" si="112"/>
        <v>0</v>
      </c>
      <c r="CR10" s="48">
        <f t="shared" si="65"/>
        <v>1.0429839771586508E-3</v>
      </c>
      <c r="CS10" s="48">
        <f t="shared" si="66"/>
        <v>1.4265131738491606E-5</v>
      </c>
      <c r="CT10" s="68">
        <f t="shared" si="67"/>
        <v>3.8704258914674364E-4</v>
      </c>
      <c r="CU10" s="68">
        <f t="shared" si="68"/>
        <v>4.4217674132903762E-4</v>
      </c>
      <c r="CW10" s="42">
        <v>169</v>
      </c>
      <c r="CX10" s="58">
        <f t="shared" si="69"/>
        <v>0</v>
      </c>
      <c r="CY10" s="58">
        <f t="shared" si="69"/>
        <v>0</v>
      </c>
      <c r="CZ10" s="58">
        <f t="shared" si="69"/>
        <v>0</v>
      </c>
      <c r="DA10" s="58">
        <f t="shared" si="69"/>
        <v>0</v>
      </c>
      <c r="DB10" s="58">
        <f t="shared" si="69"/>
        <v>0</v>
      </c>
      <c r="DC10" s="58">
        <f t="shared" si="69"/>
        <v>0</v>
      </c>
      <c r="DD10" s="58">
        <f t="shared" si="69"/>
        <v>0</v>
      </c>
      <c r="DE10" s="58">
        <f t="shared" si="69"/>
        <v>0</v>
      </c>
      <c r="DF10" s="58">
        <f t="shared" si="69"/>
        <v>0</v>
      </c>
      <c r="DG10" s="58">
        <f t="shared" si="69"/>
        <v>0</v>
      </c>
      <c r="DH10" s="58">
        <f t="shared" si="70"/>
        <v>0</v>
      </c>
      <c r="DI10" s="58">
        <f t="shared" si="70"/>
        <v>0</v>
      </c>
      <c r="DJ10" s="58">
        <f t="shared" si="70"/>
        <v>0</v>
      </c>
      <c r="DK10" s="58">
        <f t="shared" si="70"/>
        <v>0</v>
      </c>
      <c r="DL10" s="58">
        <f t="shared" si="70"/>
        <v>0</v>
      </c>
      <c r="DM10" s="58">
        <f t="shared" si="70"/>
        <v>6</v>
      </c>
      <c r="DN10" s="58">
        <f t="shared" si="70"/>
        <v>8</v>
      </c>
      <c r="DO10" s="58">
        <f t="shared" si="70"/>
        <v>16</v>
      </c>
      <c r="DP10" s="58">
        <f t="shared" si="70"/>
        <v>0</v>
      </c>
      <c r="DQ10" s="58"/>
      <c r="DR10" s="58">
        <f t="shared" si="103"/>
        <v>0</v>
      </c>
      <c r="DS10" s="58">
        <f t="shared" si="103"/>
        <v>3</v>
      </c>
      <c r="DT10" s="58">
        <f t="shared" si="103"/>
        <v>20</v>
      </c>
      <c r="DU10" s="58">
        <f t="shared" si="103"/>
        <v>55</v>
      </c>
      <c r="DV10" s="58">
        <f t="shared" si="103"/>
        <v>12</v>
      </c>
      <c r="DW10" s="58">
        <f t="shared" si="103"/>
        <v>128</v>
      </c>
      <c r="DX10" s="58">
        <f t="shared" si="103"/>
        <v>5</v>
      </c>
      <c r="DY10" s="58">
        <f t="shared" si="103"/>
        <v>0</v>
      </c>
      <c r="DZ10" s="58">
        <f t="shared" si="103"/>
        <v>0</v>
      </c>
      <c r="EA10" s="58">
        <f t="shared" si="103"/>
        <v>8</v>
      </c>
      <c r="EB10" s="58">
        <f t="shared" si="104"/>
        <v>0</v>
      </c>
      <c r="EC10" s="58">
        <f t="shared" si="104"/>
        <v>0</v>
      </c>
      <c r="ED10" s="58">
        <f t="shared" si="104"/>
        <v>0</v>
      </c>
      <c r="EE10" s="58">
        <f t="shared" si="104"/>
        <v>0</v>
      </c>
      <c r="EF10" s="58">
        <f t="shared" si="104"/>
        <v>74</v>
      </c>
      <c r="EG10" s="58">
        <f t="shared" si="104"/>
        <v>0</v>
      </c>
      <c r="EH10" s="58">
        <f t="shared" si="104"/>
        <v>0</v>
      </c>
      <c r="EI10" s="58">
        <f t="shared" si="104"/>
        <v>7</v>
      </c>
      <c r="EJ10" s="58">
        <f t="shared" si="104"/>
        <v>0</v>
      </c>
      <c r="EK10" s="58">
        <f t="shared" si="104"/>
        <v>0</v>
      </c>
      <c r="EL10" s="58">
        <f t="shared" si="105"/>
        <v>90</v>
      </c>
      <c r="EM10" s="58">
        <f t="shared" si="106"/>
        <v>2</v>
      </c>
      <c r="EN10" s="58">
        <f t="shared" si="107"/>
        <v>8</v>
      </c>
      <c r="EO10" s="58">
        <f t="shared" si="108"/>
        <v>3</v>
      </c>
      <c r="EP10" s="58">
        <f t="shared" si="109"/>
        <v>272</v>
      </c>
      <c r="EQ10" s="58">
        <f t="shared" si="110"/>
        <v>10</v>
      </c>
      <c r="ER10" s="67">
        <f t="shared" si="72"/>
        <v>39.200000000000003</v>
      </c>
      <c r="ES10" s="67">
        <f t="shared" si="73"/>
        <v>17.73170731707317</v>
      </c>
      <c r="EV10" s="42">
        <v>169</v>
      </c>
      <c r="EW10" s="128">
        <f t="shared" si="41"/>
        <v>0</v>
      </c>
      <c r="EX10" s="128">
        <f t="shared" si="42"/>
        <v>0</v>
      </c>
      <c r="EY10" s="128">
        <f t="shared" si="43"/>
        <v>0</v>
      </c>
      <c r="EZ10" s="128">
        <f t="shared" si="44"/>
        <v>0</v>
      </c>
      <c r="FA10" s="128">
        <f t="shared" si="45"/>
        <v>0</v>
      </c>
      <c r="FB10" s="128">
        <f t="shared" si="46"/>
        <v>0</v>
      </c>
      <c r="FC10" s="128">
        <f t="shared" si="47"/>
        <v>0</v>
      </c>
      <c r="FD10" s="128">
        <f t="shared" si="48"/>
        <v>0</v>
      </c>
      <c r="FE10" s="128">
        <f t="shared" si="49"/>
        <v>0</v>
      </c>
      <c r="FF10" s="128">
        <f t="shared" si="50"/>
        <v>0</v>
      </c>
      <c r="FG10" s="128">
        <f t="shared" si="51"/>
        <v>0</v>
      </c>
      <c r="FH10" s="128">
        <f t="shared" si="52"/>
        <v>0</v>
      </c>
      <c r="FI10" s="128">
        <f t="shared" si="53"/>
        <v>0</v>
      </c>
      <c r="FJ10" s="128">
        <f t="shared" si="54"/>
        <v>0</v>
      </c>
      <c r="FK10" s="128">
        <f t="shared" si="55"/>
        <v>0</v>
      </c>
      <c r="FL10" s="128">
        <f t="shared" si="56"/>
        <v>1.5299877600979191E-4</v>
      </c>
      <c r="FM10" s="128">
        <f t="shared" si="57"/>
        <v>2.3380874444704232E-4</v>
      </c>
      <c r="FN10" s="128">
        <f t="shared" si="58"/>
        <v>8.5447263017356481E-4</v>
      </c>
      <c r="FO10" s="128">
        <f t="shared" si="59"/>
        <v>0</v>
      </c>
      <c r="FP10" s="128"/>
      <c r="FQ10" s="128">
        <f t="shared" si="74"/>
        <v>0</v>
      </c>
      <c r="FR10" s="128">
        <f t="shared" si="75"/>
        <v>1.0176390773405698E-3</v>
      </c>
      <c r="FS10" s="128">
        <f t="shared" si="76"/>
        <v>5.4629882545752526E-3</v>
      </c>
      <c r="FT10" s="128">
        <f t="shared" si="77"/>
        <v>2.298903671484308E-3</v>
      </c>
      <c r="FU10" s="128">
        <f t="shared" si="78"/>
        <v>1.7177457450006441E-4</v>
      </c>
      <c r="FV10" s="128">
        <f t="shared" si="79"/>
        <v>1.6612804838479409E-3</v>
      </c>
      <c r="FW10" s="128">
        <f t="shared" si="80"/>
        <v>7.6282305556403136E-5</v>
      </c>
      <c r="FX10" s="128">
        <f t="shared" si="81"/>
        <v>0</v>
      </c>
      <c r="FY10" s="128">
        <f t="shared" si="82"/>
        <v>0</v>
      </c>
      <c r="FZ10" s="128">
        <f t="shared" si="83"/>
        <v>7.9832352060672589E-4</v>
      </c>
      <c r="GA10" s="128">
        <f t="shared" si="84"/>
        <v>0</v>
      </c>
      <c r="GB10" s="128">
        <f t="shared" si="85"/>
        <v>0</v>
      </c>
      <c r="GC10" s="128">
        <f t="shared" si="86"/>
        <v>0</v>
      </c>
      <c r="GD10" s="128">
        <f t="shared" si="87"/>
        <v>0</v>
      </c>
      <c r="GE10" s="128">
        <f t="shared" si="88"/>
        <v>1.5303484644814394E-3</v>
      </c>
      <c r="GF10" s="128">
        <f t="shared" si="89"/>
        <v>0</v>
      </c>
      <c r="GG10" s="128">
        <f t="shared" si="90"/>
        <v>0</v>
      </c>
      <c r="GH10" s="128">
        <f t="shared" si="91"/>
        <v>3.103799937924001E-4</v>
      </c>
      <c r="GI10" s="128">
        <f t="shared" si="92"/>
        <v>0</v>
      </c>
      <c r="GJ10" s="128">
        <f t="shared" si="93"/>
        <v>0</v>
      </c>
      <c r="GK10" s="128">
        <f t="shared" si="94"/>
        <v>1.5226880519744188E-3</v>
      </c>
      <c r="GL10" s="128">
        <f t="shared" si="95"/>
        <v>4.843905156337039E-5</v>
      </c>
      <c r="GM10" s="128">
        <f t="shared" si="96"/>
        <v>1.3332444503699753E-4</v>
      </c>
      <c r="GN10" s="128">
        <f t="shared" si="97"/>
        <v>3.4971148802238151E-5</v>
      </c>
      <c r="GO10" s="128">
        <f t="shared" si="98"/>
        <v>1.7730727611697066E-3</v>
      </c>
      <c r="GP10" s="128">
        <f t="shared" si="99"/>
        <v>4.755043912830535E-5</v>
      </c>
      <c r="GQ10" s="129">
        <f t="shared" si="100"/>
        <v>3.8704258914674375E-4</v>
      </c>
      <c r="GR10" s="129">
        <f t="shared" si="101"/>
        <v>4.4217674132903762E-4</v>
      </c>
    </row>
    <row r="11" spans="1:200" x14ac:dyDescent="0.25">
      <c r="A11" s="42">
        <v>170</v>
      </c>
      <c r="B11" s="81">
        <v>0</v>
      </c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>
        <v>1</v>
      </c>
      <c r="O11" s="81"/>
      <c r="P11" s="81">
        <v>14</v>
      </c>
      <c r="Q11" s="81">
        <v>19</v>
      </c>
      <c r="R11" s="81">
        <v>51</v>
      </c>
      <c r="S11" s="81">
        <v>0</v>
      </c>
      <c r="T11" s="81"/>
      <c r="V11" s="81"/>
      <c r="W11" s="81">
        <v>0</v>
      </c>
      <c r="X11" s="81">
        <v>5</v>
      </c>
      <c r="Y11" s="81">
        <v>60</v>
      </c>
      <c r="Z11" s="81">
        <v>11</v>
      </c>
      <c r="AA11" s="81">
        <v>43</v>
      </c>
      <c r="AB11" s="81">
        <v>0</v>
      </c>
      <c r="AC11" s="81"/>
      <c r="AD11" s="81"/>
      <c r="AE11" s="81">
        <v>12</v>
      </c>
      <c r="AF11" s="97"/>
      <c r="AG11" s="97"/>
      <c r="AH11" s="97"/>
      <c r="AI11" s="83"/>
      <c r="AJ11" s="83">
        <v>220</v>
      </c>
      <c r="AK11" s="83">
        <v>19</v>
      </c>
      <c r="AL11" s="81">
        <v>0</v>
      </c>
      <c r="AM11" s="99">
        <v>9</v>
      </c>
      <c r="AN11" s="81"/>
      <c r="AO11" s="100">
        <v>2</v>
      </c>
      <c r="AP11" s="81">
        <v>74</v>
      </c>
      <c r="AQ11" s="81">
        <v>0</v>
      </c>
      <c r="AR11" s="81">
        <v>22</v>
      </c>
      <c r="AS11" s="81">
        <v>1</v>
      </c>
      <c r="AT11" s="81">
        <v>351</v>
      </c>
      <c r="AU11" s="81">
        <v>325</v>
      </c>
      <c r="AV11" s="71">
        <f t="shared" si="113"/>
        <v>87.111111111111114</v>
      </c>
      <c r="AW11" s="71">
        <f t="shared" si="111"/>
        <v>139.09325396825398</v>
      </c>
      <c r="AY11" s="42">
        <v>170</v>
      </c>
      <c r="AZ11" s="48">
        <f t="shared" si="0"/>
        <v>0</v>
      </c>
      <c r="BA11" s="48">
        <f t="shared" si="1"/>
        <v>0</v>
      </c>
      <c r="BB11" s="48">
        <f t="shared" si="2"/>
        <v>0</v>
      </c>
      <c r="BC11" s="48">
        <f t="shared" si="3"/>
        <v>0</v>
      </c>
      <c r="BD11" s="48">
        <f t="shared" si="4"/>
        <v>0</v>
      </c>
      <c r="BE11" s="48">
        <f t="shared" si="5"/>
        <v>0</v>
      </c>
      <c r="BF11" s="48">
        <f t="shared" si="6"/>
        <v>0</v>
      </c>
      <c r="BG11" s="48">
        <f t="shared" si="7"/>
        <v>0</v>
      </c>
      <c r="BH11" s="48">
        <f t="shared" si="8"/>
        <v>0</v>
      </c>
      <c r="BI11" s="48">
        <f t="shared" si="9"/>
        <v>0</v>
      </c>
      <c r="BJ11" s="48">
        <f t="shared" si="10"/>
        <v>0</v>
      </c>
      <c r="BK11" s="48">
        <f t="shared" si="11"/>
        <v>0</v>
      </c>
      <c r="BL11" s="48">
        <f t="shared" si="12"/>
        <v>2.2202979639867669E-5</v>
      </c>
      <c r="BM11" s="48">
        <f t="shared" si="13"/>
        <v>0</v>
      </c>
      <c r="BN11" s="48">
        <f t="shared" si="14"/>
        <v>5.6664103290565422E-4</v>
      </c>
      <c r="BO11" s="48">
        <f t="shared" si="15"/>
        <v>4.8449612403100775E-4</v>
      </c>
      <c r="BP11" s="48">
        <f t="shared" si="16"/>
        <v>1.4905307458498948E-3</v>
      </c>
      <c r="BQ11" s="48">
        <f t="shared" si="17"/>
        <v>0</v>
      </c>
      <c r="BR11" s="48">
        <f t="shared" si="18"/>
        <v>0</v>
      </c>
      <c r="BS11" s="48"/>
      <c r="BT11" s="48">
        <f t="shared" si="19"/>
        <v>0</v>
      </c>
      <c r="BU11" s="48">
        <f t="shared" si="20"/>
        <v>0</v>
      </c>
      <c r="BV11" s="48">
        <f t="shared" si="21"/>
        <v>1.3657470636438131E-3</v>
      </c>
      <c r="BW11" s="48">
        <f t="shared" si="22"/>
        <v>2.5078949143465174E-3</v>
      </c>
      <c r="BX11" s="48">
        <f t="shared" si="23"/>
        <v>1.5746002662505904E-4</v>
      </c>
      <c r="BY11" s="48">
        <f t="shared" si="24"/>
        <v>5.5808641254266763E-4</v>
      </c>
      <c r="BZ11" s="48">
        <f t="shared" si="25"/>
        <v>0</v>
      </c>
      <c r="CA11" s="48">
        <f t="shared" si="26"/>
        <v>0</v>
      </c>
      <c r="CB11" s="48">
        <f t="shared" si="27"/>
        <v>0</v>
      </c>
      <c r="CC11" s="48">
        <f t="shared" si="28"/>
        <v>1.1974852809100889E-3</v>
      </c>
      <c r="CD11" s="48">
        <f t="shared" si="29"/>
        <v>0</v>
      </c>
      <c r="CE11" s="48">
        <f t="shared" si="30"/>
        <v>0</v>
      </c>
      <c r="CF11" s="48">
        <f t="shared" si="31"/>
        <v>0</v>
      </c>
      <c r="CG11" s="48">
        <f t="shared" si="32"/>
        <v>0</v>
      </c>
      <c r="CH11" s="48">
        <f t="shared" si="33"/>
        <v>4.5496846241340093E-3</v>
      </c>
      <c r="CI11" s="48">
        <f t="shared" si="34"/>
        <v>9.7508857545842954E-4</v>
      </c>
      <c r="CJ11" s="48">
        <f t="shared" si="35"/>
        <v>0</v>
      </c>
      <c r="CK11" s="48">
        <f t="shared" si="36"/>
        <v>3.9905999201880017E-4</v>
      </c>
      <c r="CL11" s="48">
        <f t="shared" si="37"/>
        <v>0</v>
      </c>
      <c r="CM11" s="48">
        <f t="shared" si="61"/>
        <v>2.7620875857973455E-5</v>
      </c>
      <c r="CN11" s="48">
        <f t="shared" si="62"/>
        <v>1.2519879538456333E-3</v>
      </c>
      <c r="CO11" s="48">
        <f t="shared" si="63"/>
        <v>0</v>
      </c>
      <c r="CP11" s="48">
        <f t="shared" si="64"/>
        <v>3.6664222385174322E-4</v>
      </c>
      <c r="CQ11" s="48">
        <f t="shared" si="112"/>
        <v>1.165704960074605E-5</v>
      </c>
      <c r="CR11" s="48">
        <f t="shared" si="65"/>
        <v>2.2880460998917903E-3</v>
      </c>
      <c r="CS11" s="48">
        <f t="shared" si="66"/>
        <v>1.5453892716699238E-3</v>
      </c>
      <c r="CT11" s="68">
        <f t="shared" si="67"/>
        <v>9.7608293582040464E-4</v>
      </c>
      <c r="CU11" s="68">
        <f t="shared" si="68"/>
        <v>9.24267503446687E-4</v>
      </c>
      <c r="CW11" s="42">
        <v>170</v>
      </c>
      <c r="CX11" s="58">
        <f t="shared" si="69"/>
        <v>0</v>
      </c>
      <c r="CY11" s="58">
        <f t="shared" si="69"/>
        <v>0</v>
      </c>
      <c r="CZ11" s="58">
        <f t="shared" si="69"/>
        <v>0</v>
      </c>
      <c r="DA11" s="58">
        <f t="shared" si="69"/>
        <v>0</v>
      </c>
      <c r="DB11" s="58">
        <f t="shared" si="69"/>
        <v>0</v>
      </c>
      <c r="DC11" s="58">
        <f t="shared" si="69"/>
        <v>0</v>
      </c>
      <c r="DD11" s="58">
        <f t="shared" si="69"/>
        <v>0</v>
      </c>
      <c r="DE11" s="58">
        <f t="shared" si="69"/>
        <v>0</v>
      </c>
      <c r="DF11" s="58">
        <f t="shared" si="69"/>
        <v>0</v>
      </c>
      <c r="DG11" s="58">
        <f t="shared" si="69"/>
        <v>0</v>
      </c>
      <c r="DH11" s="58">
        <f t="shared" si="70"/>
        <v>0</v>
      </c>
      <c r="DI11" s="58">
        <f t="shared" si="70"/>
        <v>0</v>
      </c>
      <c r="DJ11" s="58">
        <f t="shared" si="70"/>
        <v>1</v>
      </c>
      <c r="DK11" s="58">
        <f t="shared" si="70"/>
        <v>0</v>
      </c>
      <c r="DL11" s="58">
        <f t="shared" si="70"/>
        <v>14</v>
      </c>
      <c r="DM11" s="58">
        <f t="shared" si="70"/>
        <v>25</v>
      </c>
      <c r="DN11" s="58">
        <f t="shared" si="70"/>
        <v>59</v>
      </c>
      <c r="DO11" s="58">
        <f t="shared" si="70"/>
        <v>16</v>
      </c>
      <c r="DP11" s="58">
        <f t="shared" si="70"/>
        <v>0</v>
      </c>
      <c r="DQ11" s="58"/>
      <c r="DR11" s="58">
        <f t="shared" si="103"/>
        <v>0</v>
      </c>
      <c r="DS11" s="58">
        <f t="shared" si="103"/>
        <v>3</v>
      </c>
      <c r="DT11" s="58">
        <f t="shared" si="103"/>
        <v>25</v>
      </c>
      <c r="DU11" s="58">
        <f t="shared" si="103"/>
        <v>115</v>
      </c>
      <c r="DV11" s="58">
        <f t="shared" si="103"/>
        <v>23</v>
      </c>
      <c r="DW11" s="58">
        <f t="shared" si="103"/>
        <v>171</v>
      </c>
      <c r="DX11" s="58">
        <f t="shared" si="103"/>
        <v>5</v>
      </c>
      <c r="DY11" s="58">
        <f t="shared" si="103"/>
        <v>0</v>
      </c>
      <c r="DZ11" s="58">
        <f t="shared" si="103"/>
        <v>0</v>
      </c>
      <c r="EA11" s="58">
        <f t="shared" si="103"/>
        <v>20</v>
      </c>
      <c r="EB11" s="58">
        <f t="shared" si="104"/>
        <v>0</v>
      </c>
      <c r="EC11" s="58">
        <f t="shared" si="104"/>
        <v>0</v>
      </c>
      <c r="ED11" s="58">
        <f t="shared" si="104"/>
        <v>0</v>
      </c>
      <c r="EE11" s="58">
        <f t="shared" si="104"/>
        <v>0</v>
      </c>
      <c r="EF11" s="58">
        <f t="shared" si="104"/>
        <v>294</v>
      </c>
      <c r="EG11" s="58">
        <f t="shared" si="104"/>
        <v>19</v>
      </c>
      <c r="EH11" s="58">
        <f t="shared" si="104"/>
        <v>0</v>
      </c>
      <c r="EI11" s="58">
        <f t="shared" si="104"/>
        <v>16</v>
      </c>
      <c r="EJ11" s="58">
        <f t="shared" si="104"/>
        <v>0</v>
      </c>
      <c r="EK11" s="58">
        <f t="shared" si="104"/>
        <v>2</v>
      </c>
      <c r="EL11" s="58">
        <f t="shared" si="105"/>
        <v>164</v>
      </c>
      <c r="EM11" s="58">
        <f t="shared" si="106"/>
        <v>2</v>
      </c>
      <c r="EN11" s="58">
        <f t="shared" si="107"/>
        <v>30</v>
      </c>
      <c r="EO11" s="58">
        <f t="shared" si="108"/>
        <v>4</v>
      </c>
      <c r="EP11" s="58">
        <f t="shared" si="109"/>
        <v>623</v>
      </c>
      <c r="EQ11" s="58">
        <f t="shared" si="110"/>
        <v>335</v>
      </c>
      <c r="ER11" s="67">
        <f t="shared" si="72"/>
        <v>117.6</v>
      </c>
      <c r="ES11" s="67">
        <f t="shared" si="73"/>
        <v>47.951219512195124</v>
      </c>
      <c r="EV11" s="42">
        <v>170</v>
      </c>
      <c r="EW11" s="128">
        <f t="shared" si="41"/>
        <v>0</v>
      </c>
      <c r="EX11" s="128">
        <f t="shared" si="42"/>
        <v>0</v>
      </c>
      <c r="EY11" s="128">
        <f t="shared" si="43"/>
        <v>0</v>
      </c>
      <c r="EZ11" s="128">
        <f t="shared" si="44"/>
        <v>0</v>
      </c>
      <c r="FA11" s="128">
        <f t="shared" si="45"/>
        <v>0</v>
      </c>
      <c r="FB11" s="128">
        <f t="shared" si="46"/>
        <v>0</v>
      </c>
      <c r="FC11" s="128">
        <f t="shared" si="47"/>
        <v>0</v>
      </c>
      <c r="FD11" s="128">
        <f t="shared" si="48"/>
        <v>0</v>
      </c>
      <c r="FE11" s="128">
        <f t="shared" si="49"/>
        <v>0</v>
      </c>
      <c r="FF11" s="128">
        <f t="shared" si="50"/>
        <v>0</v>
      </c>
      <c r="FG11" s="128">
        <f t="shared" si="51"/>
        <v>0</v>
      </c>
      <c r="FH11" s="128">
        <f t="shared" si="52"/>
        <v>0</v>
      </c>
      <c r="FI11" s="128">
        <f t="shared" si="53"/>
        <v>2.2202979639867669E-5</v>
      </c>
      <c r="FJ11" s="128">
        <f t="shared" si="54"/>
        <v>0</v>
      </c>
      <c r="FK11" s="128">
        <f t="shared" si="55"/>
        <v>5.6664103290565422E-4</v>
      </c>
      <c r="FL11" s="128">
        <f t="shared" si="56"/>
        <v>6.3749490004079965E-4</v>
      </c>
      <c r="FM11" s="128">
        <f t="shared" si="57"/>
        <v>1.724339490296937E-3</v>
      </c>
      <c r="FN11" s="128">
        <f t="shared" si="58"/>
        <v>8.5447263017356481E-4</v>
      </c>
      <c r="FO11" s="128">
        <f t="shared" si="59"/>
        <v>0</v>
      </c>
      <c r="FP11" s="128"/>
      <c r="FQ11" s="128">
        <f t="shared" si="74"/>
        <v>0</v>
      </c>
      <c r="FR11" s="128">
        <f t="shared" si="75"/>
        <v>1.0176390773405698E-3</v>
      </c>
      <c r="FS11" s="128">
        <f t="shared" si="76"/>
        <v>6.8287353182190655E-3</v>
      </c>
      <c r="FT11" s="128">
        <f t="shared" si="77"/>
        <v>4.8067985858308258E-3</v>
      </c>
      <c r="FU11" s="128">
        <f t="shared" si="78"/>
        <v>3.2923460112512345E-4</v>
      </c>
      <c r="FV11" s="128">
        <f t="shared" si="79"/>
        <v>2.2193668963906084E-3</v>
      </c>
      <c r="FW11" s="128">
        <f t="shared" si="80"/>
        <v>7.6282305556403136E-5</v>
      </c>
      <c r="FX11" s="128">
        <f t="shared" si="81"/>
        <v>0</v>
      </c>
      <c r="FY11" s="128">
        <f t="shared" si="82"/>
        <v>0</v>
      </c>
      <c r="FZ11" s="128">
        <f t="shared" si="83"/>
        <v>1.9958088015168147E-3</v>
      </c>
      <c r="GA11" s="128">
        <f t="shared" si="84"/>
        <v>0</v>
      </c>
      <c r="GB11" s="128">
        <f t="shared" si="85"/>
        <v>0</v>
      </c>
      <c r="GC11" s="128">
        <f t="shared" si="86"/>
        <v>0</v>
      </c>
      <c r="GD11" s="128">
        <f t="shared" si="87"/>
        <v>0</v>
      </c>
      <c r="GE11" s="128">
        <f t="shared" si="88"/>
        <v>6.0800330886154486E-3</v>
      </c>
      <c r="GF11" s="128">
        <f t="shared" si="89"/>
        <v>9.7508857545842954E-4</v>
      </c>
      <c r="GG11" s="128">
        <f t="shared" si="90"/>
        <v>0</v>
      </c>
      <c r="GH11" s="128">
        <f t="shared" si="91"/>
        <v>7.0943998581120033E-4</v>
      </c>
      <c r="GI11" s="128">
        <f t="shared" si="92"/>
        <v>0</v>
      </c>
      <c r="GJ11" s="128">
        <f t="shared" si="93"/>
        <v>2.7620875857973455E-5</v>
      </c>
      <c r="GK11" s="128">
        <f t="shared" si="94"/>
        <v>2.7746760058200521E-3</v>
      </c>
      <c r="GL11" s="128">
        <f t="shared" si="95"/>
        <v>4.843905156337039E-5</v>
      </c>
      <c r="GM11" s="128">
        <f t="shared" si="96"/>
        <v>4.9996666888874075E-4</v>
      </c>
      <c r="GN11" s="128">
        <f t="shared" si="97"/>
        <v>4.6628198402984202E-5</v>
      </c>
      <c r="GO11" s="128">
        <f t="shared" si="98"/>
        <v>4.0611188610614971E-3</v>
      </c>
      <c r="GP11" s="128">
        <f t="shared" si="99"/>
        <v>1.5929397107982291E-3</v>
      </c>
      <c r="GQ11" s="129">
        <f t="shared" si="100"/>
        <v>9.7608293582040464E-4</v>
      </c>
      <c r="GR11" s="129">
        <f t="shared" si="101"/>
        <v>9.2426750344668635E-4</v>
      </c>
    </row>
    <row r="12" spans="1:200" x14ac:dyDescent="0.25">
      <c r="A12" s="42">
        <v>171</v>
      </c>
      <c r="B12" s="81">
        <v>0</v>
      </c>
      <c r="C12" s="81"/>
      <c r="D12" s="81"/>
      <c r="E12" s="81"/>
      <c r="F12" s="81"/>
      <c r="G12" s="81"/>
      <c r="H12" s="81"/>
      <c r="I12" s="81"/>
      <c r="J12" s="81"/>
      <c r="K12" s="81"/>
      <c r="L12" s="81">
        <v>4</v>
      </c>
      <c r="M12" s="81"/>
      <c r="N12" s="81">
        <v>0</v>
      </c>
      <c r="O12" s="81">
        <v>0</v>
      </c>
      <c r="P12" s="81">
        <v>0</v>
      </c>
      <c r="Q12" s="81">
        <v>20</v>
      </c>
      <c r="R12" s="81">
        <v>27</v>
      </c>
      <c r="S12" s="81">
        <v>12</v>
      </c>
      <c r="T12" s="81"/>
      <c r="V12" s="81"/>
      <c r="W12" s="81">
        <v>4</v>
      </c>
      <c r="X12" s="81">
        <v>10</v>
      </c>
      <c r="Y12" s="81">
        <v>76</v>
      </c>
      <c r="Z12" s="81">
        <v>0</v>
      </c>
      <c r="AA12" s="81">
        <v>23</v>
      </c>
      <c r="AB12" s="81">
        <v>3</v>
      </c>
      <c r="AC12" s="81"/>
      <c r="AD12" s="81">
        <v>86</v>
      </c>
      <c r="AE12" s="81">
        <v>5</v>
      </c>
      <c r="AF12" s="84">
        <v>0</v>
      </c>
      <c r="AG12" s="84"/>
      <c r="AH12" s="84">
        <v>0</v>
      </c>
      <c r="AI12" s="83">
        <v>0</v>
      </c>
      <c r="AJ12" s="83">
        <v>276</v>
      </c>
      <c r="AK12" s="83">
        <v>4</v>
      </c>
      <c r="AL12" s="81">
        <v>1</v>
      </c>
      <c r="AM12" s="90">
        <v>8</v>
      </c>
      <c r="AN12" s="101">
        <v>3</v>
      </c>
      <c r="AO12" s="101">
        <v>42</v>
      </c>
      <c r="AP12" s="81">
        <v>88</v>
      </c>
      <c r="AQ12" s="81">
        <v>0</v>
      </c>
      <c r="AR12" s="81">
        <v>11</v>
      </c>
      <c r="AS12" s="81">
        <v>52</v>
      </c>
      <c r="AT12" s="81">
        <v>20</v>
      </c>
      <c r="AU12" s="81">
        <v>1419</v>
      </c>
      <c r="AV12" s="71">
        <f t="shared" si="113"/>
        <v>164.4</v>
      </c>
      <c r="AW12" s="71">
        <f t="shared" si="111"/>
        <v>303.49325396825395</v>
      </c>
      <c r="AY12" s="42">
        <v>171</v>
      </c>
      <c r="AZ12" s="48">
        <f t="shared" si="0"/>
        <v>0</v>
      </c>
      <c r="BA12" s="48">
        <f t="shared" si="1"/>
        <v>0</v>
      </c>
      <c r="BB12" s="48">
        <f t="shared" si="2"/>
        <v>0</v>
      </c>
      <c r="BC12" s="48">
        <f t="shared" si="3"/>
        <v>0</v>
      </c>
      <c r="BD12" s="48">
        <f t="shared" si="4"/>
        <v>0</v>
      </c>
      <c r="BE12" s="48">
        <f t="shared" si="5"/>
        <v>0</v>
      </c>
      <c r="BF12" s="48">
        <f t="shared" si="6"/>
        <v>0</v>
      </c>
      <c r="BG12" s="48">
        <f t="shared" si="7"/>
        <v>0</v>
      </c>
      <c r="BH12" s="48">
        <f t="shared" si="8"/>
        <v>0</v>
      </c>
      <c r="BI12" s="48">
        <f t="shared" si="9"/>
        <v>0</v>
      </c>
      <c r="BJ12" s="48">
        <f t="shared" si="10"/>
        <v>1.3952352715476647E-4</v>
      </c>
      <c r="BK12" s="48">
        <f t="shared" si="11"/>
        <v>0</v>
      </c>
      <c r="BL12" s="48">
        <f t="shared" si="12"/>
        <v>0</v>
      </c>
      <c r="BM12" s="48">
        <f t="shared" si="13"/>
        <v>0</v>
      </c>
      <c r="BN12" s="48">
        <f t="shared" si="14"/>
        <v>0</v>
      </c>
      <c r="BO12" s="48">
        <f t="shared" si="15"/>
        <v>5.0999592003263977E-4</v>
      </c>
      <c r="BP12" s="48">
        <f t="shared" si="16"/>
        <v>7.8910451250876785E-4</v>
      </c>
      <c r="BQ12" s="48">
        <f t="shared" si="17"/>
        <v>6.4085447263017355E-4</v>
      </c>
      <c r="BR12" s="48">
        <f t="shared" si="18"/>
        <v>0</v>
      </c>
      <c r="BS12" s="48"/>
      <c r="BT12" s="48">
        <f t="shared" si="19"/>
        <v>0</v>
      </c>
      <c r="BU12" s="48">
        <f t="shared" si="20"/>
        <v>1.3568521031207597E-3</v>
      </c>
      <c r="BV12" s="48">
        <f t="shared" si="21"/>
        <v>2.7314941272876263E-3</v>
      </c>
      <c r="BW12" s="48">
        <f t="shared" si="22"/>
        <v>3.1766668915055888E-3</v>
      </c>
      <c r="BX12" s="48">
        <f t="shared" si="23"/>
        <v>0</v>
      </c>
      <c r="BY12" s="48">
        <f t="shared" si="24"/>
        <v>2.9851133694142691E-4</v>
      </c>
      <c r="BZ12" s="48">
        <f t="shared" si="25"/>
        <v>4.5769383333841884E-5</v>
      </c>
      <c r="CA12" s="48">
        <f t="shared" si="26"/>
        <v>0</v>
      </c>
      <c r="CB12" s="48">
        <f t="shared" si="27"/>
        <v>1.2892006955687475E-3</v>
      </c>
      <c r="CC12" s="48">
        <f t="shared" si="28"/>
        <v>4.9895220037920367E-4</v>
      </c>
      <c r="CD12" s="48">
        <f t="shared" si="29"/>
        <v>0</v>
      </c>
      <c r="CE12" s="48">
        <f t="shared" si="30"/>
        <v>0</v>
      </c>
      <c r="CF12" s="48">
        <f t="shared" si="31"/>
        <v>0</v>
      </c>
      <c r="CG12" s="48">
        <f t="shared" si="32"/>
        <v>0</v>
      </c>
      <c r="CH12" s="48">
        <f t="shared" si="33"/>
        <v>5.7077861648226653E-3</v>
      </c>
      <c r="CI12" s="48">
        <f t="shared" si="34"/>
        <v>2.0528180535966939E-4</v>
      </c>
      <c r="CJ12" s="48">
        <f t="shared" si="35"/>
        <v>7.3858492772732704E-5</v>
      </c>
      <c r="CK12" s="48">
        <f t="shared" si="36"/>
        <v>3.5471999290560016E-4</v>
      </c>
      <c r="CL12" s="48">
        <f t="shared" si="37"/>
        <v>5.4154557105980472E-5</v>
      </c>
      <c r="CM12" s="48">
        <f t="shared" si="61"/>
        <v>5.8003839301744254E-4</v>
      </c>
      <c r="CN12" s="48">
        <f t="shared" si="62"/>
        <v>1.4888505397083207E-3</v>
      </c>
      <c r="CO12" s="48">
        <f t="shared" si="63"/>
        <v>0</v>
      </c>
      <c r="CP12" s="48">
        <f t="shared" si="64"/>
        <v>1.8332111192587161E-4</v>
      </c>
      <c r="CQ12" s="48">
        <f t="shared" si="112"/>
        <v>6.0616657923879462E-4</v>
      </c>
      <c r="CR12" s="48">
        <f t="shared" si="65"/>
        <v>1.3037299714483135E-4</v>
      </c>
      <c r="CS12" s="48">
        <f t="shared" si="66"/>
        <v>6.7474073123065291E-3</v>
      </c>
      <c r="CT12" s="68">
        <f t="shared" si="67"/>
        <v>1.9979719334330152E-3</v>
      </c>
      <c r="CU12" s="68">
        <f t="shared" si="68"/>
        <v>1.5976548965386866E-3</v>
      </c>
      <c r="CW12" s="42">
        <v>171</v>
      </c>
      <c r="CX12" s="58">
        <f t="shared" si="69"/>
        <v>0</v>
      </c>
      <c r="CY12" s="58">
        <f t="shared" si="69"/>
        <v>0</v>
      </c>
      <c r="CZ12" s="58">
        <f t="shared" si="69"/>
        <v>0</v>
      </c>
      <c r="DA12" s="58">
        <f t="shared" si="69"/>
        <v>0</v>
      </c>
      <c r="DB12" s="58">
        <f t="shared" si="69"/>
        <v>0</v>
      </c>
      <c r="DC12" s="58">
        <f t="shared" si="69"/>
        <v>0</v>
      </c>
      <c r="DD12" s="58">
        <f t="shared" si="69"/>
        <v>0</v>
      </c>
      <c r="DE12" s="58">
        <f t="shared" si="69"/>
        <v>0</v>
      </c>
      <c r="DF12" s="58">
        <f t="shared" si="69"/>
        <v>0</v>
      </c>
      <c r="DG12" s="58">
        <f t="shared" si="69"/>
        <v>0</v>
      </c>
      <c r="DH12" s="58">
        <f t="shared" si="70"/>
        <v>4</v>
      </c>
      <c r="DI12" s="58">
        <f t="shared" si="70"/>
        <v>0</v>
      </c>
      <c r="DJ12" s="58">
        <f t="shared" si="70"/>
        <v>1</v>
      </c>
      <c r="DK12" s="58">
        <f t="shared" si="70"/>
        <v>0</v>
      </c>
      <c r="DL12" s="58">
        <f t="shared" si="70"/>
        <v>14</v>
      </c>
      <c r="DM12" s="58">
        <f t="shared" si="70"/>
        <v>45</v>
      </c>
      <c r="DN12" s="58">
        <f t="shared" si="70"/>
        <v>86</v>
      </c>
      <c r="DO12" s="58">
        <f t="shared" si="70"/>
        <v>28</v>
      </c>
      <c r="DP12" s="58">
        <f t="shared" si="70"/>
        <v>0</v>
      </c>
      <c r="DQ12" s="58"/>
      <c r="DR12" s="58">
        <f t="shared" ref="DR12:DX12" si="114">DR11+V12</f>
        <v>0</v>
      </c>
      <c r="DS12" s="58">
        <f t="shared" si="114"/>
        <v>7</v>
      </c>
      <c r="DT12" s="58">
        <f t="shared" si="114"/>
        <v>35</v>
      </c>
      <c r="DU12" s="58">
        <f t="shared" si="114"/>
        <v>191</v>
      </c>
      <c r="DV12" s="58">
        <f t="shared" si="114"/>
        <v>23</v>
      </c>
      <c r="DW12" s="58">
        <f t="shared" si="114"/>
        <v>194</v>
      </c>
      <c r="DX12" s="58">
        <f t="shared" si="114"/>
        <v>8</v>
      </c>
      <c r="DY12" s="58">
        <f t="shared" ref="DY12:DY75" si="115">DY11+AC12</f>
        <v>0</v>
      </c>
      <c r="DZ12" s="58">
        <f t="shared" ref="DZ12:DZ75" si="116">DZ11+AD12</f>
        <v>86</v>
      </c>
      <c r="EA12" s="58">
        <f t="shared" ref="EA12:EA75" si="117">EA11+AE12</f>
        <v>25</v>
      </c>
      <c r="EB12" s="58">
        <f t="shared" ref="EB12:EB75" si="118">EB11+AF12</f>
        <v>0</v>
      </c>
      <c r="EC12" s="58">
        <f t="shared" ref="EC12:EC75" si="119">EC11+AG12</f>
        <v>0</v>
      </c>
      <c r="ED12" s="58">
        <f t="shared" ref="ED12:ED75" si="120">ED11+AH12</f>
        <v>0</v>
      </c>
      <c r="EE12" s="58">
        <f t="shared" ref="EE12:EE75" si="121">EE11+AI12</f>
        <v>0</v>
      </c>
      <c r="EF12" s="58">
        <f t="shared" ref="EF12:EF75" si="122">EF11+AJ12</f>
        <v>570</v>
      </c>
      <c r="EG12" s="58">
        <f t="shared" ref="EG12:EG75" si="123">EG11+AK12</f>
        <v>23</v>
      </c>
      <c r="EH12" s="58">
        <f t="shared" ref="EH12:EH75" si="124">EH11+AL12</f>
        <v>1</v>
      </c>
      <c r="EI12" s="58">
        <f t="shared" ref="EI12:EI75" si="125">EI11+AM12</f>
        <v>24</v>
      </c>
      <c r="EJ12" s="58">
        <f t="shared" ref="EJ12:EJ43" si="126">EJ11+AN12</f>
        <v>3</v>
      </c>
      <c r="EK12" s="58">
        <f t="shared" ref="EK12:EK43" si="127">EK11+AO12</f>
        <v>44</v>
      </c>
      <c r="EL12" s="58">
        <f t="shared" si="105"/>
        <v>252</v>
      </c>
      <c r="EM12" s="58">
        <f t="shared" si="106"/>
        <v>2</v>
      </c>
      <c r="EN12" s="58">
        <f t="shared" si="107"/>
        <v>41</v>
      </c>
      <c r="EO12" s="58">
        <f t="shared" si="108"/>
        <v>56</v>
      </c>
      <c r="EP12" s="58">
        <f t="shared" si="109"/>
        <v>643</v>
      </c>
      <c r="EQ12" s="58">
        <f t="shared" si="110"/>
        <v>1754</v>
      </c>
      <c r="ER12" s="67">
        <f t="shared" si="72"/>
        <v>282</v>
      </c>
      <c r="ES12" s="67">
        <f t="shared" si="73"/>
        <v>101.46341463414635</v>
      </c>
      <c r="EV12" s="42">
        <v>171</v>
      </c>
      <c r="EW12" s="128">
        <f t="shared" si="41"/>
        <v>0</v>
      </c>
      <c r="EX12" s="128">
        <f t="shared" si="42"/>
        <v>0</v>
      </c>
      <c r="EY12" s="128">
        <f t="shared" si="43"/>
        <v>0</v>
      </c>
      <c r="EZ12" s="128">
        <f t="shared" si="44"/>
        <v>0</v>
      </c>
      <c r="FA12" s="128">
        <f t="shared" si="45"/>
        <v>0</v>
      </c>
      <c r="FB12" s="128">
        <f t="shared" si="46"/>
        <v>0</v>
      </c>
      <c r="FC12" s="128">
        <f t="shared" si="47"/>
        <v>0</v>
      </c>
      <c r="FD12" s="128">
        <f t="shared" si="48"/>
        <v>0</v>
      </c>
      <c r="FE12" s="128">
        <f t="shared" si="49"/>
        <v>0</v>
      </c>
      <c r="FF12" s="128">
        <f t="shared" si="50"/>
        <v>0</v>
      </c>
      <c r="FG12" s="128">
        <f t="shared" si="51"/>
        <v>1.3952352715476647E-4</v>
      </c>
      <c r="FH12" s="128">
        <f t="shared" si="52"/>
        <v>0</v>
      </c>
      <c r="FI12" s="128">
        <f t="shared" si="53"/>
        <v>2.2202979639867669E-5</v>
      </c>
      <c r="FJ12" s="128">
        <f t="shared" si="54"/>
        <v>0</v>
      </c>
      <c r="FK12" s="128">
        <f t="shared" si="55"/>
        <v>5.6664103290565422E-4</v>
      </c>
      <c r="FL12" s="128">
        <f t="shared" si="56"/>
        <v>1.1474908200734394E-3</v>
      </c>
      <c r="FM12" s="128">
        <f t="shared" si="57"/>
        <v>2.513444002805705E-3</v>
      </c>
      <c r="FN12" s="128">
        <f t="shared" si="58"/>
        <v>1.4953271028037382E-3</v>
      </c>
      <c r="FO12" s="128">
        <f t="shared" si="59"/>
        <v>0</v>
      </c>
      <c r="FP12" s="128"/>
      <c r="FQ12" s="128">
        <f t="shared" si="74"/>
        <v>0</v>
      </c>
      <c r="FR12" s="128">
        <f t="shared" si="75"/>
        <v>2.3744911804613297E-3</v>
      </c>
      <c r="FS12" s="128">
        <f t="shared" si="76"/>
        <v>9.5602294455066923E-3</v>
      </c>
      <c r="FT12" s="128">
        <f t="shared" si="77"/>
        <v>7.9834654773364138E-3</v>
      </c>
      <c r="FU12" s="128">
        <f t="shared" si="78"/>
        <v>3.2923460112512345E-4</v>
      </c>
      <c r="FV12" s="128">
        <f t="shared" si="79"/>
        <v>2.5178782333320354E-3</v>
      </c>
      <c r="FW12" s="128">
        <f t="shared" si="80"/>
        <v>1.2205168889024502E-4</v>
      </c>
      <c r="FX12" s="128">
        <f t="shared" si="81"/>
        <v>0</v>
      </c>
      <c r="FY12" s="128">
        <f t="shared" si="82"/>
        <v>1.2892006955687475E-3</v>
      </c>
      <c r="FZ12" s="128">
        <f t="shared" si="83"/>
        <v>2.4947610018960184E-3</v>
      </c>
      <c r="GA12" s="128">
        <f t="shared" si="84"/>
        <v>0</v>
      </c>
      <c r="GB12" s="128">
        <f t="shared" si="85"/>
        <v>0</v>
      </c>
      <c r="GC12" s="128">
        <f t="shared" si="86"/>
        <v>0</v>
      </c>
      <c r="GD12" s="128">
        <f t="shared" si="87"/>
        <v>0</v>
      </c>
      <c r="GE12" s="128">
        <f t="shared" si="88"/>
        <v>1.1787819253438114E-2</v>
      </c>
      <c r="GF12" s="128">
        <f t="shared" si="89"/>
        <v>1.1803703808180989E-3</v>
      </c>
      <c r="GG12" s="128">
        <f t="shared" si="90"/>
        <v>7.3858492772732704E-5</v>
      </c>
      <c r="GH12" s="128">
        <f t="shared" si="91"/>
        <v>1.0641599787168004E-3</v>
      </c>
      <c r="GI12" s="128">
        <f t="shared" si="92"/>
        <v>5.4154557105980472E-5</v>
      </c>
      <c r="GJ12" s="128">
        <f t="shared" si="93"/>
        <v>6.0765926887541605E-4</v>
      </c>
      <c r="GK12" s="128">
        <f t="shared" si="94"/>
        <v>4.2635265455283726E-3</v>
      </c>
      <c r="GL12" s="128">
        <f t="shared" si="95"/>
        <v>4.843905156337039E-5</v>
      </c>
      <c r="GM12" s="128">
        <f t="shared" si="96"/>
        <v>6.8328778081461238E-4</v>
      </c>
      <c r="GN12" s="128">
        <f t="shared" si="97"/>
        <v>6.5279477764177882E-4</v>
      </c>
      <c r="GO12" s="128">
        <f t="shared" si="98"/>
        <v>4.1914918582063284E-3</v>
      </c>
      <c r="GP12" s="128">
        <f t="shared" si="99"/>
        <v>8.3403470231047591E-3</v>
      </c>
      <c r="GQ12" s="129">
        <f t="shared" si="100"/>
        <v>1.9979719334330152E-3</v>
      </c>
      <c r="GR12" s="129">
        <f t="shared" si="101"/>
        <v>1.5976548965386866E-3</v>
      </c>
    </row>
    <row r="13" spans="1:200" x14ac:dyDescent="0.25">
      <c r="A13" s="42">
        <v>172</v>
      </c>
      <c r="B13" s="81">
        <v>0</v>
      </c>
      <c r="C13" s="81"/>
      <c r="D13" s="81"/>
      <c r="E13" s="81"/>
      <c r="F13" s="81"/>
      <c r="G13" s="81"/>
      <c r="H13" s="81"/>
      <c r="I13" s="81"/>
      <c r="J13" s="81"/>
      <c r="K13" s="81"/>
      <c r="L13" s="81">
        <v>23</v>
      </c>
      <c r="M13" s="81"/>
      <c r="N13" s="81">
        <v>0</v>
      </c>
      <c r="O13" s="81">
        <v>0</v>
      </c>
      <c r="P13" s="81">
        <v>3</v>
      </c>
      <c r="Q13" s="81">
        <v>32</v>
      </c>
      <c r="R13" s="81">
        <v>41</v>
      </c>
      <c r="S13" s="81">
        <v>8</v>
      </c>
      <c r="T13" s="81"/>
      <c r="V13" s="81"/>
      <c r="W13" s="81">
        <v>1</v>
      </c>
      <c r="X13" s="81">
        <v>0</v>
      </c>
      <c r="Y13" s="81">
        <v>39</v>
      </c>
      <c r="Z13" s="81">
        <v>1</v>
      </c>
      <c r="AA13" s="81">
        <v>53</v>
      </c>
      <c r="AB13" s="81">
        <v>119</v>
      </c>
      <c r="AC13" s="81"/>
      <c r="AD13" s="81">
        <v>220</v>
      </c>
      <c r="AE13" s="81">
        <v>0</v>
      </c>
      <c r="AF13" s="84">
        <v>0</v>
      </c>
      <c r="AG13" s="84"/>
      <c r="AH13" s="84">
        <v>0</v>
      </c>
      <c r="AI13" s="83">
        <v>0</v>
      </c>
      <c r="AJ13" s="83">
        <v>341</v>
      </c>
      <c r="AK13" s="83">
        <v>241</v>
      </c>
      <c r="AL13" s="81">
        <v>1</v>
      </c>
      <c r="AM13" s="90">
        <v>4</v>
      </c>
      <c r="AN13" s="90">
        <v>1</v>
      </c>
      <c r="AO13" s="90">
        <v>2</v>
      </c>
      <c r="AP13" s="81">
        <v>31</v>
      </c>
      <c r="AQ13" s="81">
        <v>12</v>
      </c>
      <c r="AR13" s="81">
        <v>77</v>
      </c>
      <c r="AS13" s="81">
        <v>0</v>
      </c>
      <c r="AT13" s="81">
        <v>108</v>
      </c>
      <c r="AU13" s="81">
        <v>37</v>
      </c>
      <c r="AV13" s="71">
        <f t="shared" si="113"/>
        <v>27.3</v>
      </c>
      <c r="AW13" s="71">
        <f t="shared" si="111"/>
        <v>330.79325396825396</v>
      </c>
      <c r="AY13" s="42">
        <v>172</v>
      </c>
      <c r="AZ13" s="48">
        <f t="shared" si="0"/>
        <v>0</v>
      </c>
      <c r="BA13" s="48">
        <f t="shared" si="1"/>
        <v>0</v>
      </c>
      <c r="BB13" s="48">
        <f t="shared" si="2"/>
        <v>0</v>
      </c>
      <c r="BC13" s="48">
        <f t="shared" si="3"/>
        <v>0</v>
      </c>
      <c r="BD13" s="48">
        <f t="shared" si="4"/>
        <v>0</v>
      </c>
      <c r="BE13" s="48">
        <f t="shared" si="5"/>
        <v>0</v>
      </c>
      <c r="BF13" s="48">
        <f t="shared" si="6"/>
        <v>0</v>
      </c>
      <c r="BG13" s="48">
        <f t="shared" si="7"/>
        <v>0</v>
      </c>
      <c r="BH13" s="48">
        <f t="shared" si="8"/>
        <v>0</v>
      </c>
      <c r="BI13" s="48">
        <f t="shared" si="9"/>
        <v>0</v>
      </c>
      <c r="BJ13" s="48">
        <f t="shared" si="10"/>
        <v>8.0226028113990721E-4</v>
      </c>
      <c r="BK13" s="48">
        <f t="shared" si="11"/>
        <v>0</v>
      </c>
      <c r="BL13" s="48">
        <f t="shared" si="12"/>
        <v>0</v>
      </c>
      <c r="BM13" s="48">
        <f t="shared" si="13"/>
        <v>0</v>
      </c>
      <c r="BN13" s="48">
        <f t="shared" si="14"/>
        <v>1.2142307847978306E-4</v>
      </c>
      <c r="BO13" s="48">
        <f t="shared" si="15"/>
        <v>8.1599347205222358E-4</v>
      </c>
      <c r="BP13" s="48">
        <f t="shared" si="16"/>
        <v>1.1982698152910919E-3</v>
      </c>
      <c r="BQ13" s="48">
        <f t="shared" si="17"/>
        <v>4.272363150867824E-4</v>
      </c>
      <c r="BR13" s="48">
        <f t="shared" si="18"/>
        <v>0</v>
      </c>
      <c r="BS13" s="48"/>
      <c r="BT13" s="48">
        <f t="shared" si="19"/>
        <v>0</v>
      </c>
      <c r="BU13" s="48">
        <f t="shared" si="20"/>
        <v>3.3921302578018993E-4</v>
      </c>
      <c r="BV13" s="48">
        <f t="shared" si="21"/>
        <v>0</v>
      </c>
      <c r="BW13" s="48">
        <f t="shared" si="22"/>
        <v>1.6301316943252364E-3</v>
      </c>
      <c r="BX13" s="48">
        <f t="shared" si="23"/>
        <v>1.4314547875005369E-5</v>
      </c>
      <c r="BY13" s="48">
        <f t="shared" si="24"/>
        <v>6.8787395034328798E-4</v>
      </c>
      <c r="BZ13" s="48">
        <f t="shared" si="25"/>
        <v>1.8155188722423948E-3</v>
      </c>
      <c r="CA13" s="48">
        <f t="shared" si="26"/>
        <v>0</v>
      </c>
      <c r="CB13" s="48">
        <f t="shared" si="27"/>
        <v>3.2979552677340051E-3</v>
      </c>
      <c r="CC13" s="48">
        <f t="shared" si="28"/>
        <v>0</v>
      </c>
      <c r="CD13" s="48">
        <f t="shared" si="29"/>
        <v>0</v>
      </c>
      <c r="CE13" s="48">
        <f t="shared" si="30"/>
        <v>0</v>
      </c>
      <c r="CF13" s="48">
        <f t="shared" si="31"/>
        <v>0</v>
      </c>
      <c r="CG13" s="48">
        <f t="shared" si="32"/>
        <v>0</v>
      </c>
      <c r="CH13" s="48">
        <f t="shared" si="33"/>
        <v>7.0520111674077139E-3</v>
      </c>
      <c r="CI13" s="48">
        <f t="shared" si="34"/>
        <v>1.2368228772920081E-2</v>
      </c>
      <c r="CJ13" s="48">
        <f t="shared" si="35"/>
        <v>7.3858492772732704E-5</v>
      </c>
      <c r="CK13" s="48">
        <f t="shared" si="36"/>
        <v>1.7735999645280008E-4</v>
      </c>
      <c r="CL13" s="48">
        <f t="shared" si="37"/>
        <v>1.8051519035326824E-5</v>
      </c>
      <c r="CM13" s="48">
        <f t="shared" si="61"/>
        <v>2.7620875857973455E-5</v>
      </c>
      <c r="CN13" s="48">
        <f t="shared" si="62"/>
        <v>5.2448144012452204E-4</v>
      </c>
      <c r="CO13" s="48">
        <f t="shared" si="63"/>
        <v>2.9063430938022235E-4</v>
      </c>
      <c r="CP13" s="48">
        <f t="shared" si="64"/>
        <v>1.2832477834811013E-3</v>
      </c>
      <c r="CQ13" s="48">
        <f t="shared" si="112"/>
        <v>0</v>
      </c>
      <c r="CR13" s="48">
        <f t="shared" si="65"/>
        <v>7.040141845820894E-4</v>
      </c>
      <c r="CS13" s="48">
        <f t="shared" si="66"/>
        <v>1.759366247747298E-4</v>
      </c>
      <c r="CT13" s="68">
        <f>CT12+AVERAGE(CJ13:CS13)</f>
        <v>2.3254924560791651E-3</v>
      </c>
      <c r="CU13" s="68">
        <f t="shared" si="68"/>
        <v>2.4231582011030569E-3</v>
      </c>
      <c r="CW13" s="42">
        <v>172</v>
      </c>
      <c r="CX13" s="58">
        <f t="shared" ref="CX13:CX76" si="128">CX12+B13</f>
        <v>0</v>
      </c>
      <c r="CY13" s="58">
        <f t="shared" ref="CY13:CY76" si="129">CY12+C13</f>
        <v>0</v>
      </c>
      <c r="CZ13" s="58">
        <f t="shared" ref="CZ13:CZ76" si="130">CZ12+D13</f>
        <v>0</v>
      </c>
      <c r="DA13" s="58">
        <f t="shared" ref="DA13:DA76" si="131">DA12+E13</f>
        <v>0</v>
      </c>
      <c r="DB13" s="58">
        <f t="shared" ref="DB13:DB76" si="132">DB12+F13</f>
        <v>0</v>
      </c>
      <c r="DC13" s="58">
        <f t="shared" ref="DC13:DC76" si="133">DC12+G13</f>
        <v>0</v>
      </c>
      <c r="DD13" s="58">
        <f t="shared" ref="DD13:DD76" si="134">DD12+H13</f>
        <v>0</v>
      </c>
      <c r="DE13" s="58">
        <f t="shared" ref="DE13:DE76" si="135">DE12+I13</f>
        <v>0</v>
      </c>
      <c r="DF13" s="58">
        <f t="shared" ref="DF13:DF76" si="136">DF12+J13</f>
        <v>0</v>
      </c>
      <c r="DG13" s="58">
        <f t="shared" ref="DG13:DG76" si="137">DG12+K13</f>
        <v>0</v>
      </c>
      <c r="DH13" s="58">
        <f t="shared" ref="DH13:DH76" si="138">DH12+L13</f>
        <v>27</v>
      </c>
      <c r="DI13" s="58">
        <f t="shared" ref="DI13:DI76" si="139">DI12+M13</f>
        <v>0</v>
      </c>
      <c r="DJ13" s="58">
        <f t="shared" ref="DJ13:DJ76" si="140">DJ12+N13</f>
        <v>1</v>
      </c>
      <c r="DK13" s="58">
        <f t="shared" ref="DK13:DK76" si="141">DK12+O13</f>
        <v>0</v>
      </c>
      <c r="DL13" s="58">
        <f t="shared" ref="DL13:DL76" si="142">DL12+P13</f>
        <v>17</v>
      </c>
      <c r="DM13" s="58">
        <f t="shared" ref="DM13:DM76" si="143">DM12+Q13</f>
        <v>77</v>
      </c>
      <c r="DN13" s="58">
        <f t="shared" ref="DN13:DN76" si="144">DN12+R13</f>
        <v>127</v>
      </c>
      <c r="DO13" s="58">
        <f t="shared" ref="DO13:DO76" si="145">DO12+S13</f>
        <v>36</v>
      </c>
      <c r="DP13" s="58">
        <f t="shared" ref="DP13:DP76" si="146">DP12+T13</f>
        <v>0</v>
      </c>
      <c r="DQ13" s="58"/>
      <c r="DR13" s="58">
        <f t="shared" ref="DR13:DR76" si="147">DR12+V13</f>
        <v>0</v>
      </c>
      <c r="DS13" s="58">
        <f t="shared" ref="DS13:DS76" si="148">DS12+W13</f>
        <v>8</v>
      </c>
      <c r="DT13" s="58">
        <f t="shared" ref="DT13:DT76" si="149">DT12+X13</f>
        <v>35</v>
      </c>
      <c r="DU13" s="58">
        <f t="shared" ref="DU13:DU76" si="150">DU12+Y13</f>
        <v>230</v>
      </c>
      <c r="DV13" s="58">
        <f t="shared" ref="DV13:DV76" si="151">DV12+Z13</f>
        <v>24</v>
      </c>
      <c r="DW13" s="58">
        <f t="shared" ref="DW13:DW76" si="152">DW12+AA13</f>
        <v>247</v>
      </c>
      <c r="DX13" s="58">
        <f t="shared" ref="DX13:DX76" si="153">DX12+AB13</f>
        <v>127</v>
      </c>
      <c r="DY13" s="58">
        <f t="shared" si="115"/>
        <v>0</v>
      </c>
      <c r="DZ13" s="58">
        <f t="shared" si="116"/>
        <v>306</v>
      </c>
      <c r="EA13" s="58">
        <f t="shared" si="117"/>
        <v>25</v>
      </c>
      <c r="EB13" s="58">
        <f t="shared" si="118"/>
        <v>0</v>
      </c>
      <c r="EC13" s="58">
        <f t="shared" si="119"/>
        <v>0</v>
      </c>
      <c r="ED13" s="58">
        <f t="shared" si="120"/>
        <v>0</v>
      </c>
      <c r="EE13" s="58">
        <f t="shared" si="121"/>
        <v>0</v>
      </c>
      <c r="EF13" s="58">
        <f t="shared" si="122"/>
        <v>911</v>
      </c>
      <c r="EG13" s="58">
        <f t="shared" si="123"/>
        <v>264</v>
      </c>
      <c r="EH13" s="58">
        <f t="shared" si="124"/>
        <v>2</v>
      </c>
      <c r="EI13" s="58">
        <f t="shared" si="125"/>
        <v>28</v>
      </c>
      <c r="EJ13" s="58">
        <f t="shared" si="126"/>
        <v>4</v>
      </c>
      <c r="EK13" s="58">
        <f t="shared" si="127"/>
        <v>46</v>
      </c>
      <c r="EL13" s="58">
        <f t="shared" si="105"/>
        <v>283</v>
      </c>
      <c r="EM13" s="58">
        <f t="shared" si="106"/>
        <v>14</v>
      </c>
      <c r="EN13" s="58">
        <f t="shared" si="107"/>
        <v>118</v>
      </c>
      <c r="EO13" s="58">
        <f t="shared" si="108"/>
        <v>56</v>
      </c>
      <c r="EP13" s="58">
        <f t="shared" si="109"/>
        <v>751</v>
      </c>
      <c r="EQ13" s="58">
        <f t="shared" si="110"/>
        <v>1791</v>
      </c>
      <c r="ER13" s="67">
        <f t="shared" si="72"/>
        <v>309.3</v>
      </c>
      <c r="ES13" s="67">
        <f t="shared" si="73"/>
        <v>135.48780487804879</v>
      </c>
      <c r="EV13" s="42">
        <v>172</v>
      </c>
      <c r="EW13" s="128">
        <f t="shared" si="41"/>
        <v>0</v>
      </c>
      <c r="EX13" s="128">
        <f t="shared" si="42"/>
        <v>0</v>
      </c>
      <c r="EY13" s="128">
        <f t="shared" si="43"/>
        <v>0</v>
      </c>
      <c r="EZ13" s="128">
        <f t="shared" si="44"/>
        <v>0</v>
      </c>
      <c r="FA13" s="128">
        <f t="shared" si="45"/>
        <v>0</v>
      </c>
      <c r="FB13" s="128">
        <f t="shared" si="46"/>
        <v>0</v>
      </c>
      <c r="FC13" s="128">
        <f t="shared" si="47"/>
        <v>0</v>
      </c>
      <c r="FD13" s="128">
        <f t="shared" si="48"/>
        <v>0</v>
      </c>
      <c r="FE13" s="128">
        <f t="shared" si="49"/>
        <v>0</v>
      </c>
      <c r="FF13" s="128">
        <f t="shared" si="50"/>
        <v>0</v>
      </c>
      <c r="FG13" s="128">
        <f t="shared" si="51"/>
        <v>9.4178380829467367E-4</v>
      </c>
      <c r="FH13" s="128">
        <f t="shared" si="52"/>
        <v>0</v>
      </c>
      <c r="FI13" s="128">
        <f t="shared" si="53"/>
        <v>2.2202979639867669E-5</v>
      </c>
      <c r="FJ13" s="128">
        <f t="shared" si="54"/>
        <v>0</v>
      </c>
      <c r="FK13" s="128">
        <f t="shared" si="55"/>
        <v>6.8806411138543728E-4</v>
      </c>
      <c r="FL13" s="128">
        <f t="shared" si="56"/>
        <v>1.9634842921256628E-3</v>
      </c>
      <c r="FM13" s="128">
        <f t="shared" si="57"/>
        <v>3.7117138180967966E-3</v>
      </c>
      <c r="FN13" s="128">
        <f t="shared" si="58"/>
        <v>1.9225634178905208E-3</v>
      </c>
      <c r="FO13" s="128">
        <f t="shared" si="59"/>
        <v>0</v>
      </c>
      <c r="FP13" s="128"/>
      <c r="FQ13" s="128">
        <f t="shared" si="74"/>
        <v>0</v>
      </c>
      <c r="FR13" s="128">
        <f t="shared" si="75"/>
        <v>2.7137042062415195E-3</v>
      </c>
      <c r="FS13" s="128">
        <f t="shared" si="76"/>
        <v>9.5602294455066923E-3</v>
      </c>
      <c r="FT13" s="128">
        <f t="shared" si="77"/>
        <v>9.6135971716616517E-3</v>
      </c>
      <c r="FU13" s="128">
        <f t="shared" si="78"/>
        <v>3.4354914900012882E-4</v>
      </c>
      <c r="FV13" s="128">
        <f t="shared" si="79"/>
        <v>3.2057521836753233E-3</v>
      </c>
      <c r="FW13" s="128">
        <f t="shared" si="80"/>
        <v>1.9375705611326397E-3</v>
      </c>
      <c r="FX13" s="128">
        <f t="shared" si="81"/>
        <v>0</v>
      </c>
      <c r="FY13" s="128">
        <f t="shared" si="82"/>
        <v>4.5871559633027525E-3</v>
      </c>
      <c r="FZ13" s="128">
        <f t="shared" si="83"/>
        <v>2.4947610018960184E-3</v>
      </c>
      <c r="GA13" s="128">
        <f t="shared" si="84"/>
        <v>0</v>
      </c>
      <c r="GB13" s="128">
        <f t="shared" si="85"/>
        <v>0</v>
      </c>
      <c r="GC13" s="128">
        <f t="shared" si="86"/>
        <v>0</v>
      </c>
      <c r="GD13" s="128">
        <f t="shared" si="87"/>
        <v>0</v>
      </c>
      <c r="GE13" s="128">
        <f t="shared" si="88"/>
        <v>1.8839830420845829E-2</v>
      </c>
      <c r="GF13" s="128">
        <f t="shared" si="89"/>
        <v>1.354859915373818E-2</v>
      </c>
      <c r="GG13" s="128">
        <f t="shared" si="90"/>
        <v>1.4771698554546541E-4</v>
      </c>
      <c r="GH13" s="128">
        <f t="shared" si="91"/>
        <v>1.2415199751696004E-3</v>
      </c>
      <c r="GI13" s="128">
        <f t="shared" si="92"/>
        <v>7.2206076141307295E-5</v>
      </c>
      <c r="GJ13" s="128">
        <f t="shared" si="93"/>
        <v>6.3528014473338945E-4</v>
      </c>
      <c r="GK13" s="128">
        <f t="shared" si="94"/>
        <v>4.7880079856528947E-3</v>
      </c>
      <c r="GL13" s="128">
        <f t="shared" si="95"/>
        <v>3.3907336094359273E-4</v>
      </c>
      <c r="GM13" s="128">
        <f t="shared" si="96"/>
        <v>1.9665355642957136E-3</v>
      </c>
      <c r="GN13" s="128">
        <f t="shared" si="97"/>
        <v>6.5279477764177882E-4</v>
      </c>
      <c r="GO13" s="128">
        <f t="shared" si="98"/>
        <v>4.8955060427884178E-3</v>
      </c>
      <c r="GP13" s="128">
        <f t="shared" si="99"/>
        <v>8.5162836478794874E-3</v>
      </c>
      <c r="GQ13" s="129">
        <f t="shared" si="100"/>
        <v>2.3254924560791646E-3</v>
      </c>
      <c r="GR13" s="129">
        <f t="shared" si="101"/>
        <v>2.4231582011030573E-3</v>
      </c>
    </row>
    <row r="14" spans="1:200" x14ac:dyDescent="0.25">
      <c r="A14" s="42">
        <v>173</v>
      </c>
      <c r="B14" s="81">
        <v>0</v>
      </c>
      <c r="C14" s="81"/>
      <c r="D14" s="81"/>
      <c r="E14" s="81"/>
      <c r="F14" s="81"/>
      <c r="G14" s="81"/>
      <c r="H14" s="81"/>
      <c r="I14" s="81"/>
      <c r="J14" s="81"/>
      <c r="K14" s="81"/>
      <c r="L14" s="81">
        <v>25</v>
      </c>
      <c r="M14" s="81"/>
      <c r="N14" s="81">
        <v>0</v>
      </c>
      <c r="O14" s="81">
        <v>1</v>
      </c>
      <c r="P14" s="81">
        <v>0</v>
      </c>
      <c r="Q14" s="81">
        <v>70</v>
      </c>
      <c r="R14" s="81">
        <v>34</v>
      </c>
      <c r="S14" s="81">
        <v>14</v>
      </c>
      <c r="T14" s="81">
        <v>19</v>
      </c>
      <c r="V14" s="81"/>
      <c r="W14" s="81">
        <v>0</v>
      </c>
      <c r="X14" s="81">
        <v>6</v>
      </c>
      <c r="Y14" s="81">
        <v>17</v>
      </c>
      <c r="Z14" s="81">
        <v>0</v>
      </c>
      <c r="AA14" s="81">
        <v>61</v>
      </c>
      <c r="AB14" s="81">
        <v>8</v>
      </c>
      <c r="AC14" s="81"/>
      <c r="AD14" s="81">
        <v>447</v>
      </c>
      <c r="AE14" s="81">
        <v>11</v>
      </c>
      <c r="AF14" s="84">
        <v>9</v>
      </c>
      <c r="AG14" s="84">
        <v>0</v>
      </c>
      <c r="AH14" s="84">
        <v>12</v>
      </c>
      <c r="AI14" s="83">
        <v>0</v>
      </c>
      <c r="AJ14" s="83">
        <v>397</v>
      </c>
      <c r="AK14" s="83">
        <v>42</v>
      </c>
      <c r="AL14" s="81">
        <v>0</v>
      </c>
      <c r="AM14" s="90">
        <v>12</v>
      </c>
      <c r="AN14" s="90">
        <v>48</v>
      </c>
      <c r="AO14" s="90">
        <v>2</v>
      </c>
      <c r="AP14" s="81">
        <v>26</v>
      </c>
      <c r="AQ14" s="81">
        <v>11</v>
      </c>
      <c r="AR14" s="81">
        <v>60</v>
      </c>
      <c r="AS14" s="81">
        <v>33</v>
      </c>
      <c r="AT14" s="81">
        <v>29</v>
      </c>
      <c r="AU14" s="81">
        <v>1067</v>
      </c>
      <c r="AV14" s="71">
        <f t="shared" si="113"/>
        <v>128.80000000000001</v>
      </c>
      <c r="AW14" s="71">
        <f t="shared" si="102"/>
        <v>459.59325396825398</v>
      </c>
      <c r="AY14" s="42">
        <v>173</v>
      </c>
      <c r="AZ14" s="48">
        <f t="shared" si="0"/>
        <v>0</v>
      </c>
      <c r="BA14" s="48">
        <f t="shared" si="1"/>
        <v>0</v>
      </c>
      <c r="BB14" s="48">
        <f t="shared" si="2"/>
        <v>0</v>
      </c>
      <c r="BC14" s="48">
        <f t="shared" si="3"/>
        <v>0</v>
      </c>
      <c r="BD14" s="48">
        <f t="shared" si="4"/>
        <v>0</v>
      </c>
      <c r="BE14" s="48">
        <f t="shared" si="5"/>
        <v>0</v>
      </c>
      <c r="BF14" s="48">
        <f t="shared" si="6"/>
        <v>0</v>
      </c>
      <c r="BG14" s="48">
        <f t="shared" si="7"/>
        <v>0</v>
      </c>
      <c r="BH14" s="48">
        <f t="shared" si="8"/>
        <v>0</v>
      </c>
      <c r="BI14" s="48">
        <f t="shared" si="9"/>
        <v>0</v>
      </c>
      <c r="BJ14" s="48">
        <f t="shared" si="10"/>
        <v>8.7202204471729049E-4</v>
      </c>
      <c r="BK14" s="48">
        <f t="shared" si="11"/>
        <v>0</v>
      </c>
      <c r="BL14" s="48">
        <f t="shared" si="12"/>
        <v>0</v>
      </c>
      <c r="BM14" s="48">
        <f t="shared" si="13"/>
        <v>9.7742156191965598E-5</v>
      </c>
      <c r="BN14" s="48">
        <f t="shared" si="14"/>
        <v>0</v>
      </c>
      <c r="BO14" s="48">
        <f t="shared" si="15"/>
        <v>1.7849857201142391E-3</v>
      </c>
      <c r="BP14" s="48">
        <f t="shared" si="16"/>
        <v>9.9368716389992991E-4</v>
      </c>
      <c r="BQ14" s="48">
        <f t="shared" si="17"/>
        <v>7.4766355140186912E-4</v>
      </c>
      <c r="BR14" s="48">
        <f t="shared" si="18"/>
        <v>6.7550751946528242E-4</v>
      </c>
      <c r="BS14" s="48"/>
      <c r="BT14" s="48">
        <f t="shared" si="19"/>
        <v>0</v>
      </c>
      <c r="BU14" s="48">
        <f t="shared" si="20"/>
        <v>0</v>
      </c>
      <c r="BV14" s="48">
        <f t="shared" si="21"/>
        <v>1.6388964763725759E-3</v>
      </c>
      <c r="BW14" s="48">
        <f t="shared" si="22"/>
        <v>7.1057022573151334E-4</v>
      </c>
      <c r="BX14" s="48">
        <f t="shared" si="23"/>
        <v>0</v>
      </c>
      <c r="BY14" s="48">
        <f t="shared" si="24"/>
        <v>7.9170398058378436E-4</v>
      </c>
      <c r="BZ14" s="48">
        <f t="shared" si="25"/>
        <v>1.2205168889024502E-4</v>
      </c>
      <c r="CA14" s="48">
        <f t="shared" si="26"/>
        <v>0</v>
      </c>
      <c r="CB14" s="48">
        <f t="shared" si="27"/>
        <v>6.7008454758050008E-3</v>
      </c>
      <c r="CC14" s="48">
        <f t="shared" si="28"/>
        <v>1.0976948408342481E-3</v>
      </c>
      <c r="CD14" s="48">
        <f t="shared" si="29"/>
        <v>7.1982724146204906E-4</v>
      </c>
      <c r="CE14" s="48">
        <f t="shared" si="30"/>
        <v>0</v>
      </c>
      <c r="CF14" s="48">
        <f t="shared" si="31"/>
        <v>5.3264193380494487E-4</v>
      </c>
      <c r="CG14" s="48">
        <f t="shared" si="32"/>
        <v>0</v>
      </c>
      <c r="CH14" s="48">
        <f t="shared" si="33"/>
        <v>8.21011270809637E-3</v>
      </c>
      <c r="CI14" s="48">
        <f t="shared" si="34"/>
        <v>2.1554589562765287E-3</v>
      </c>
      <c r="CJ14" s="48">
        <f t="shared" si="35"/>
        <v>0</v>
      </c>
      <c r="CK14" s="48">
        <f t="shared" si="36"/>
        <v>5.3207998935840019E-4</v>
      </c>
      <c r="CL14" s="48">
        <f t="shared" si="37"/>
        <v>8.6647291369568754E-4</v>
      </c>
      <c r="CM14" s="48">
        <f t="shared" si="61"/>
        <v>2.7620875857973455E-5</v>
      </c>
      <c r="CN14" s="48">
        <f t="shared" si="62"/>
        <v>4.3988765945927655E-4</v>
      </c>
      <c r="CO14" s="48">
        <f t="shared" si="63"/>
        <v>2.6641478359853716E-4</v>
      </c>
      <c r="CP14" s="48">
        <f t="shared" si="64"/>
        <v>9.9993333777748149E-4</v>
      </c>
      <c r="CQ14" s="48">
        <f t="shared" si="112"/>
        <v>3.8468263682461969E-4</v>
      </c>
      <c r="CR14" s="48">
        <f t="shared" si="65"/>
        <v>1.8904084586000548E-4</v>
      </c>
      <c r="CS14" s="48">
        <f t="shared" si="66"/>
        <v>5.0736318549901805E-3</v>
      </c>
      <c r="CT14" s="68">
        <f t="shared" si="67"/>
        <v>3.2034689458213814E-3</v>
      </c>
      <c r="CU14" s="68">
        <f t="shared" si="68"/>
        <v>3.3166015323486666E-3</v>
      </c>
      <c r="CW14" s="42">
        <v>173</v>
      </c>
      <c r="CX14" s="58">
        <f t="shared" si="128"/>
        <v>0</v>
      </c>
      <c r="CY14" s="58">
        <f t="shared" si="129"/>
        <v>0</v>
      </c>
      <c r="CZ14" s="58">
        <f t="shared" si="130"/>
        <v>0</v>
      </c>
      <c r="DA14" s="58">
        <f t="shared" si="131"/>
        <v>0</v>
      </c>
      <c r="DB14" s="58">
        <f t="shared" si="132"/>
        <v>0</v>
      </c>
      <c r="DC14" s="58">
        <f t="shared" si="133"/>
        <v>0</v>
      </c>
      <c r="DD14" s="58">
        <f t="shared" si="134"/>
        <v>0</v>
      </c>
      <c r="DE14" s="58">
        <f t="shared" si="135"/>
        <v>0</v>
      </c>
      <c r="DF14" s="58">
        <f t="shared" si="136"/>
        <v>0</v>
      </c>
      <c r="DG14" s="58">
        <f t="shared" si="137"/>
        <v>0</v>
      </c>
      <c r="DH14" s="58">
        <f t="shared" si="138"/>
        <v>52</v>
      </c>
      <c r="DI14" s="58">
        <f t="shared" si="139"/>
        <v>0</v>
      </c>
      <c r="DJ14" s="58">
        <f t="shared" si="140"/>
        <v>1</v>
      </c>
      <c r="DK14" s="58">
        <f t="shared" si="141"/>
        <v>1</v>
      </c>
      <c r="DL14" s="58">
        <f t="shared" si="142"/>
        <v>17</v>
      </c>
      <c r="DM14" s="58">
        <f t="shared" si="143"/>
        <v>147</v>
      </c>
      <c r="DN14" s="58">
        <f t="shared" si="144"/>
        <v>161</v>
      </c>
      <c r="DO14" s="58">
        <f t="shared" si="145"/>
        <v>50</v>
      </c>
      <c r="DP14" s="58">
        <f t="shared" si="146"/>
        <v>19</v>
      </c>
      <c r="DQ14" s="58"/>
      <c r="DR14" s="58">
        <f t="shared" si="147"/>
        <v>0</v>
      </c>
      <c r="DS14" s="58">
        <f t="shared" si="148"/>
        <v>8</v>
      </c>
      <c r="DT14" s="58">
        <f t="shared" si="149"/>
        <v>41</v>
      </c>
      <c r="DU14" s="58">
        <f t="shared" si="150"/>
        <v>247</v>
      </c>
      <c r="DV14" s="58">
        <f t="shared" si="151"/>
        <v>24</v>
      </c>
      <c r="DW14" s="58">
        <f t="shared" si="152"/>
        <v>308</v>
      </c>
      <c r="DX14" s="58">
        <f t="shared" si="153"/>
        <v>135</v>
      </c>
      <c r="DY14" s="58">
        <f t="shared" si="115"/>
        <v>0</v>
      </c>
      <c r="DZ14" s="58">
        <f t="shared" si="116"/>
        <v>753</v>
      </c>
      <c r="EA14" s="58">
        <f t="shared" si="117"/>
        <v>36</v>
      </c>
      <c r="EB14" s="58">
        <f t="shared" si="118"/>
        <v>9</v>
      </c>
      <c r="EC14" s="58">
        <f t="shared" si="119"/>
        <v>0</v>
      </c>
      <c r="ED14" s="58">
        <f t="shared" si="120"/>
        <v>12</v>
      </c>
      <c r="EE14" s="58">
        <f t="shared" si="121"/>
        <v>0</v>
      </c>
      <c r="EF14" s="58">
        <f t="shared" si="122"/>
        <v>1308</v>
      </c>
      <c r="EG14" s="58">
        <f t="shared" si="123"/>
        <v>306</v>
      </c>
      <c r="EH14" s="58">
        <f t="shared" si="124"/>
        <v>2</v>
      </c>
      <c r="EI14" s="58">
        <f t="shared" si="125"/>
        <v>40</v>
      </c>
      <c r="EJ14" s="58">
        <f t="shared" si="126"/>
        <v>52</v>
      </c>
      <c r="EK14" s="58">
        <f t="shared" si="127"/>
        <v>48</v>
      </c>
      <c r="EL14" s="58">
        <f t="shared" si="105"/>
        <v>309</v>
      </c>
      <c r="EM14" s="58">
        <f>EM13+AQ14</f>
        <v>25</v>
      </c>
      <c r="EN14" s="58">
        <f t="shared" si="107"/>
        <v>178</v>
      </c>
      <c r="EO14" s="58">
        <f t="shared" si="108"/>
        <v>89</v>
      </c>
      <c r="EP14" s="58">
        <f t="shared" si="109"/>
        <v>780</v>
      </c>
      <c r="EQ14" s="58">
        <f t="shared" si="110"/>
        <v>2858</v>
      </c>
      <c r="ER14" s="67">
        <f t="shared" si="72"/>
        <v>438.1</v>
      </c>
      <c r="ES14" s="67">
        <f t="shared" si="73"/>
        <v>195.51219512195121</v>
      </c>
      <c r="EV14" s="42">
        <v>173</v>
      </c>
      <c r="EW14" s="128">
        <f t="shared" si="41"/>
        <v>0</v>
      </c>
      <c r="EX14" s="128">
        <f t="shared" si="42"/>
        <v>0</v>
      </c>
      <c r="EY14" s="128">
        <f t="shared" si="43"/>
        <v>0</v>
      </c>
      <c r="EZ14" s="128">
        <f t="shared" si="44"/>
        <v>0</v>
      </c>
      <c r="FA14" s="128">
        <f t="shared" si="45"/>
        <v>0</v>
      </c>
      <c r="FB14" s="128">
        <f t="shared" si="46"/>
        <v>0</v>
      </c>
      <c r="FC14" s="128">
        <f t="shared" si="47"/>
        <v>0</v>
      </c>
      <c r="FD14" s="128">
        <f t="shared" si="48"/>
        <v>0</v>
      </c>
      <c r="FE14" s="128">
        <f t="shared" si="49"/>
        <v>0</v>
      </c>
      <c r="FF14" s="128">
        <f t="shared" si="50"/>
        <v>0</v>
      </c>
      <c r="FG14" s="128">
        <f t="shared" si="51"/>
        <v>1.8138058530119642E-3</v>
      </c>
      <c r="FH14" s="128">
        <f t="shared" si="52"/>
        <v>0</v>
      </c>
      <c r="FI14" s="128">
        <f t="shared" si="53"/>
        <v>2.2202979639867669E-5</v>
      </c>
      <c r="FJ14" s="128">
        <f t="shared" si="54"/>
        <v>9.7742156191965598E-5</v>
      </c>
      <c r="FK14" s="128">
        <f t="shared" si="55"/>
        <v>6.8806411138543728E-4</v>
      </c>
      <c r="FL14" s="128">
        <f t="shared" si="56"/>
        <v>3.7484700122399021E-3</v>
      </c>
      <c r="FM14" s="128">
        <f t="shared" si="57"/>
        <v>4.7054009819967263E-3</v>
      </c>
      <c r="FN14" s="128">
        <f t="shared" si="58"/>
        <v>2.6702269692923898E-3</v>
      </c>
      <c r="FO14" s="128">
        <f t="shared" si="59"/>
        <v>6.7550751946528242E-4</v>
      </c>
      <c r="FP14" s="128"/>
      <c r="FQ14" s="128">
        <f t="shared" si="74"/>
        <v>0</v>
      </c>
      <c r="FR14" s="128">
        <f t="shared" si="75"/>
        <v>2.7137042062415195E-3</v>
      </c>
      <c r="FS14" s="128">
        <f t="shared" si="76"/>
        <v>1.1199125921879268E-2</v>
      </c>
      <c r="FT14" s="128">
        <f t="shared" si="77"/>
        <v>1.0324167397393164E-2</v>
      </c>
      <c r="FU14" s="128">
        <f t="shared" si="78"/>
        <v>3.4354914900012882E-4</v>
      </c>
      <c r="FV14" s="128">
        <f t="shared" si="79"/>
        <v>3.997456164259108E-3</v>
      </c>
      <c r="FW14" s="128">
        <f t="shared" si="80"/>
        <v>2.0596222500228849E-3</v>
      </c>
      <c r="FX14" s="128">
        <f t="shared" si="81"/>
        <v>0</v>
      </c>
      <c r="FY14" s="128">
        <f t="shared" si="82"/>
        <v>1.1288001439107753E-2</v>
      </c>
      <c r="FZ14" s="128">
        <f t="shared" si="83"/>
        <v>3.5924558427302663E-3</v>
      </c>
      <c r="GA14" s="128">
        <f t="shared" si="84"/>
        <v>7.1982724146204906E-4</v>
      </c>
      <c r="GB14" s="128">
        <f t="shared" si="85"/>
        <v>0</v>
      </c>
      <c r="GC14" s="128">
        <f t="shared" si="86"/>
        <v>5.3264193380494487E-4</v>
      </c>
      <c r="GD14" s="128">
        <f t="shared" si="87"/>
        <v>0</v>
      </c>
      <c r="GE14" s="128">
        <f t="shared" si="88"/>
        <v>2.7049943128942197E-2</v>
      </c>
      <c r="GF14" s="128">
        <f t="shared" si="89"/>
        <v>1.5704058110014709E-2</v>
      </c>
      <c r="GG14" s="128">
        <f t="shared" si="90"/>
        <v>1.4771698554546541E-4</v>
      </c>
      <c r="GH14" s="128">
        <f t="shared" si="91"/>
        <v>1.7735999645280007E-3</v>
      </c>
      <c r="GI14" s="128">
        <f t="shared" si="92"/>
        <v>9.3867898983699479E-4</v>
      </c>
      <c r="GJ14" s="128">
        <f t="shared" si="93"/>
        <v>6.6290102059136295E-4</v>
      </c>
      <c r="GK14" s="128">
        <f t="shared" si="94"/>
        <v>5.2278956451121718E-3</v>
      </c>
      <c r="GL14" s="128">
        <f t="shared" si="95"/>
        <v>6.0548814454212984E-4</v>
      </c>
      <c r="GM14" s="128">
        <f t="shared" si="96"/>
        <v>2.9664689020731951E-3</v>
      </c>
      <c r="GN14" s="128">
        <f t="shared" si="97"/>
        <v>1.0374774144663985E-3</v>
      </c>
      <c r="GO14" s="128">
        <f t="shared" si="98"/>
        <v>5.0845468886484228E-3</v>
      </c>
      <c r="GP14" s="128">
        <f t="shared" si="99"/>
        <v>1.3589915502869669E-2</v>
      </c>
      <c r="GQ14" s="129">
        <f t="shared" si="100"/>
        <v>3.2034689458213814E-3</v>
      </c>
      <c r="GR14" s="129">
        <f t="shared" si="101"/>
        <v>3.3166015323486666E-3</v>
      </c>
    </row>
    <row r="15" spans="1:200" x14ac:dyDescent="0.25">
      <c r="A15" s="42">
        <v>174</v>
      </c>
      <c r="B15" s="81">
        <v>7</v>
      </c>
      <c r="C15" s="81">
        <v>11</v>
      </c>
      <c r="D15" s="81"/>
      <c r="E15" s="81"/>
      <c r="F15" s="81"/>
      <c r="G15" s="81"/>
      <c r="H15" s="81"/>
      <c r="I15" s="81"/>
      <c r="J15" s="81"/>
      <c r="K15" s="81"/>
      <c r="L15" s="81">
        <v>11</v>
      </c>
      <c r="M15" s="81"/>
      <c r="N15" s="81">
        <v>1</v>
      </c>
      <c r="O15" s="81">
        <v>0</v>
      </c>
      <c r="P15" s="81">
        <v>39</v>
      </c>
      <c r="Q15" s="81">
        <v>47</v>
      </c>
      <c r="R15" s="81">
        <v>68</v>
      </c>
      <c r="S15" s="81">
        <v>18</v>
      </c>
      <c r="T15" s="81">
        <v>78</v>
      </c>
      <c r="V15" s="81">
        <v>8</v>
      </c>
      <c r="W15" s="81">
        <v>1</v>
      </c>
      <c r="X15" s="81">
        <v>10</v>
      </c>
      <c r="Y15" s="81">
        <v>20</v>
      </c>
      <c r="Z15" s="81">
        <v>1</v>
      </c>
      <c r="AA15" s="81">
        <v>136</v>
      </c>
      <c r="AB15" s="81">
        <v>49</v>
      </c>
      <c r="AC15" s="81"/>
      <c r="AD15" s="81">
        <v>97</v>
      </c>
      <c r="AE15" s="81">
        <v>4</v>
      </c>
      <c r="AF15" s="84">
        <v>7</v>
      </c>
      <c r="AG15" s="84">
        <v>0</v>
      </c>
      <c r="AH15" s="84">
        <v>0</v>
      </c>
      <c r="AI15" s="83">
        <v>0</v>
      </c>
      <c r="AJ15" s="83">
        <v>93</v>
      </c>
      <c r="AK15" s="83">
        <v>66</v>
      </c>
      <c r="AL15" s="81">
        <v>0</v>
      </c>
      <c r="AM15" s="90">
        <v>2</v>
      </c>
      <c r="AN15" s="90">
        <v>52</v>
      </c>
      <c r="AO15" s="90">
        <v>0</v>
      </c>
      <c r="AP15" s="81">
        <v>31</v>
      </c>
      <c r="AQ15" s="81">
        <v>0</v>
      </c>
      <c r="AR15" s="81">
        <v>96</v>
      </c>
      <c r="AS15" s="81">
        <v>3</v>
      </c>
      <c r="AT15" s="81">
        <v>765</v>
      </c>
      <c r="AU15" s="81">
        <v>1527</v>
      </c>
      <c r="AV15" s="71">
        <f t="shared" si="113"/>
        <v>247.6</v>
      </c>
      <c r="AW15" s="71">
        <f t="shared" si="102"/>
        <v>707.193253968254</v>
      </c>
      <c r="AY15" s="42">
        <v>174</v>
      </c>
      <c r="AZ15" s="48">
        <f t="shared" si="0"/>
        <v>3.0513055228629962E-4</v>
      </c>
      <c r="BA15" s="48">
        <f t="shared" si="1"/>
        <v>5.7447252976812197E-4</v>
      </c>
      <c r="BB15" s="48">
        <f t="shared" si="2"/>
        <v>0</v>
      </c>
      <c r="BC15" s="48">
        <f t="shared" si="3"/>
        <v>0</v>
      </c>
      <c r="BD15" s="48">
        <f t="shared" si="4"/>
        <v>0</v>
      </c>
      <c r="BE15" s="48">
        <f t="shared" si="5"/>
        <v>0</v>
      </c>
      <c r="BF15" s="48">
        <f t="shared" si="6"/>
        <v>0</v>
      </c>
      <c r="BG15" s="48">
        <f t="shared" si="7"/>
        <v>0</v>
      </c>
      <c r="BH15" s="48">
        <f t="shared" si="8"/>
        <v>0</v>
      </c>
      <c r="BI15" s="48">
        <f t="shared" si="9"/>
        <v>0</v>
      </c>
      <c r="BJ15" s="48">
        <f t="shared" si="10"/>
        <v>3.8368969967560781E-4</v>
      </c>
      <c r="BK15" s="48">
        <f t="shared" si="11"/>
        <v>0</v>
      </c>
      <c r="BL15" s="48">
        <f t="shared" si="12"/>
        <v>2.2202979639867669E-5</v>
      </c>
      <c r="BM15" s="48">
        <f t="shared" si="13"/>
        <v>0</v>
      </c>
      <c r="BN15" s="48">
        <f t="shared" si="14"/>
        <v>1.5785000202371798E-3</v>
      </c>
      <c r="BO15" s="48">
        <f t="shared" si="15"/>
        <v>1.1984904120767035E-3</v>
      </c>
      <c r="BP15" s="48">
        <f t="shared" si="16"/>
        <v>1.9873743277998598E-3</v>
      </c>
      <c r="BQ15" s="48">
        <f t="shared" si="17"/>
        <v>9.6128170894526038E-4</v>
      </c>
      <c r="BR15" s="48">
        <f t="shared" si="18"/>
        <v>2.7731361325416858E-3</v>
      </c>
      <c r="BS15" s="48"/>
      <c r="BT15" s="48">
        <f t="shared" si="19"/>
        <v>1.3920548469609703E-4</v>
      </c>
      <c r="BU15" s="48">
        <f t="shared" si="20"/>
        <v>3.3921302578018993E-4</v>
      </c>
      <c r="BV15" s="48">
        <f t="shared" si="21"/>
        <v>2.7314941272876263E-3</v>
      </c>
      <c r="BW15" s="48">
        <f t="shared" si="22"/>
        <v>8.3596497144883925E-4</v>
      </c>
      <c r="BX15" s="48">
        <f t="shared" si="23"/>
        <v>1.4314547875005369E-5</v>
      </c>
      <c r="BY15" s="48">
        <f t="shared" si="24"/>
        <v>1.7651105140884373E-3</v>
      </c>
      <c r="BZ15" s="48">
        <f t="shared" si="25"/>
        <v>7.4756659445275077E-4</v>
      </c>
      <c r="CA15" s="48">
        <f t="shared" si="26"/>
        <v>0</v>
      </c>
      <c r="CB15" s="48">
        <f t="shared" si="27"/>
        <v>1.4540984589554477E-3</v>
      </c>
      <c r="CC15" s="48">
        <f t="shared" si="28"/>
        <v>3.9916176030336295E-4</v>
      </c>
      <c r="CD15" s="48">
        <f t="shared" si="29"/>
        <v>5.5986563224826047E-4</v>
      </c>
      <c r="CE15" s="48">
        <f t="shared" si="30"/>
        <v>0</v>
      </c>
      <c r="CF15" s="48">
        <f t="shared" si="31"/>
        <v>0</v>
      </c>
      <c r="CG15" s="48">
        <f t="shared" si="32"/>
        <v>0</v>
      </c>
      <c r="CH15" s="48">
        <f t="shared" si="33"/>
        <v>1.9232757729293764E-3</v>
      </c>
      <c r="CI15" s="48">
        <f t="shared" si="34"/>
        <v>3.387149788434545E-3</v>
      </c>
      <c r="CJ15" s="48">
        <f t="shared" si="35"/>
        <v>0</v>
      </c>
      <c r="CK15" s="48">
        <f t="shared" si="36"/>
        <v>8.8679998226400041E-5</v>
      </c>
      <c r="CL15" s="48">
        <f t="shared" si="37"/>
        <v>9.3867898983699479E-4</v>
      </c>
      <c r="CM15" s="48">
        <f t="shared" si="61"/>
        <v>0</v>
      </c>
      <c r="CN15" s="48">
        <f t="shared" si="62"/>
        <v>5.2448144012452204E-4</v>
      </c>
      <c r="CO15" s="48">
        <f t="shared" si="63"/>
        <v>0</v>
      </c>
      <c r="CP15" s="48">
        <f t="shared" si="64"/>
        <v>1.5998933404439703E-3</v>
      </c>
      <c r="CQ15" s="48">
        <f t="shared" si="112"/>
        <v>3.4971148802238151E-5</v>
      </c>
      <c r="CR15" s="48">
        <f t="shared" si="65"/>
        <v>4.9867671407897995E-3</v>
      </c>
      <c r="CS15" s="48">
        <f t="shared" si="66"/>
        <v>7.2609520548922273E-3</v>
      </c>
      <c r="CT15" s="68">
        <f t="shared" si="67"/>
        <v>4.7469113571329963E-3</v>
      </c>
      <c r="CU15" s="68">
        <f t="shared" si="68"/>
        <v>4.2589312902153072E-3</v>
      </c>
      <c r="CW15" s="42">
        <v>174</v>
      </c>
      <c r="CX15" s="58">
        <f t="shared" si="128"/>
        <v>7</v>
      </c>
      <c r="CY15" s="58">
        <f t="shared" si="129"/>
        <v>11</v>
      </c>
      <c r="CZ15" s="58">
        <f t="shared" si="130"/>
        <v>0</v>
      </c>
      <c r="DA15" s="58">
        <f t="shared" si="131"/>
        <v>0</v>
      </c>
      <c r="DB15" s="58">
        <f t="shared" si="132"/>
        <v>0</v>
      </c>
      <c r="DC15" s="58">
        <f t="shared" si="133"/>
        <v>0</v>
      </c>
      <c r="DD15" s="58">
        <f t="shared" si="134"/>
        <v>0</v>
      </c>
      <c r="DE15" s="58">
        <f t="shared" si="135"/>
        <v>0</v>
      </c>
      <c r="DF15" s="58">
        <f t="shared" si="136"/>
        <v>0</v>
      </c>
      <c r="DG15" s="58">
        <f t="shared" si="137"/>
        <v>0</v>
      </c>
      <c r="DH15" s="58">
        <f t="shared" si="138"/>
        <v>63</v>
      </c>
      <c r="DI15" s="58">
        <f t="shared" si="139"/>
        <v>0</v>
      </c>
      <c r="DJ15" s="58">
        <f t="shared" si="140"/>
        <v>2</v>
      </c>
      <c r="DK15" s="58">
        <f t="shared" si="141"/>
        <v>1</v>
      </c>
      <c r="DL15" s="58">
        <f t="shared" si="142"/>
        <v>56</v>
      </c>
      <c r="DM15" s="58">
        <f t="shared" si="143"/>
        <v>194</v>
      </c>
      <c r="DN15" s="58">
        <f t="shared" si="144"/>
        <v>229</v>
      </c>
      <c r="DO15" s="58">
        <f t="shared" si="145"/>
        <v>68</v>
      </c>
      <c r="DP15" s="58">
        <f t="shared" si="146"/>
        <v>97</v>
      </c>
      <c r="DQ15" s="58"/>
      <c r="DR15" s="58">
        <f t="shared" si="147"/>
        <v>8</v>
      </c>
      <c r="DS15" s="58">
        <f t="shared" si="148"/>
        <v>9</v>
      </c>
      <c r="DT15" s="58">
        <f t="shared" si="149"/>
        <v>51</v>
      </c>
      <c r="DU15" s="58">
        <f t="shared" si="150"/>
        <v>267</v>
      </c>
      <c r="DV15" s="58">
        <f t="shared" si="151"/>
        <v>25</v>
      </c>
      <c r="DW15" s="58">
        <f t="shared" si="152"/>
        <v>444</v>
      </c>
      <c r="DX15" s="58">
        <f t="shared" si="153"/>
        <v>184</v>
      </c>
      <c r="DY15" s="58">
        <f t="shared" si="115"/>
        <v>0</v>
      </c>
      <c r="DZ15" s="58">
        <f t="shared" si="116"/>
        <v>850</v>
      </c>
      <c r="EA15" s="58">
        <f t="shared" si="117"/>
        <v>40</v>
      </c>
      <c r="EB15" s="58">
        <f t="shared" si="118"/>
        <v>16</v>
      </c>
      <c r="EC15" s="58">
        <f t="shared" si="119"/>
        <v>0</v>
      </c>
      <c r="ED15" s="58">
        <f t="shared" si="120"/>
        <v>12</v>
      </c>
      <c r="EE15" s="58">
        <f t="shared" si="121"/>
        <v>0</v>
      </c>
      <c r="EF15" s="58">
        <f t="shared" si="122"/>
        <v>1401</v>
      </c>
      <c r="EG15" s="58">
        <f t="shared" si="123"/>
        <v>372</v>
      </c>
      <c r="EH15" s="58">
        <f t="shared" si="124"/>
        <v>2</v>
      </c>
      <c r="EI15" s="58">
        <f t="shared" si="125"/>
        <v>42</v>
      </c>
      <c r="EJ15" s="58">
        <f t="shared" si="126"/>
        <v>104</v>
      </c>
      <c r="EK15" s="58">
        <f t="shared" si="127"/>
        <v>48</v>
      </c>
      <c r="EL15" s="58">
        <f t="shared" si="105"/>
        <v>340</v>
      </c>
      <c r="EM15" s="58">
        <f t="shared" si="106"/>
        <v>25</v>
      </c>
      <c r="EN15" s="58">
        <f t="shared" si="107"/>
        <v>274</v>
      </c>
      <c r="EO15" s="58">
        <f t="shared" si="108"/>
        <v>92</v>
      </c>
      <c r="EP15" s="58">
        <f t="shared" si="109"/>
        <v>1545</v>
      </c>
      <c r="EQ15" s="58">
        <f t="shared" si="110"/>
        <v>4385</v>
      </c>
      <c r="ER15" s="67">
        <f t="shared" si="72"/>
        <v>685.7</v>
      </c>
      <c r="ES15" s="67">
        <f t="shared" si="73"/>
        <v>274.29268292682929</v>
      </c>
      <c r="EV15" s="42">
        <v>174</v>
      </c>
      <c r="EW15" s="128">
        <f t="shared" si="41"/>
        <v>3.0513055228629962E-4</v>
      </c>
      <c r="EX15" s="128">
        <f t="shared" si="42"/>
        <v>5.7447252976812197E-4</v>
      </c>
      <c r="EY15" s="128">
        <f t="shared" si="43"/>
        <v>0</v>
      </c>
      <c r="EZ15" s="128">
        <f t="shared" si="44"/>
        <v>0</v>
      </c>
      <c r="FA15" s="128">
        <f t="shared" si="45"/>
        <v>0</v>
      </c>
      <c r="FB15" s="128">
        <f t="shared" si="46"/>
        <v>0</v>
      </c>
      <c r="FC15" s="128">
        <f t="shared" si="47"/>
        <v>0</v>
      </c>
      <c r="FD15" s="128">
        <f t="shared" si="48"/>
        <v>0</v>
      </c>
      <c r="FE15" s="128">
        <f t="shared" si="49"/>
        <v>0</v>
      </c>
      <c r="FF15" s="128">
        <f t="shared" si="50"/>
        <v>0</v>
      </c>
      <c r="FG15" s="128">
        <f t="shared" si="51"/>
        <v>2.1974955526875718E-3</v>
      </c>
      <c r="FH15" s="128">
        <f t="shared" si="52"/>
        <v>0</v>
      </c>
      <c r="FI15" s="128">
        <f t="shared" si="53"/>
        <v>4.4405959279735337E-5</v>
      </c>
      <c r="FJ15" s="128">
        <f t="shared" si="54"/>
        <v>9.7742156191965598E-5</v>
      </c>
      <c r="FK15" s="128">
        <f t="shared" si="55"/>
        <v>2.2665641316226169E-3</v>
      </c>
      <c r="FL15" s="128">
        <f t="shared" si="56"/>
        <v>4.9469604243166055E-3</v>
      </c>
      <c r="FM15" s="128">
        <f t="shared" si="57"/>
        <v>6.6927753097965866E-3</v>
      </c>
      <c r="FN15" s="128">
        <f t="shared" si="58"/>
        <v>3.6315086782376504E-3</v>
      </c>
      <c r="FO15" s="128">
        <f t="shared" si="59"/>
        <v>3.4486436520069683E-3</v>
      </c>
      <c r="FP15" s="128"/>
      <c r="FQ15" s="128">
        <f t="shared" si="74"/>
        <v>1.3920548469609703E-4</v>
      </c>
      <c r="FR15" s="128">
        <f t="shared" si="75"/>
        <v>3.0529172320217096E-3</v>
      </c>
      <c r="FS15" s="128">
        <f t="shared" si="76"/>
        <v>1.3930620049166894E-2</v>
      </c>
      <c r="FT15" s="128">
        <f t="shared" si="77"/>
        <v>1.1160132368842004E-2</v>
      </c>
      <c r="FU15" s="128">
        <f t="shared" si="78"/>
        <v>3.5786369687513419E-4</v>
      </c>
      <c r="FV15" s="128">
        <f t="shared" si="79"/>
        <v>5.762566678347545E-3</v>
      </c>
      <c r="FW15" s="128">
        <f t="shared" si="80"/>
        <v>2.8071888444756356E-3</v>
      </c>
      <c r="FX15" s="128">
        <f t="shared" si="81"/>
        <v>0</v>
      </c>
      <c r="FY15" s="128">
        <f t="shared" si="82"/>
        <v>1.27420998980632E-2</v>
      </c>
      <c r="FZ15" s="128">
        <f t="shared" si="83"/>
        <v>3.9916176030336294E-3</v>
      </c>
      <c r="GA15" s="128">
        <f t="shared" si="84"/>
        <v>1.2796928737103094E-3</v>
      </c>
      <c r="GB15" s="128">
        <f t="shared" si="85"/>
        <v>0</v>
      </c>
      <c r="GC15" s="128">
        <f t="shared" si="86"/>
        <v>5.3264193380494487E-4</v>
      </c>
      <c r="GD15" s="128">
        <f t="shared" si="87"/>
        <v>0</v>
      </c>
      <c r="GE15" s="128">
        <f t="shared" si="88"/>
        <v>2.8973218901871576E-2</v>
      </c>
      <c r="GF15" s="128">
        <f t="shared" si="89"/>
        <v>1.9091207898449251E-2</v>
      </c>
      <c r="GG15" s="128">
        <f t="shared" si="90"/>
        <v>1.4771698554546541E-4</v>
      </c>
      <c r="GH15" s="128">
        <f t="shared" si="91"/>
        <v>1.8622799627544008E-3</v>
      </c>
      <c r="GI15" s="128">
        <f t="shared" si="92"/>
        <v>1.8773579796739896E-3</v>
      </c>
      <c r="GJ15" s="128">
        <f t="shared" si="93"/>
        <v>6.6290102059136295E-4</v>
      </c>
      <c r="GK15" s="128">
        <f t="shared" si="94"/>
        <v>5.7523770852366931E-3</v>
      </c>
      <c r="GL15" s="128">
        <f t="shared" si="95"/>
        <v>6.0548814454212984E-4</v>
      </c>
      <c r="GM15" s="128">
        <f t="shared" si="96"/>
        <v>4.5663622425171652E-3</v>
      </c>
      <c r="GN15" s="128">
        <f t="shared" si="97"/>
        <v>1.0724485632686367E-3</v>
      </c>
      <c r="GO15" s="128">
        <f t="shared" si="98"/>
        <v>1.0071314029438222E-2</v>
      </c>
      <c r="GP15" s="128">
        <f t="shared" si="99"/>
        <v>2.0850867557761894E-2</v>
      </c>
      <c r="GQ15" s="129">
        <f t="shared" si="100"/>
        <v>4.7469113571329954E-3</v>
      </c>
      <c r="GR15" s="129">
        <f t="shared" si="101"/>
        <v>4.2589312902153063E-3</v>
      </c>
    </row>
    <row r="16" spans="1:200" x14ac:dyDescent="0.25">
      <c r="A16" s="42">
        <v>175</v>
      </c>
      <c r="B16" s="81">
        <v>33</v>
      </c>
      <c r="C16" s="81">
        <v>12</v>
      </c>
      <c r="D16" s="81">
        <v>15</v>
      </c>
      <c r="E16" s="81"/>
      <c r="F16" s="81"/>
      <c r="G16" s="81">
        <v>0</v>
      </c>
      <c r="H16" s="81"/>
      <c r="I16" s="81"/>
      <c r="J16" s="81"/>
      <c r="K16" s="81"/>
      <c r="L16" s="81">
        <v>11</v>
      </c>
      <c r="M16" s="81"/>
      <c r="N16" s="81">
        <v>0</v>
      </c>
      <c r="O16" s="81">
        <v>0</v>
      </c>
      <c r="P16" s="81">
        <v>35</v>
      </c>
      <c r="Q16" s="81">
        <v>54</v>
      </c>
      <c r="R16" s="81">
        <v>134</v>
      </c>
      <c r="S16" s="81">
        <v>21</v>
      </c>
      <c r="T16" s="81">
        <v>32</v>
      </c>
      <c r="V16" s="81">
        <v>76</v>
      </c>
      <c r="W16" s="81">
        <v>3</v>
      </c>
      <c r="X16" s="81">
        <v>9</v>
      </c>
      <c r="Y16" s="81">
        <v>36</v>
      </c>
      <c r="Z16" s="81">
        <v>0</v>
      </c>
      <c r="AA16" s="81">
        <v>36</v>
      </c>
      <c r="AB16" s="81">
        <v>58</v>
      </c>
      <c r="AC16" s="81"/>
      <c r="AD16" s="81">
        <v>61</v>
      </c>
      <c r="AE16" s="81">
        <v>7</v>
      </c>
      <c r="AF16" s="84">
        <v>0</v>
      </c>
      <c r="AG16" s="84">
        <v>0</v>
      </c>
      <c r="AH16" s="84">
        <v>0</v>
      </c>
      <c r="AI16" s="83">
        <v>2</v>
      </c>
      <c r="AJ16" s="83">
        <v>667</v>
      </c>
      <c r="AK16" s="83">
        <v>349</v>
      </c>
      <c r="AL16" s="81">
        <v>1</v>
      </c>
      <c r="AM16" s="90">
        <v>6</v>
      </c>
      <c r="AN16" s="90">
        <v>170</v>
      </c>
      <c r="AO16" s="90">
        <v>0</v>
      </c>
      <c r="AP16" s="81">
        <v>30</v>
      </c>
      <c r="AQ16" s="81">
        <v>0</v>
      </c>
      <c r="AR16" s="81">
        <v>104</v>
      </c>
      <c r="AS16" s="81">
        <v>3</v>
      </c>
      <c r="AT16" s="81">
        <v>2060</v>
      </c>
      <c r="AU16" s="81">
        <v>45</v>
      </c>
      <c r="AV16" s="71">
        <f t="shared" si="113"/>
        <v>241.9</v>
      </c>
      <c r="AW16" s="71">
        <f t="shared" si="102"/>
        <v>949.09325396825398</v>
      </c>
      <c r="AY16" s="42">
        <v>175</v>
      </c>
      <c r="AZ16" s="48">
        <f t="shared" si="0"/>
        <v>1.4384726036354126E-3</v>
      </c>
      <c r="BA16" s="48">
        <f t="shared" si="1"/>
        <v>6.2669730520158759E-4</v>
      </c>
      <c r="BB16" s="48">
        <f t="shared" si="2"/>
        <v>6.5568037767189751E-4</v>
      </c>
      <c r="BC16" s="48">
        <f t="shared" si="3"/>
        <v>0</v>
      </c>
      <c r="BD16" s="48">
        <f t="shared" si="4"/>
        <v>0</v>
      </c>
      <c r="BE16" s="48">
        <f t="shared" si="5"/>
        <v>0</v>
      </c>
      <c r="BF16" s="48">
        <f t="shared" si="6"/>
        <v>0</v>
      </c>
      <c r="BG16" s="48">
        <f t="shared" si="7"/>
        <v>0</v>
      </c>
      <c r="BH16" s="48">
        <f t="shared" si="8"/>
        <v>0</v>
      </c>
      <c r="BI16" s="48">
        <f t="shared" si="9"/>
        <v>0</v>
      </c>
      <c r="BJ16" s="48">
        <f t="shared" si="10"/>
        <v>3.8368969967560781E-4</v>
      </c>
      <c r="BK16" s="48">
        <f t="shared" si="11"/>
        <v>0</v>
      </c>
      <c r="BL16" s="48">
        <f t="shared" si="12"/>
        <v>0</v>
      </c>
      <c r="BM16" s="48">
        <f t="shared" si="13"/>
        <v>0</v>
      </c>
      <c r="BN16" s="48">
        <f t="shared" si="14"/>
        <v>1.4166025822641357E-3</v>
      </c>
      <c r="BO16" s="48">
        <f t="shared" si="15"/>
        <v>1.3769889840881274E-3</v>
      </c>
      <c r="BP16" s="48">
        <f t="shared" si="16"/>
        <v>3.9162964694879586E-3</v>
      </c>
      <c r="BQ16" s="48">
        <f t="shared" si="17"/>
        <v>1.1214953271028037E-3</v>
      </c>
      <c r="BR16" s="48">
        <f t="shared" si="18"/>
        <v>1.1376968748888969E-3</v>
      </c>
      <c r="BS16" s="48"/>
      <c r="BT16" s="48">
        <f t="shared" si="19"/>
        <v>1.3224521046129218E-3</v>
      </c>
      <c r="BU16" s="48">
        <f t="shared" si="20"/>
        <v>1.0176390773405698E-3</v>
      </c>
      <c r="BV16" s="48">
        <f t="shared" si="21"/>
        <v>2.4583447145588638E-3</v>
      </c>
      <c r="BW16" s="48">
        <f t="shared" si="22"/>
        <v>1.5047369486079105E-3</v>
      </c>
      <c r="BX16" s="48">
        <f t="shared" si="23"/>
        <v>0</v>
      </c>
      <c r="BY16" s="48">
        <f t="shared" si="24"/>
        <v>4.6723513608223341E-4</v>
      </c>
      <c r="BZ16" s="48">
        <f t="shared" si="25"/>
        <v>8.8487474445427634E-4</v>
      </c>
      <c r="CA16" s="48">
        <f t="shared" si="26"/>
        <v>0</v>
      </c>
      <c r="CB16" s="48">
        <f t="shared" si="27"/>
        <v>9.1443305150806504E-4</v>
      </c>
      <c r="CC16" s="48">
        <f t="shared" si="28"/>
        <v>6.9853308053088512E-4</v>
      </c>
      <c r="CD16" s="48">
        <f t="shared" si="29"/>
        <v>0</v>
      </c>
      <c r="CE16" s="48">
        <f t="shared" si="30"/>
        <v>0</v>
      </c>
      <c r="CF16" s="48">
        <f t="shared" si="31"/>
        <v>0</v>
      </c>
      <c r="CG16" s="48">
        <f t="shared" si="32"/>
        <v>4.9662296384584823E-5</v>
      </c>
      <c r="CH16" s="48">
        <f t="shared" si="33"/>
        <v>1.3793816564988109E-2</v>
      </c>
      <c r="CI16" s="48">
        <f t="shared" si="34"/>
        <v>1.7910837517631156E-2</v>
      </c>
      <c r="CJ16" s="48">
        <f t="shared" si="35"/>
        <v>7.3858492772732704E-5</v>
      </c>
      <c r="CK16" s="48">
        <f t="shared" si="36"/>
        <v>2.660399946792001E-4</v>
      </c>
      <c r="CL16" s="48">
        <f t="shared" si="37"/>
        <v>3.0687582360055597E-3</v>
      </c>
      <c r="CM16" s="48">
        <f t="shared" si="61"/>
        <v>0</v>
      </c>
      <c r="CN16" s="48">
        <f t="shared" si="62"/>
        <v>5.0756268399147297E-4</v>
      </c>
      <c r="CO16" s="48">
        <f t="shared" si="63"/>
        <v>0</v>
      </c>
      <c r="CP16" s="48">
        <f t="shared" si="64"/>
        <v>1.733217785480968E-3</v>
      </c>
      <c r="CQ16" s="48">
        <f t="shared" si="112"/>
        <v>3.4971148802238151E-5</v>
      </c>
      <c r="CR16" s="48">
        <f t="shared" si="65"/>
        <v>1.3428418705917631E-2</v>
      </c>
      <c r="CS16" s="48">
        <f t="shared" si="66"/>
        <v>2.1397697607737406E-4</v>
      </c>
      <c r="CT16" s="68">
        <f t="shared" si="67"/>
        <v>6.6795917595057139E-3</v>
      </c>
      <c r="CU16" s="68">
        <f t="shared" si="68"/>
        <v>5.9589834657746803E-3</v>
      </c>
      <c r="CW16" s="42">
        <v>175</v>
      </c>
      <c r="CX16" s="58">
        <f t="shared" si="128"/>
        <v>40</v>
      </c>
      <c r="CY16" s="58">
        <f t="shared" si="129"/>
        <v>23</v>
      </c>
      <c r="CZ16" s="58">
        <f t="shared" si="130"/>
        <v>15</v>
      </c>
      <c r="DA16" s="58">
        <f t="shared" si="131"/>
        <v>0</v>
      </c>
      <c r="DB16" s="58">
        <f t="shared" si="132"/>
        <v>0</v>
      </c>
      <c r="DC16" s="58">
        <f t="shared" si="133"/>
        <v>0</v>
      </c>
      <c r="DD16" s="58">
        <f t="shared" si="134"/>
        <v>0</v>
      </c>
      <c r="DE16" s="58">
        <f t="shared" si="135"/>
        <v>0</v>
      </c>
      <c r="DF16" s="58">
        <f t="shared" si="136"/>
        <v>0</v>
      </c>
      <c r="DG16" s="58">
        <f t="shared" si="137"/>
        <v>0</v>
      </c>
      <c r="DH16" s="58">
        <f t="shared" si="138"/>
        <v>74</v>
      </c>
      <c r="DI16" s="58">
        <f t="shared" si="139"/>
        <v>0</v>
      </c>
      <c r="DJ16" s="58">
        <f t="shared" si="140"/>
        <v>2</v>
      </c>
      <c r="DK16" s="58">
        <f t="shared" si="141"/>
        <v>1</v>
      </c>
      <c r="DL16" s="58">
        <f t="shared" si="142"/>
        <v>91</v>
      </c>
      <c r="DM16" s="58">
        <f t="shared" si="143"/>
        <v>248</v>
      </c>
      <c r="DN16" s="58">
        <f t="shared" si="144"/>
        <v>363</v>
      </c>
      <c r="DO16" s="58">
        <f t="shared" si="145"/>
        <v>89</v>
      </c>
      <c r="DP16" s="58">
        <f t="shared" si="146"/>
        <v>129</v>
      </c>
      <c r="DQ16" s="58"/>
      <c r="DR16" s="58">
        <f t="shared" si="147"/>
        <v>84</v>
      </c>
      <c r="DS16" s="58">
        <f t="shared" si="148"/>
        <v>12</v>
      </c>
      <c r="DT16" s="58">
        <f t="shared" si="149"/>
        <v>60</v>
      </c>
      <c r="DU16" s="58">
        <f t="shared" si="150"/>
        <v>303</v>
      </c>
      <c r="DV16" s="58">
        <f t="shared" si="151"/>
        <v>25</v>
      </c>
      <c r="DW16" s="58">
        <f t="shared" si="152"/>
        <v>480</v>
      </c>
      <c r="DX16" s="58">
        <f t="shared" si="153"/>
        <v>242</v>
      </c>
      <c r="DY16" s="58">
        <f t="shared" si="115"/>
        <v>0</v>
      </c>
      <c r="DZ16" s="58">
        <f t="shared" si="116"/>
        <v>911</v>
      </c>
      <c r="EA16" s="58">
        <f t="shared" si="117"/>
        <v>47</v>
      </c>
      <c r="EB16" s="58">
        <f t="shared" si="118"/>
        <v>16</v>
      </c>
      <c r="EC16" s="58">
        <f t="shared" si="119"/>
        <v>0</v>
      </c>
      <c r="ED16" s="58">
        <f t="shared" si="120"/>
        <v>12</v>
      </c>
      <c r="EE16" s="58">
        <f t="shared" si="121"/>
        <v>2</v>
      </c>
      <c r="EF16" s="58">
        <f t="shared" si="122"/>
        <v>2068</v>
      </c>
      <c r="EG16" s="58">
        <f t="shared" si="123"/>
        <v>721</v>
      </c>
      <c r="EH16" s="58">
        <f t="shared" si="124"/>
        <v>3</v>
      </c>
      <c r="EI16" s="58">
        <f t="shared" si="125"/>
        <v>48</v>
      </c>
      <c r="EJ16" s="58">
        <f t="shared" si="126"/>
        <v>274</v>
      </c>
      <c r="EK16" s="58">
        <f t="shared" si="127"/>
        <v>48</v>
      </c>
      <c r="EL16" s="58">
        <f t="shared" si="105"/>
        <v>370</v>
      </c>
      <c r="EM16" s="58">
        <f>EM15+AQ16</f>
        <v>25</v>
      </c>
      <c r="EN16" s="58">
        <f t="shared" si="107"/>
        <v>378</v>
      </c>
      <c r="EO16" s="58">
        <f t="shared" si="108"/>
        <v>95</v>
      </c>
      <c r="EP16" s="58">
        <f t="shared" si="109"/>
        <v>3605</v>
      </c>
      <c r="EQ16" s="58">
        <f t="shared" si="110"/>
        <v>4430</v>
      </c>
      <c r="ER16" s="67">
        <f t="shared" si="72"/>
        <v>927.6</v>
      </c>
      <c r="ES16" s="67">
        <f t="shared" si="73"/>
        <v>372.09756097560978</v>
      </c>
      <c r="EV16" s="42">
        <v>175</v>
      </c>
      <c r="EW16" s="128">
        <f t="shared" si="41"/>
        <v>1.7436031559217122E-3</v>
      </c>
      <c r="EX16" s="128">
        <f t="shared" si="42"/>
        <v>1.2011698349697097E-3</v>
      </c>
      <c r="EY16" s="128">
        <f t="shared" si="43"/>
        <v>6.5568037767189751E-4</v>
      </c>
      <c r="EZ16" s="128">
        <f t="shared" si="44"/>
        <v>0</v>
      </c>
      <c r="FA16" s="128">
        <f t="shared" si="45"/>
        <v>0</v>
      </c>
      <c r="FB16" s="128">
        <f t="shared" si="46"/>
        <v>0</v>
      </c>
      <c r="FC16" s="128">
        <f t="shared" si="47"/>
        <v>0</v>
      </c>
      <c r="FD16" s="128">
        <f t="shared" si="48"/>
        <v>0</v>
      </c>
      <c r="FE16" s="128">
        <f t="shared" si="49"/>
        <v>0</v>
      </c>
      <c r="FF16" s="128">
        <f t="shared" si="50"/>
        <v>0</v>
      </c>
      <c r="FG16" s="128">
        <f t="shared" si="51"/>
        <v>2.5811852523631796E-3</v>
      </c>
      <c r="FH16" s="128">
        <f t="shared" si="52"/>
        <v>0</v>
      </c>
      <c r="FI16" s="128">
        <f t="shared" si="53"/>
        <v>4.4405959279735337E-5</v>
      </c>
      <c r="FJ16" s="128">
        <f t="shared" si="54"/>
        <v>9.7742156191965598E-5</v>
      </c>
      <c r="FK16" s="128">
        <f t="shared" si="55"/>
        <v>3.6831667138867525E-3</v>
      </c>
      <c r="FL16" s="128">
        <f t="shared" si="56"/>
        <v>6.3239494084047325E-3</v>
      </c>
      <c r="FM16" s="128">
        <f t="shared" si="57"/>
        <v>1.0609071779284546E-2</v>
      </c>
      <c r="FN16" s="128">
        <f t="shared" si="58"/>
        <v>4.7530040053404537E-3</v>
      </c>
      <c r="FO16" s="128">
        <f t="shared" si="59"/>
        <v>4.586340526895865E-3</v>
      </c>
      <c r="FP16" s="128"/>
      <c r="FQ16" s="128">
        <f t="shared" si="74"/>
        <v>1.4616575893090188E-3</v>
      </c>
      <c r="FR16" s="128">
        <f t="shared" si="75"/>
        <v>4.0705563093622792E-3</v>
      </c>
      <c r="FS16" s="128">
        <f t="shared" si="76"/>
        <v>1.6388964763725759E-2</v>
      </c>
      <c r="FT16" s="128">
        <f t="shared" si="77"/>
        <v>1.2664869317449914E-2</v>
      </c>
      <c r="FU16" s="128">
        <f t="shared" si="78"/>
        <v>3.5786369687513419E-4</v>
      </c>
      <c r="FV16" s="128">
        <f t="shared" si="79"/>
        <v>6.229801814429778E-3</v>
      </c>
      <c r="FW16" s="128">
        <f t="shared" si="80"/>
        <v>3.692063588929912E-3</v>
      </c>
      <c r="FX16" s="128">
        <f t="shared" si="81"/>
        <v>0</v>
      </c>
      <c r="FY16" s="128">
        <f t="shared" si="82"/>
        <v>1.3656532949571266E-2</v>
      </c>
      <c r="FZ16" s="128">
        <f t="shared" si="83"/>
        <v>4.6901506835645146E-3</v>
      </c>
      <c r="GA16" s="128">
        <f t="shared" si="84"/>
        <v>1.2796928737103094E-3</v>
      </c>
      <c r="GB16" s="128">
        <f t="shared" si="85"/>
        <v>0</v>
      </c>
      <c r="GC16" s="128">
        <f t="shared" si="86"/>
        <v>5.3264193380494487E-4</v>
      </c>
      <c r="GD16" s="128">
        <f t="shared" si="87"/>
        <v>4.9662296384584823E-5</v>
      </c>
      <c r="GE16" s="128">
        <f t="shared" si="88"/>
        <v>4.2767035466859685E-2</v>
      </c>
      <c r="GF16" s="128">
        <f t="shared" si="89"/>
        <v>3.700204541608041E-2</v>
      </c>
      <c r="GG16" s="128">
        <f t="shared" si="90"/>
        <v>2.2157547831819812E-4</v>
      </c>
      <c r="GH16" s="128">
        <f t="shared" si="91"/>
        <v>2.1283199574336008E-3</v>
      </c>
      <c r="GI16" s="128">
        <f t="shared" si="92"/>
        <v>4.9461162156795493E-3</v>
      </c>
      <c r="GJ16" s="128">
        <f t="shared" si="93"/>
        <v>6.6290102059136295E-4</v>
      </c>
      <c r="GK16" s="128">
        <f t="shared" si="94"/>
        <v>6.2599397692281664E-3</v>
      </c>
      <c r="GL16" s="128">
        <f t="shared" si="95"/>
        <v>6.0548814454212984E-4</v>
      </c>
      <c r="GM16" s="128">
        <f t="shared" si="96"/>
        <v>6.2995800279981333E-3</v>
      </c>
      <c r="GN16" s="128">
        <f t="shared" si="97"/>
        <v>1.1074197120708748E-3</v>
      </c>
      <c r="GO16" s="128">
        <f t="shared" si="98"/>
        <v>2.3499732735355851E-2</v>
      </c>
      <c r="GP16" s="128">
        <f t="shared" si="99"/>
        <v>2.1064844533839271E-2</v>
      </c>
      <c r="GQ16" s="129">
        <f t="shared" si="100"/>
        <v>6.6795917595057139E-3</v>
      </c>
      <c r="GR16" s="129">
        <f t="shared" si="101"/>
        <v>5.9589834657746803E-3</v>
      </c>
    </row>
    <row r="17" spans="1:200" x14ac:dyDescent="0.25">
      <c r="A17" s="42">
        <v>176</v>
      </c>
      <c r="B17" s="81">
        <v>11</v>
      </c>
      <c r="C17" s="81">
        <v>4</v>
      </c>
      <c r="D17" s="81">
        <v>40</v>
      </c>
      <c r="E17" s="81"/>
      <c r="F17" s="81"/>
      <c r="G17" s="81">
        <v>0</v>
      </c>
      <c r="H17" s="81">
        <v>1</v>
      </c>
      <c r="I17" s="81"/>
      <c r="J17" s="81"/>
      <c r="K17" s="81"/>
      <c r="L17" s="81">
        <v>11</v>
      </c>
      <c r="M17" s="81"/>
      <c r="N17" s="81">
        <v>0</v>
      </c>
      <c r="O17" s="81">
        <v>0</v>
      </c>
      <c r="P17" s="81">
        <v>10</v>
      </c>
      <c r="Q17" s="81">
        <v>277</v>
      </c>
      <c r="R17" s="81">
        <v>67</v>
      </c>
      <c r="S17" s="81">
        <v>10</v>
      </c>
      <c r="T17" s="81">
        <v>51</v>
      </c>
      <c r="V17" s="81">
        <v>135</v>
      </c>
      <c r="W17" s="81">
        <v>1</v>
      </c>
      <c r="X17" s="81">
        <v>4</v>
      </c>
      <c r="Y17" s="81">
        <v>23</v>
      </c>
      <c r="Z17" s="81">
        <v>0</v>
      </c>
      <c r="AA17" s="81">
        <v>33</v>
      </c>
      <c r="AB17" s="81">
        <v>47</v>
      </c>
      <c r="AC17" s="81">
        <v>246</v>
      </c>
      <c r="AD17" s="81">
        <v>63</v>
      </c>
      <c r="AE17" s="81">
        <v>1</v>
      </c>
      <c r="AF17" s="84">
        <v>12</v>
      </c>
      <c r="AG17" s="84">
        <v>18</v>
      </c>
      <c r="AH17" s="84">
        <v>0</v>
      </c>
      <c r="AI17" s="83">
        <v>120</v>
      </c>
      <c r="AJ17" s="83">
        <v>535</v>
      </c>
      <c r="AK17" s="83">
        <v>155</v>
      </c>
      <c r="AL17" s="81">
        <v>2</v>
      </c>
      <c r="AM17" s="90">
        <v>1</v>
      </c>
      <c r="AN17" s="90">
        <v>334</v>
      </c>
      <c r="AO17" s="90">
        <v>6</v>
      </c>
      <c r="AP17" s="81">
        <v>10</v>
      </c>
      <c r="AQ17" s="81">
        <v>1</v>
      </c>
      <c r="AR17" s="81">
        <v>118</v>
      </c>
      <c r="AS17" s="81">
        <v>14</v>
      </c>
      <c r="AT17" s="81">
        <v>48</v>
      </c>
      <c r="AU17" s="81">
        <v>75</v>
      </c>
      <c r="AV17" s="71">
        <f t="shared" si="113"/>
        <v>60.9</v>
      </c>
      <c r="AW17" s="71">
        <f t="shared" si="102"/>
        <v>1009.993253968254</v>
      </c>
      <c r="AY17" s="42">
        <v>176</v>
      </c>
      <c r="AZ17" s="48">
        <f t="shared" si="0"/>
        <v>4.7949086787847086E-4</v>
      </c>
      <c r="BA17" s="48">
        <f t="shared" si="1"/>
        <v>2.0889910173386254E-4</v>
      </c>
      <c r="BB17" s="48">
        <f t="shared" si="2"/>
        <v>1.7484810071250602E-3</v>
      </c>
      <c r="BC17" s="48">
        <f t="shared" si="3"/>
        <v>0</v>
      </c>
      <c r="BD17" s="48">
        <f t="shared" si="4"/>
        <v>0</v>
      </c>
      <c r="BE17" s="48">
        <f t="shared" si="5"/>
        <v>0</v>
      </c>
      <c r="BF17" s="48">
        <f t="shared" si="6"/>
        <v>9.3729496672602863E-5</v>
      </c>
      <c r="BG17" s="48">
        <f t="shared" si="7"/>
        <v>0</v>
      </c>
      <c r="BH17" s="48">
        <f t="shared" si="8"/>
        <v>0</v>
      </c>
      <c r="BI17" s="48">
        <f t="shared" si="9"/>
        <v>0</v>
      </c>
      <c r="BJ17" s="48">
        <f t="shared" si="10"/>
        <v>3.8368969967560781E-4</v>
      </c>
      <c r="BK17" s="48">
        <f t="shared" si="11"/>
        <v>0</v>
      </c>
      <c r="BL17" s="48">
        <f t="shared" si="12"/>
        <v>0</v>
      </c>
      <c r="BM17" s="48">
        <f t="shared" si="13"/>
        <v>0</v>
      </c>
      <c r="BN17" s="48">
        <f t="shared" si="14"/>
        <v>4.0474359493261017E-4</v>
      </c>
      <c r="BO17" s="48">
        <f t="shared" si="15"/>
        <v>7.06344349245206E-3</v>
      </c>
      <c r="BP17" s="48">
        <f t="shared" si="16"/>
        <v>1.9581482347439793E-3</v>
      </c>
      <c r="BQ17" s="48">
        <f t="shared" si="17"/>
        <v>5.3404539385847798E-4</v>
      </c>
      <c r="BR17" s="48">
        <f t="shared" si="18"/>
        <v>1.8132043943541792E-3</v>
      </c>
      <c r="BS17" s="48"/>
      <c r="BT17" s="48">
        <f t="shared" si="19"/>
        <v>2.3490925542466374E-3</v>
      </c>
      <c r="BU17" s="48">
        <f t="shared" si="20"/>
        <v>3.3921302578018993E-4</v>
      </c>
      <c r="BV17" s="48">
        <f t="shared" si="21"/>
        <v>1.0925976509150504E-3</v>
      </c>
      <c r="BW17" s="48">
        <f t="shared" si="22"/>
        <v>9.6135971716616506E-4</v>
      </c>
      <c r="BX17" s="48">
        <f t="shared" si="23"/>
        <v>0</v>
      </c>
      <c r="BY17" s="48">
        <f t="shared" si="24"/>
        <v>4.2829887474204727E-4</v>
      </c>
      <c r="BZ17" s="48">
        <f t="shared" si="25"/>
        <v>7.1705367223018953E-4</v>
      </c>
      <c r="CA17" s="48">
        <f t="shared" si="26"/>
        <v>2.4340289115141441E-3</v>
      </c>
      <c r="CB17" s="48">
        <f t="shared" si="27"/>
        <v>9.444144630329196E-4</v>
      </c>
      <c r="CC17" s="48">
        <f t="shared" si="28"/>
        <v>9.9790440075840737E-5</v>
      </c>
      <c r="CD17" s="48">
        <f t="shared" si="29"/>
        <v>9.5976965528273212E-4</v>
      </c>
      <c r="CE17" s="48">
        <f t="shared" si="30"/>
        <v>1.0569583088667059E-3</v>
      </c>
      <c r="CF17" s="48">
        <f t="shared" si="31"/>
        <v>0</v>
      </c>
      <c r="CG17" s="48">
        <f t="shared" si="32"/>
        <v>2.9797377830750892E-3</v>
      </c>
      <c r="CH17" s="48">
        <f t="shared" si="33"/>
        <v>1.1064005790507703E-2</v>
      </c>
      <c r="CI17" s="48">
        <f t="shared" si="34"/>
        <v>7.9546699576871892E-3</v>
      </c>
      <c r="CJ17" s="48">
        <f t="shared" si="35"/>
        <v>1.4771698554546541E-4</v>
      </c>
      <c r="CK17" s="48">
        <f t="shared" si="36"/>
        <v>4.433999911320002E-5</v>
      </c>
      <c r="CL17" s="48">
        <f t="shared" si="37"/>
        <v>6.0292073577991592E-3</v>
      </c>
      <c r="CM17" s="48">
        <f t="shared" si="61"/>
        <v>8.2862627573920369E-5</v>
      </c>
      <c r="CN17" s="48">
        <f>AP17/AP$104</f>
        <v>1.6918756133049099E-4</v>
      </c>
      <c r="CO17" s="48">
        <f t="shared" si="63"/>
        <v>2.4219525781685195E-5</v>
      </c>
      <c r="CP17" s="48">
        <f t="shared" si="64"/>
        <v>1.9665355642957136E-3</v>
      </c>
      <c r="CQ17" s="48">
        <f t="shared" si="112"/>
        <v>1.6319869441044471E-4</v>
      </c>
      <c r="CR17" s="48">
        <f t="shared" si="65"/>
        <v>3.1289519314759529E-4</v>
      </c>
      <c r="CS17" s="48">
        <f t="shared" si="66"/>
        <v>3.5662829346229011E-4</v>
      </c>
      <c r="CT17" s="68">
        <f t="shared" si="67"/>
        <v>7.6092709397517101E-3</v>
      </c>
      <c r="CU17" s="68">
        <f t="shared" si="68"/>
        <v>7.2987099758788773E-3</v>
      </c>
      <c r="CW17" s="42">
        <v>176</v>
      </c>
      <c r="CX17" s="58">
        <f t="shared" si="128"/>
        <v>51</v>
      </c>
      <c r="CY17" s="58">
        <f t="shared" si="129"/>
        <v>27</v>
      </c>
      <c r="CZ17" s="58">
        <f t="shared" si="130"/>
        <v>55</v>
      </c>
      <c r="DA17" s="58">
        <f t="shared" si="131"/>
        <v>0</v>
      </c>
      <c r="DB17" s="58">
        <f t="shared" si="132"/>
        <v>0</v>
      </c>
      <c r="DC17" s="58">
        <f t="shared" si="133"/>
        <v>0</v>
      </c>
      <c r="DD17" s="58">
        <f t="shared" si="134"/>
        <v>1</v>
      </c>
      <c r="DE17" s="58">
        <f t="shared" si="135"/>
        <v>0</v>
      </c>
      <c r="DF17" s="58">
        <f t="shared" si="136"/>
        <v>0</v>
      </c>
      <c r="DG17" s="58">
        <f t="shared" si="137"/>
        <v>0</v>
      </c>
      <c r="DH17" s="58">
        <f t="shared" si="138"/>
        <v>85</v>
      </c>
      <c r="DI17" s="58">
        <f t="shared" si="139"/>
        <v>0</v>
      </c>
      <c r="DJ17" s="58">
        <f t="shared" si="140"/>
        <v>2</v>
      </c>
      <c r="DK17" s="58">
        <f t="shared" si="141"/>
        <v>1</v>
      </c>
      <c r="DL17" s="58">
        <f t="shared" si="142"/>
        <v>101</v>
      </c>
      <c r="DM17" s="58">
        <f t="shared" si="143"/>
        <v>525</v>
      </c>
      <c r="DN17" s="58">
        <f t="shared" si="144"/>
        <v>430</v>
      </c>
      <c r="DO17" s="58">
        <f t="shared" si="145"/>
        <v>99</v>
      </c>
      <c r="DP17" s="58">
        <f t="shared" si="146"/>
        <v>180</v>
      </c>
      <c r="DQ17" s="58"/>
      <c r="DR17" s="58">
        <f t="shared" si="147"/>
        <v>219</v>
      </c>
      <c r="DS17" s="58">
        <f t="shared" si="148"/>
        <v>13</v>
      </c>
      <c r="DT17" s="58">
        <f t="shared" si="149"/>
        <v>64</v>
      </c>
      <c r="DU17" s="58">
        <f t="shared" si="150"/>
        <v>326</v>
      </c>
      <c r="DV17" s="58">
        <f t="shared" si="151"/>
        <v>25</v>
      </c>
      <c r="DW17" s="58">
        <f t="shared" si="152"/>
        <v>513</v>
      </c>
      <c r="DX17" s="58">
        <f t="shared" si="153"/>
        <v>289</v>
      </c>
      <c r="DY17" s="58">
        <f t="shared" si="115"/>
        <v>246</v>
      </c>
      <c r="DZ17" s="58">
        <f t="shared" si="116"/>
        <v>974</v>
      </c>
      <c r="EA17" s="58">
        <f t="shared" si="117"/>
        <v>48</v>
      </c>
      <c r="EB17" s="58">
        <f t="shared" si="118"/>
        <v>28</v>
      </c>
      <c r="EC17" s="58">
        <f t="shared" si="119"/>
        <v>18</v>
      </c>
      <c r="ED17" s="58">
        <f t="shared" si="120"/>
        <v>12</v>
      </c>
      <c r="EE17" s="58">
        <f t="shared" si="121"/>
        <v>122</v>
      </c>
      <c r="EF17" s="58">
        <f t="shared" si="122"/>
        <v>2603</v>
      </c>
      <c r="EG17" s="58">
        <f t="shared" si="123"/>
        <v>876</v>
      </c>
      <c r="EH17" s="58">
        <f t="shared" si="124"/>
        <v>5</v>
      </c>
      <c r="EI17" s="58">
        <f t="shared" si="125"/>
        <v>49</v>
      </c>
      <c r="EJ17" s="58">
        <f t="shared" si="126"/>
        <v>608</v>
      </c>
      <c r="EK17" s="58">
        <f t="shared" si="127"/>
        <v>54</v>
      </c>
      <c r="EL17" s="58">
        <f t="shared" si="105"/>
        <v>380</v>
      </c>
      <c r="EM17" s="58">
        <f t="shared" si="106"/>
        <v>26</v>
      </c>
      <c r="EN17" s="58">
        <f t="shared" si="107"/>
        <v>496</v>
      </c>
      <c r="EO17" s="58">
        <f t="shared" si="108"/>
        <v>109</v>
      </c>
      <c r="EP17" s="58">
        <f t="shared" si="109"/>
        <v>3653</v>
      </c>
      <c r="EQ17" s="58">
        <f t="shared" si="110"/>
        <v>4505</v>
      </c>
      <c r="ER17" s="67">
        <f t="shared" si="72"/>
        <v>988.5</v>
      </c>
      <c r="ES17" s="67">
        <f t="shared" si="73"/>
        <v>431.34146341463412</v>
      </c>
      <c r="EV17" s="42">
        <v>176</v>
      </c>
      <c r="EW17" s="128">
        <f t="shared" si="41"/>
        <v>2.2230940238001833E-3</v>
      </c>
      <c r="EX17" s="128">
        <f t="shared" si="42"/>
        <v>1.4100689367035721E-3</v>
      </c>
      <c r="EY17" s="128">
        <f t="shared" si="43"/>
        <v>2.4041613847969575E-3</v>
      </c>
      <c r="EZ17" s="128">
        <f t="shared" si="44"/>
        <v>0</v>
      </c>
      <c r="FA17" s="128">
        <f t="shared" si="45"/>
        <v>0</v>
      </c>
      <c r="FB17" s="128">
        <f t="shared" si="46"/>
        <v>0</v>
      </c>
      <c r="FC17" s="128">
        <f t="shared" si="47"/>
        <v>9.3729496672602863E-5</v>
      </c>
      <c r="FD17" s="128">
        <f t="shared" si="48"/>
        <v>0</v>
      </c>
      <c r="FE17" s="128">
        <f t="shared" si="49"/>
        <v>0</v>
      </c>
      <c r="FF17" s="128">
        <f t="shared" si="50"/>
        <v>0</v>
      </c>
      <c r="FG17" s="128">
        <f t="shared" si="51"/>
        <v>2.9648749520387874E-3</v>
      </c>
      <c r="FH17" s="128">
        <f t="shared" si="52"/>
        <v>0</v>
      </c>
      <c r="FI17" s="128">
        <f t="shared" si="53"/>
        <v>4.4405959279735337E-5</v>
      </c>
      <c r="FJ17" s="128">
        <f t="shared" si="54"/>
        <v>9.7742156191965598E-5</v>
      </c>
      <c r="FK17" s="128">
        <f t="shared" si="55"/>
        <v>4.0879103088193626E-3</v>
      </c>
      <c r="FL17" s="128">
        <f t="shared" si="56"/>
        <v>1.3387392900856793E-2</v>
      </c>
      <c r="FM17" s="128">
        <f t="shared" si="57"/>
        <v>1.2567220014028525E-2</v>
      </c>
      <c r="FN17" s="128">
        <f t="shared" si="58"/>
        <v>5.287049399198932E-3</v>
      </c>
      <c r="FO17" s="128">
        <f t="shared" si="59"/>
        <v>6.3995449212500442E-3</v>
      </c>
      <c r="FP17" s="128"/>
      <c r="FQ17" s="128">
        <f t="shared" si="74"/>
        <v>3.810750143555656E-3</v>
      </c>
      <c r="FR17" s="128">
        <f t="shared" si="75"/>
        <v>4.4097693351424693E-3</v>
      </c>
      <c r="FS17" s="128">
        <f t="shared" si="76"/>
        <v>1.7481562414640807E-2</v>
      </c>
      <c r="FT17" s="128">
        <f t="shared" si="77"/>
        <v>1.3626229034616079E-2</v>
      </c>
      <c r="FU17" s="128">
        <f t="shared" si="78"/>
        <v>3.5786369687513419E-4</v>
      </c>
      <c r="FV17" s="128">
        <f t="shared" si="79"/>
        <v>6.6581006891718256E-3</v>
      </c>
      <c r="FW17" s="128">
        <f t="shared" si="80"/>
        <v>4.4091172611601011E-3</v>
      </c>
      <c r="FX17" s="128">
        <f t="shared" si="81"/>
        <v>2.4340289115141441E-3</v>
      </c>
      <c r="FY17" s="128">
        <f t="shared" si="82"/>
        <v>1.4600947412604185E-2</v>
      </c>
      <c r="FZ17" s="128">
        <f t="shared" si="83"/>
        <v>4.7899411236403556E-3</v>
      </c>
      <c r="GA17" s="128">
        <f t="shared" si="84"/>
        <v>2.2394625289930419E-3</v>
      </c>
      <c r="GB17" s="128">
        <f t="shared" si="85"/>
        <v>1.0569583088667059E-3</v>
      </c>
      <c r="GC17" s="128">
        <f t="shared" si="86"/>
        <v>5.3264193380494487E-4</v>
      </c>
      <c r="GD17" s="128">
        <f t="shared" si="87"/>
        <v>3.0294000794596743E-3</v>
      </c>
      <c r="GE17" s="128">
        <f t="shared" si="88"/>
        <v>5.3831041257367387E-2</v>
      </c>
      <c r="GF17" s="128">
        <f t="shared" si="89"/>
        <v>4.4956715373767595E-2</v>
      </c>
      <c r="GG17" s="128">
        <f t="shared" si="90"/>
        <v>3.6929246386366353E-4</v>
      </c>
      <c r="GH17" s="128">
        <f t="shared" si="91"/>
        <v>2.1726599565468009E-3</v>
      </c>
      <c r="GI17" s="128">
        <f t="shared" si="92"/>
        <v>1.0975323573478708E-2</v>
      </c>
      <c r="GJ17" s="128">
        <f t="shared" si="93"/>
        <v>7.4576364816528336E-4</v>
      </c>
      <c r="GK17" s="128">
        <f t="shared" si="94"/>
        <v>6.4291273305586575E-3</v>
      </c>
      <c r="GL17" s="128">
        <f t="shared" si="95"/>
        <v>6.2970767032381508E-4</v>
      </c>
      <c r="GM17" s="128">
        <f t="shared" si="96"/>
        <v>8.2661155922938469E-3</v>
      </c>
      <c r="GN17" s="128">
        <f t="shared" si="97"/>
        <v>1.2706184064813196E-3</v>
      </c>
      <c r="GO17" s="128">
        <f t="shared" si="98"/>
        <v>2.3812627928503447E-2</v>
      </c>
      <c r="GP17" s="128">
        <f t="shared" si="99"/>
        <v>2.1421472827301561E-2</v>
      </c>
      <c r="GQ17" s="129">
        <f t="shared" si="100"/>
        <v>7.6092709397517101E-3</v>
      </c>
      <c r="GR17" s="129">
        <f t="shared" si="101"/>
        <v>7.2987099758788782E-3</v>
      </c>
    </row>
    <row r="18" spans="1:200" x14ac:dyDescent="0.25">
      <c r="A18" s="42">
        <v>177</v>
      </c>
      <c r="B18" s="81">
        <v>93</v>
      </c>
      <c r="C18" s="81">
        <v>3</v>
      </c>
      <c r="D18" s="81">
        <v>40</v>
      </c>
      <c r="E18" s="81">
        <v>8</v>
      </c>
      <c r="F18" s="81">
        <v>13</v>
      </c>
      <c r="G18" s="81">
        <v>0</v>
      </c>
      <c r="H18" s="81">
        <v>0</v>
      </c>
      <c r="I18" s="81"/>
      <c r="J18" s="81"/>
      <c r="K18" s="81"/>
      <c r="L18" s="81">
        <v>18</v>
      </c>
      <c r="M18" s="81"/>
      <c r="N18" s="81">
        <v>0</v>
      </c>
      <c r="O18" s="81">
        <v>3</v>
      </c>
      <c r="P18" s="81">
        <v>7</v>
      </c>
      <c r="Q18" s="81">
        <v>30</v>
      </c>
      <c r="R18" s="81">
        <v>125</v>
      </c>
      <c r="S18" s="81">
        <v>7</v>
      </c>
      <c r="T18" s="81">
        <v>156</v>
      </c>
      <c r="V18" s="81">
        <v>524</v>
      </c>
      <c r="W18" s="81">
        <v>8</v>
      </c>
      <c r="X18" s="81">
        <v>10</v>
      </c>
      <c r="Y18" s="81">
        <v>74</v>
      </c>
      <c r="Z18" s="81">
        <v>2</v>
      </c>
      <c r="AA18" s="81">
        <v>103</v>
      </c>
      <c r="AB18" s="81">
        <v>71</v>
      </c>
      <c r="AC18" s="81">
        <v>160</v>
      </c>
      <c r="AD18" s="81">
        <v>44</v>
      </c>
      <c r="AE18" s="81">
        <v>13</v>
      </c>
      <c r="AF18" s="84">
        <v>52</v>
      </c>
      <c r="AG18" s="84">
        <v>0</v>
      </c>
      <c r="AH18" s="84">
        <v>0</v>
      </c>
      <c r="AI18" s="83">
        <v>65</v>
      </c>
      <c r="AJ18" s="83">
        <v>92</v>
      </c>
      <c r="AK18" s="83">
        <v>143</v>
      </c>
      <c r="AL18" s="81">
        <v>3</v>
      </c>
      <c r="AM18" s="90">
        <v>81</v>
      </c>
      <c r="AN18" s="90">
        <v>108</v>
      </c>
      <c r="AO18" s="90">
        <v>358</v>
      </c>
      <c r="AP18" s="81">
        <v>6</v>
      </c>
      <c r="AQ18" s="81">
        <v>1</v>
      </c>
      <c r="AR18" s="81">
        <v>304</v>
      </c>
      <c r="AS18" s="81">
        <v>34</v>
      </c>
      <c r="AT18" s="81">
        <v>319</v>
      </c>
      <c r="AU18" s="81">
        <v>842</v>
      </c>
      <c r="AV18" s="71">
        <f>AVERAGE(AL18:AU18)</f>
        <v>205.6</v>
      </c>
      <c r="AW18" s="71">
        <f t="shared" si="102"/>
        <v>1215.593253968254</v>
      </c>
      <c r="AY18" s="42">
        <v>177</v>
      </c>
      <c r="AZ18" s="48">
        <f t="shared" si="0"/>
        <v>4.0538773375179806E-3</v>
      </c>
      <c r="BA18" s="48">
        <f t="shared" si="1"/>
        <v>1.566743263003969E-4</v>
      </c>
      <c r="BB18" s="48">
        <f t="shared" si="2"/>
        <v>1.7484810071250602E-3</v>
      </c>
      <c r="BC18" s="48">
        <f t="shared" si="3"/>
        <v>1.8604651162790697E-2</v>
      </c>
      <c r="BD18" s="48">
        <f t="shared" si="4"/>
        <v>5.1485148514851488E-3</v>
      </c>
      <c r="BE18" s="48">
        <f t="shared" si="5"/>
        <v>0</v>
      </c>
      <c r="BF18" s="48">
        <f t="shared" si="6"/>
        <v>0</v>
      </c>
      <c r="BG18" s="48">
        <f t="shared" si="7"/>
        <v>0</v>
      </c>
      <c r="BH18" s="48">
        <f t="shared" si="8"/>
        <v>0</v>
      </c>
      <c r="BI18" s="48">
        <f t="shared" si="9"/>
        <v>0</v>
      </c>
      <c r="BJ18" s="48">
        <f t="shared" si="10"/>
        <v>6.2785587219644915E-4</v>
      </c>
      <c r="BK18" s="48">
        <f t="shared" si="11"/>
        <v>0</v>
      </c>
      <c r="BL18" s="48">
        <f t="shared" si="12"/>
        <v>0</v>
      </c>
      <c r="BM18" s="48">
        <f t="shared" si="13"/>
        <v>2.9322646857589678E-4</v>
      </c>
      <c r="BN18" s="48">
        <f t="shared" si="14"/>
        <v>2.8332051645282711E-4</v>
      </c>
      <c r="BO18" s="48">
        <f t="shared" si="15"/>
        <v>7.6499388004895965E-4</v>
      </c>
      <c r="BP18" s="48">
        <f t="shared" si="16"/>
        <v>3.6532616319850364E-3</v>
      </c>
      <c r="BQ18" s="48">
        <f t="shared" si="17"/>
        <v>3.7383177570093456E-4</v>
      </c>
      <c r="BR18" s="48">
        <f t="shared" si="18"/>
        <v>5.5462722650833716E-3</v>
      </c>
      <c r="BS18" s="48"/>
      <c r="BT18" s="48">
        <f t="shared" si="19"/>
        <v>9.1179592475943549E-3</v>
      </c>
      <c r="BU18" s="48">
        <f t="shared" si="20"/>
        <v>2.7137042062415195E-3</v>
      </c>
      <c r="BV18" s="48">
        <f t="shared" si="21"/>
        <v>2.7314941272876263E-3</v>
      </c>
      <c r="BW18" s="48">
        <f t="shared" si="22"/>
        <v>3.093070394360705E-3</v>
      </c>
      <c r="BX18" s="48">
        <f t="shared" si="23"/>
        <v>2.8629095750010737E-5</v>
      </c>
      <c r="BY18" s="48">
        <f t="shared" si="24"/>
        <v>1.3368116393463899E-3</v>
      </c>
      <c r="BZ18" s="48">
        <f t="shared" si="25"/>
        <v>1.0832087389009246E-3</v>
      </c>
      <c r="CA18" s="48">
        <f t="shared" si="26"/>
        <v>1.5831082351311506E-3</v>
      </c>
      <c r="CB18" s="48">
        <f t="shared" si="27"/>
        <v>6.5959105354680095E-4</v>
      </c>
      <c r="CC18" s="48">
        <f t="shared" si="28"/>
        <v>1.2972757209859295E-3</v>
      </c>
      <c r="CD18" s="48">
        <f t="shared" si="29"/>
        <v>4.1590018395585059E-3</v>
      </c>
      <c r="CE18" s="48">
        <f t="shared" si="30"/>
        <v>0</v>
      </c>
      <c r="CF18" s="48">
        <f t="shared" si="31"/>
        <v>0</v>
      </c>
      <c r="CG18" s="48">
        <f t="shared" si="32"/>
        <v>1.6140246324990067E-3</v>
      </c>
      <c r="CH18" s="48">
        <f t="shared" si="33"/>
        <v>1.902595388274222E-3</v>
      </c>
      <c r="CI18" s="48">
        <f t="shared" si="34"/>
        <v>7.3388245416081809E-3</v>
      </c>
      <c r="CJ18" s="48">
        <f t="shared" si="35"/>
        <v>2.2157547831819812E-4</v>
      </c>
      <c r="CK18" s="48">
        <f t="shared" si="36"/>
        <v>3.5915399281692016E-3</v>
      </c>
      <c r="CL18" s="48">
        <f t="shared" si="37"/>
        <v>1.9495640558152968E-3</v>
      </c>
      <c r="CM18" s="48">
        <f t="shared" si="61"/>
        <v>4.9441367785772487E-3</v>
      </c>
      <c r="CN18" s="48">
        <f t="shared" si="62"/>
        <v>1.0151253679829459E-4</v>
      </c>
      <c r="CO18" s="48">
        <f t="shared" si="63"/>
        <v>2.4219525781685195E-5</v>
      </c>
      <c r="CP18" s="48">
        <f t="shared" si="64"/>
        <v>5.0663289114059066E-3</v>
      </c>
      <c r="CQ18" s="48">
        <f t="shared" si="112"/>
        <v>3.9633968642536571E-4</v>
      </c>
      <c r="CR18" s="48">
        <f t="shared" si="65"/>
        <v>2.0794493044600602E-3</v>
      </c>
      <c r="CS18" s="48">
        <f t="shared" si="66"/>
        <v>4.0037469746033102E-3</v>
      </c>
      <c r="CT18" s="68">
        <f t="shared" si="67"/>
        <v>9.8471122577871682E-3</v>
      </c>
      <c r="CU18" s="68">
        <f t="shared" si="68"/>
        <v>9.1945389832683543E-3</v>
      </c>
      <c r="CW18" s="42">
        <v>177</v>
      </c>
      <c r="CX18" s="58">
        <f t="shared" si="128"/>
        <v>144</v>
      </c>
      <c r="CY18" s="58">
        <f t="shared" si="129"/>
        <v>30</v>
      </c>
      <c r="CZ18" s="58">
        <f t="shared" si="130"/>
        <v>95</v>
      </c>
      <c r="DA18" s="58">
        <f t="shared" si="131"/>
        <v>8</v>
      </c>
      <c r="DB18" s="58">
        <f t="shared" si="132"/>
        <v>13</v>
      </c>
      <c r="DC18" s="58">
        <f t="shared" si="133"/>
        <v>0</v>
      </c>
      <c r="DD18" s="58">
        <f t="shared" si="134"/>
        <v>1</v>
      </c>
      <c r="DE18" s="58">
        <f t="shared" si="135"/>
        <v>0</v>
      </c>
      <c r="DF18" s="58">
        <f t="shared" si="136"/>
        <v>0</v>
      </c>
      <c r="DG18" s="58">
        <f t="shared" si="137"/>
        <v>0</v>
      </c>
      <c r="DH18" s="58">
        <f t="shared" si="138"/>
        <v>103</v>
      </c>
      <c r="DI18" s="58">
        <f t="shared" si="139"/>
        <v>0</v>
      </c>
      <c r="DJ18" s="58">
        <f t="shared" si="140"/>
        <v>2</v>
      </c>
      <c r="DK18" s="58">
        <f t="shared" si="141"/>
        <v>4</v>
      </c>
      <c r="DL18" s="58">
        <f t="shared" si="142"/>
        <v>108</v>
      </c>
      <c r="DM18" s="58">
        <f t="shared" si="143"/>
        <v>555</v>
      </c>
      <c r="DN18" s="58">
        <f t="shared" si="144"/>
        <v>555</v>
      </c>
      <c r="DO18" s="58">
        <f t="shared" si="145"/>
        <v>106</v>
      </c>
      <c r="DP18" s="58">
        <f t="shared" si="146"/>
        <v>336</v>
      </c>
      <c r="DQ18" s="58"/>
      <c r="DR18" s="58">
        <f t="shared" si="147"/>
        <v>743</v>
      </c>
      <c r="DS18" s="58">
        <f t="shared" si="148"/>
        <v>21</v>
      </c>
      <c r="DT18" s="58">
        <f t="shared" si="149"/>
        <v>74</v>
      </c>
      <c r="DU18" s="58">
        <f t="shared" si="150"/>
        <v>400</v>
      </c>
      <c r="DV18" s="58">
        <f t="shared" si="151"/>
        <v>27</v>
      </c>
      <c r="DW18" s="58">
        <f t="shared" si="152"/>
        <v>616</v>
      </c>
      <c r="DX18" s="58">
        <f t="shared" si="153"/>
        <v>360</v>
      </c>
      <c r="DY18" s="58">
        <f t="shared" si="115"/>
        <v>406</v>
      </c>
      <c r="DZ18" s="58">
        <f t="shared" si="116"/>
        <v>1018</v>
      </c>
      <c r="EA18" s="58">
        <f t="shared" si="117"/>
        <v>61</v>
      </c>
      <c r="EB18" s="58">
        <f t="shared" si="118"/>
        <v>80</v>
      </c>
      <c r="EC18" s="58">
        <f t="shared" si="119"/>
        <v>18</v>
      </c>
      <c r="ED18" s="58">
        <f t="shared" si="120"/>
        <v>12</v>
      </c>
      <c r="EE18" s="58">
        <f t="shared" si="121"/>
        <v>187</v>
      </c>
      <c r="EF18" s="58">
        <f t="shared" si="122"/>
        <v>2695</v>
      </c>
      <c r="EG18" s="58">
        <f t="shared" si="123"/>
        <v>1019</v>
      </c>
      <c r="EH18" s="58">
        <f t="shared" si="124"/>
        <v>8</v>
      </c>
      <c r="EI18" s="58">
        <f t="shared" si="125"/>
        <v>130</v>
      </c>
      <c r="EJ18" s="58">
        <f t="shared" si="126"/>
        <v>716</v>
      </c>
      <c r="EK18" s="58">
        <f t="shared" si="127"/>
        <v>412</v>
      </c>
      <c r="EL18" s="58">
        <f t="shared" si="105"/>
        <v>386</v>
      </c>
      <c r="EM18" s="58">
        <f t="shared" si="106"/>
        <v>27</v>
      </c>
      <c r="EN18" s="58">
        <f t="shared" si="107"/>
        <v>800</v>
      </c>
      <c r="EO18" s="58">
        <f t="shared" si="108"/>
        <v>143</v>
      </c>
      <c r="EP18" s="58">
        <f t="shared" si="109"/>
        <v>3972</v>
      </c>
      <c r="EQ18" s="58">
        <f t="shared" si="110"/>
        <v>5347</v>
      </c>
      <c r="ER18" s="67">
        <f t="shared" si="72"/>
        <v>1194.0999999999999</v>
      </c>
      <c r="ES18" s="67">
        <f t="shared" si="73"/>
        <v>523.43902439024396</v>
      </c>
      <c r="EV18" s="42">
        <v>177</v>
      </c>
      <c r="EW18" s="128">
        <f t="shared" si="41"/>
        <v>6.2769713613181639E-3</v>
      </c>
      <c r="EX18" s="128">
        <f t="shared" si="42"/>
        <v>1.5667432630039691E-3</v>
      </c>
      <c r="EY18" s="128">
        <f t="shared" si="43"/>
        <v>4.1526423919220181E-3</v>
      </c>
      <c r="EZ18" s="128">
        <f t="shared" si="44"/>
        <v>1.8604651162790697E-2</v>
      </c>
      <c r="FA18" s="128">
        <f t="shared" si="45"/>
        <v>5.1485148514851488E-3</v>
      </c>
      <c r="FB18" s="128">
        <f t="shared" si="46"/>
        <v>0</v>
      </c>
      <c r="FC18" s="128">
        <f t="shared" si="47"/>
        <v>9.3729496672602863E-5</v>
      </c>
      <c r="FD18" s="128">
        <f t="shared" si="48"/>
        <v>0</v>
      </c>
      <c r="FE18" s="128">
        <f t="shared" si="49"/>
        <v>0</v>
      </c>
      <c r="FF18" s="128">
        <f t="shared" si="50"/>
        <v>0</v>
      </c>
      <c r="FG18" s="128">
        <f t="shared" si="51"/>
        <v>3.5927308242352366E-3</v>
      </c>
      <c r="FH18" s="128">
        <f t="shared" si="52"/>
        <v>0</v>
      </c>
      <c r="FI18" s="128">
        <f t="shared" si="53"/>
        <v>4.4405959279735337E-5</v>
      </c>
      <c r="FJ18" s="128">
        <f t="shared" si="54"/>
        <v>3.9096862476786239E-4</v>
      </c>
      <c r="FK18" s="128">
        <f t="shared" si="55"/>
        <v>4.3712308252721902E-3</v>
      </c>
      <c r="FL18" s="128">
        <f t="shared" si="56"/>
        <v>1.4152386780905753E-2</v>
      </c>
      <c r="FM18" s="128">
        <f t="shared" si="57"/>
        <v>1.622048164601356E-2</v>
      </c>
      <c r="FN18" s="128">
        <f t="shared" si="58"/>
        <v>5.6608811748998667E-3</v>
      </c>
      <c r="FO18" s="128">
        <f t="shared" si="59"/>
        <v>1.1945817186333417E-2</v>
      </c>
      <c r="FP18" s="128"/>
      <c r="FQ18" s="128">
        <f t="shared" si="74"/>
        <v>1.2928709391150012E-2</v>
      </c>
      <c r="FR18" s="128">
        <f t="shared" si="75"/>
        <v>7.1234735413839888E-3</v>
      </c>
      <c r="FS18" s="128">
        <f t="shared" si="76"/>
        <v>2.0213056541928436E-2</v>
      </c>
      <c r="FT18" s="128">
        <f t="shared" si="77"/>
        <v>1.6719299428976785E-2</v>
      </c>
      <c r="FU18" s="128">
        <f t="shared" si="78"/>
        <v>3.8649279262514493E-4</v>
      </c>
      <c r="FV18" s="128">
        <f t="shared" si="79"/>
        <v>7.994912328518216E-3</v>
      </c>
      <c r="FW18" s="128">
        <f t="shared" si="80"/>
        <v>5.4923260000610255E-3</v>
      </c>
      <c r="FX18" s="128">
        <f t="shared" si="81"/>
        <v>4.0171371466452945E-3</v>
      </c>
      <c r="FY18" s="128">
        <f t="shared" si="82"/>
        <v>1.5260538466150986E-2</v>
      </c>
      <c r="FZ18" s="128">
        <f t="shared" si="83"/>
        <v>6.087216844626285E-3</v>
      </c>
      <c r="GA18" s="128">
        <f t="shared" si="84"/>
        <v>6.3984643685515473E-3</v>
      </c>
      <c r="GB18" s="128">
        <f t="shared" si="85"/>
        <v>1.0569583088667059E-3</v>
      </c>
      <c r="GC18" s="128">
        <f t="shared" si="86"/>
        <v>5.3264193380494487E-4</v>
      </c>
      <c r="GD18" s="128">
        <f t="shared" si="87"/>
        <v>4.6434247119586805E-3</v>
      </c>
      <c r="GE18" s="128">
        <f t="shared" si="88"/>
        <v>5.5733636645641606E-2</v>
      </c>
      <c r="GF18" s="128">
        <f t="shared" si="89"/>
        <v>5.2295539915375777E-2</v>
      </c>
      <c r="GG18" s="128">
        <f t="shared" si="90"/>
        <v>5.9086794218186163E-4</v>
      </c>
      <c r="GH18" s="128">
        <f t="shared" si="91"/>
        <v>5.7641998847160021E-3</v>
      </c>
      <c r="GI18" s="128">
        <f t="shared" si="92"/>
        <v>1.2924887629294005E-2</v>
      </c>
      <c r="GJ18" s="128">
        <f t="shared" si="93"/>
        <v>5.6899004267425323E-3</v>
      </c>
      <c r="GK18" s="128">
        <f t="shared" si="94"/>
        <v>6.5306398673569523E-3</v>
      </c>
      <c r="GL18" s="128">
        <f t="shared" si="95"/>
        <v>6.5392719610550022E-4</v>
      </c>
      <c r="GM18" s="128">
        <f t="shared" si="96"/>
        <v>1.3332444503699753E-2</v>
      </c>
      <c r="GN18" s="128">
        <f t="shared" si="97"/>
        <v>1.6669580929066852E-3</v>
      </c>
      <c r="GO18" s="128">
        <f t="shared" si="98"/>
        <v>2.5892077232963509E-2</v>
      </c>
      <c r="GP18" s="128">
        <f t="shared" si="99"/>
        <v>2.5425219801904871E-2</v>
      </c>
      <c r="GQ18" s="129">
        <f t="shared" si="100"/>
        <v>9.8471122577871682E-3</v>
      </c>
      <c r="GR18" s="129">
        <f t="shared" si="101"/>
        <v>9.1945389832683543E-3</v>
      </c>
    </row>
    <row r="19" spans="1:200" x14ac:dyDescent="0.25">
      <c r="A19" s="42">
        <v>178</v>
      </c>
      <c r="B19" s="81">
        <v>38</v>
      </c>
      <c r="C19" s="81">
        <v>3</v>
      </c>
      <c r="D19" s="81">
        <v>67</v>
      </c>
      <c r="E19" s="81">
        <v>1</v>
      </c>
      <c r="F19" s="81">
        <v>11</v>
      </c>
      <c r="G19" s="81">
        <v>1</v>
      </c>
      <c r="H19" s="81">
        <v>0</v>
      </c>
      <c r="I19" s="81"/>
      <c r="J19" s="81"/>
      <c r="K19" s="81"/>
      <c r="L19" s="81">
        <v>24</v>
      </c>
      <c r="M19" s="81">
        <v>28</v>
      </c>
      <c r="N19" s="81">
        <v>0</v>
      </c>
      <c r="O19" s="81">
        <v>3</v>
      </c>
      <c r="P19" s="81">
        <v>285</v>
      </c>
      <c r="Q19" s="81">
        <v>105</v>
      </c>
      <c r="R19" s="81">
        <v>149</v>
      </c>
      <c r="S19" s="81">
        <v>2</v>
      </c>
      <c r="T19" s="81">
        <v>155</v>
      </c>
      <c r="V19" s="81">
        <v>411</v>
      </c>
      <c r="W19" s="81">
        <v>16</v>
      </c>
      <c r="X19" s="81">
        <v>31</v>
      </c>
      <c r="Y19" s="81">
        <v>54</v>
      </c>
      <c r="Z19" s="81">
        <v>7</v>
      </c>
      <c r="AA19" s="81">
        <v>561</v>
      </c>
      <c r="AB19" s="81">
        <v>89</v>
      </c>
      <c r="AC19" s="81">
        <v>143</v>
      </c>
      <c r="AD19" s="81">
        <v>15</v>
      </c>
      <c r="AE19" s="81">
        <v>2</v>
      </c>
      <c r="AF19" s="84">
        <v>14</v>
      </c>
      <c r="AG19" s="84">
        <v>4</v>
      </c>
      <c r="AH19" s="84">
        <v>0</v>
      </c>
      <c r="AI19" s="83">
        <v>66</v>
      </c>
      <c r="AJ19" s="83">
        <v>311</v>
      </c>
      <c r="AK19" s="83">
        <v>50</v>
      </c>
      <c r="AL19" s="81">
        <v>0</v>
      </c>
      <c r="AM19" s="90">
        <v>260</v>
      </c>
      <c r="AN19" s="90">
        <v>1055</v>
      </c>
      <c r="AO19" s="90">
        <v>535</v>
      </c>
      <c r="AP19" s="81">
        <v>12</v>
      </c>
      <c r="AQ19" s="81">
        <v>3</v>
      </c>
      <c r="AR19" s="81">
        <v>35</v>
      </c>
      <c r="AS19" s="81">
        <v>157</v>
      </c>
      <c r="AT19" s="81">
        <v>1496</v>
      </c>
      <c r="AU19" s="81">
        <v>207</v>
      </c>
      <c r="AV19" s="71">
        <f t="shared" si="113"/>
        <v>376</v>
      </c>
      <c r="AW19" s="71">
        <f t="shared" si="102"/>
        <v>1591.593253968254</v>
      </c>
      <c r="AY19" s="42">
        <v>178</v>
      </c>
      <c r="AZ19" s="48">
        <f t="shared" si="0"/>
        <v>1.6564229981256267E-3</v>
      </c>
      <c r="BA19" s="48">
        <f t="shared" si="1"/>
        <v>1.566743263003969E-4</v>
      </c>
      <c r="BB19" s="48">
        <f t="shared" si="2"/>
        <v>2.9287056869344756E-3</v>
      </c>
      <c r="BC19" s="48">
        <f t="shared" si="3"/>
        <v>2.3255813953488372E-3</v>
      </c>
      <c r="BD19" s="48">
        <f t="shared" si="4"/>
        <v>4.3564356435643568E-3</v>
      </c>
      <c r="BE19" s="48">
        <f t="shared" si="5"/>
        <v>8.6730268863833478E-5</v>
      </c>
      <c r="BF19" s="48">
        <f t="shared" si="6"/>
        <v>0</v>
      </c>
      <c r="BG19" s="48">
        <f t="shared" si="7"/>
        <v>0</v>
      </c>
      <c r="BH19" s="48">
        <f t="shared" si="8"/>
        <v>0</v>
      </c>
      <c r="BI19" s="48">
        <f t="shared" si="9"/>
        <v>0</v>
      </c>
      <c r="BJ19" s="48">
        <f t="shared" si="10"/>
        <v>8.3714116292859879E-4</v>
      </c>
      <c r="BK19" s="48">
        <f t="shared" si="11"/>
        <v>3.8611635892273538E-4</v>
      </c>
      <c r="BL19" s="48">
        <f t="shared" si="12"/>
        <v>0</v>
      </c>
      <c r="BM19" s="48">
        <f t="shared" si="13"/>
        <v>2.9322646857589678E-4</v>
      </c>
      <c r="BN19" s="48">
        <f t="shared" si="14"/>
        <v>1.153519245557939E-2</v>
      </c>
      <c r="BO19" s="48">
        <f t="shared" si="15"/>
        <v>2.6774785801713585E-3</v>
      </c>
      <c r="BP19" s="48">
        <f t="shared" si="16"/>
        <v>4.3546878653261635E-3</v>
      </c>
      <c r="BQ19" s="48">
        <f t="shared" si="17"/>
        <v>1.068090787716956E-4</v>
      </c>
      <c r="BR19" s="48">
        <f t="shared" si="18"/>
        <v>5.5107192377430942E-3</v>
      </c>
      <c r="BS19" s="48"/>
      <c r="BT19" s="48">
        <f t="shared" si="19"/>
        <v>7.1516817762619844E-3</v>
      </c>
      <c r="BU19" s="48">
        <f t="shared" si="20"/>
        <v>5.4274084124830389E-3</v>
      </c>
      <c r="BV19" s="48">
        <f t="shared" si="21"/>
        <v>8.4676317945916423E-3</v>
      </c>
      <c r="BW19" s="48">
        <f t="shared" si="22"/>
        <v>2.2571054229118658E-3</v>
      </c>
      <c r="BX19" s="48">
        <f t="shared" si="23"/>
        <v>1.0020183512503758E-4</v>
      </c>
      <c r="BY19" s="48">
        <f t="shared" si="24"/>
        <v>7.2810808706148039E-3</v>
      </c>
      <c r="BZ19" s="48">
        <f t="shared" si="25"/>
        <v>1.3578250389039757E-3</v>
      </c>
      <c r="CA19" s="48">
        <f t="shared" si="26"/>
        <v>1.4149029851484658E-3</v>
      </c>
      <c r="CB19" s="48">
        <f t="shared" si="27"/>
        <v>2.2486058643640943E-4</v>
      </c>
      <c r="CC19" s="48">
        <f t="shared" si="28"/>
        <v>1.9958088015168147E-4</v>
      </c>
      <c r="CD19" s="48">
        <f t="shared" si="29"/>
        <v>1.1197312644965209E-3</v>
      </c>
      <c r="CE19" s="48">
        <f t="shared" si="30"/>
        <v>2.3487962419260129E-4</v>
      </c>
      <c r="CF19" s="48">
        <f t="shared" si="31"/>
        <v>0</v>
      </c>
      <c r="CG19" s="48">
        <f t="shared" si="32"/>
        <v>1.6388557806912992E-3</v>
      </c>
      <c r="CH19" s="48">
        <f t="shared" si="33"/>
        <v>6.4315996277530766E-3</v>
      </c>
      <c r="CI19" s="48">
        <f t="shared" si="34"/>
        <v>2.5660225669958672E-3</v>
      </c>
      <c r="CJ19" s="48">
        <f t="shared" si="35"/>
        <v>0</v>
      </c>
      <c r="CK19" s="48">
        <f t="shared" si="36"/>
        <v>1.1528399769432004E-2</v>
      </c>
      <c r="CL19" s="48">
        <f t="shared" si="37"/>
        <v>1.9044352582269799E-2</v>
      </c>
      <c r="CM19" s="48">
        <f t="shared" si="61"/>
        <v>7.3885842920078998E-3</v>
      </c>
      <c r="CN19" s="48">
        <f t="shared" si="62"/>
        <v>2.0302507359658918E-4</v>
      </c>
      <c r="CO19" s="48">
        <f t="shared" si="63"/>
        <v>7.2658577345055588E-5</v>
      </c>
      <c r="CP19" s="48">
        <f t="shared" si="64"/>
        <v>5.8329444703686417E-4</v>
      </c>
      <c r="CQ19" s="48">
        <f t="shared" si="112"/>
        <v>1.83015678731713E-3</v>
      </c>
      <c r="CR19" s="48">
        <f t="shared" si="65"/>
        <v>9.7519001864333852E-3</v>
      </c>
      <c r="CS19" s="48">
        <f t="shared" si="66"/>
        <v>9.8429408995592067E-4</v>
      </c>
      <c r="CT19" s="68">
        <f t="shared" si="67"/>
        <v>1.4985778838326632E-2</v>
      </c>
      <c r="CU19" s="68">
        <f t="shared" si="68"/>
        <v>1.2301967553819574E-2</v>
      </c>
      <c r="CW19" s="42">
        <v>178</v>
      </c>
      <c r="CX19" s="58">
        <f t="shared" si="128"/>
        <v>182</v>
      </c>
      <c r="CY19" s="58">
        <f t="shared" si="129"/>
        <v>33</v>
      </c>
      <c r="CZ19" s="58">
        <f t="shared" si="130"/>
        <v>162</v>
      </c>
      <c r="DA19" s="58">
        <f t="shared" si="131"/>
        <v>9</v>
      </c>
      <c r="DB19" s="58">
        <f t="shared" si="132"/>
        <v>24</v>
      </c>
      <c r="DC19" s="58">
        <f t="shared" si="133"/>
        <v>1</v>
      </c>
      <c r="DD19" s="58">
        <f t="shared" si="134"/>
        <v>1</v>
      </c>
      <c r="DE19" s="58">
        <f t="shared" si="135"/>
        <v>0</v>
      </c>
      <c r="DF19" s="58">
        <f t="shared" si="136"/>
        <v>0</v>
      </c>
      <c r="DG19" s="58">
        <f t="shared" si="137"/>
        <v>0</v>
      </c>
      <c r="DH19" s="58">
        <f t="shared" si="138"/>
        <v>127</v>
      </c>
      <c r="DI19" s="58">
        <f t="shared" si="139"/>
        <v>28</v>
      </c>
      <c r="DJ19" s="58">
        <f t="shared" si="140"/>
        <v>2</v>
      </c>
      <c r="DK19" s="58">
        <f t="shared" si="141"/>
        <v>7</v>
      </c>
      <c r="DL19" s="58">
        <f t="shared" si="142"/>
        <v>393</v>
      </c>
      <c r="DM19" s="58">
        <f t="shared" si="143"/>
        <v>660</v>
      </c>
      <c r="DN19" s="58">
        <f t="shared" si="144"/>
        <v>704</v>
      </c>
      <c r="DO19" s="58">
        <f t="shared" si="145"/>
        <v>108</v>
      </c>
      <c r="DP19" s="58">
        <f t="shared" si="146"/>
        <v>491</v>
      </c>
      <c r="DQ19" s="58"/>
      <c r="DR19" s="58">
        <f t="shared" si="147"/>
        <v>1154</v>
      </c>
      <c r="DS19" s="58">
        <f t="shared" si="148"/>
        <v>37</v>
      </c>
      <c r="DT19" s="58">
        <f t="shared" si="149"/>
        <v>105</v>
      </c>
      <c r="DU19" s="58">
        <f t="shared" si="150"/>
        <v>454</v>
      </c>
      <c r="DV19" s="58">
        <f t="shared" si="151"/>
        <v>34</v>
      </c>
      <c r="DW19" s="58">
        <f t="shared" si="152"/>
        <v>1177</v>
      </c>
      <c r="DX19" s="58">
        <f t="shared" si="153"/>
        <v>449</v>
      </c>
      <c r="DY19" s="58">
        <f t="shared" si="115"/>
        <v>549</v>
      </c>
      <c r="DZ19" s="58">
        <f t="shared" si="116"/>
        <v>1033</v>
      </c>
      <c r="EA19" s="58">
        <f t="shared" si="117"/>
        <v>63</v>
      </c>
      <c r="EB19" s="58">
        <f t="shared" si="118"/>
        <v>94</v>
      </c>
      <c r="EC19" s="58">
        <f t="shared" si="119"/>
        <v>22</v>
      </c>
      <c r="ED19" s="58">
        <f t="shared" si="120"/>
        <v>12</v>
      </c>
      <c r="EE19" s="58">
        <f t="shared" si="121"/>
        <v>253</v>
      </c>
      <c r="EF19" s="58">
        <f t="shared" si="122"/>
        <v>3006</v>
      </c>
      <c r="EG19" s="58">
        <f t="shared" si="123"/>
        <v>1069</v>
      </c>
      <c r="EH19" s="58">
        <f t="shared" si="124"/>
        <v>8</v>
      </c>
      <c r="EI19" s="58">
        <f t="shared" si="125"/>
        <v>390</v>
      </c>
      <c r="EJ19" s="58">
        <f t="shared" si="126"/>
        <v>1771</v>
      </c>
      <c r="EK19" s="58">
        <f t="shared" si="127"/>
        <v>947</v>
      </c>
      <c r="EL19" s="58">
        <f t="shared" si="105"/>
        <v>398</v>
      </c>
      <c r="EM19" s="58">
        <f t="shared" si="106"/>
        <v>30</v>
      </c>
      <c r="EN19" s="58">
        <f t="shared" si="107"/>
        <v>835</v>
      </c>
      <c r="EO19" s="58">
        <f t="shared" si="108"/>
        <v>300</v>
      </c>
      <c r="EP19" s="58">
        <f t="shared" si="109"/>
        <v>5468</v>
      </c>
      <c r="EQ19" s="58">
        <f t="shared" si="110"/>
        <v>5554</v>
      </c>
      <c r="ER19" s="67">
        <f t="shared" si="72"/>
        <v>1570.1</v>
      </c>
      <c r="ES19" s="67">
        <f t="shared" si="73"/>
        <v>677.02439024390242</v>
      </c>
      <c r="EV19" s="42">
        <v>178</v>
      </c>
      <c r="EW19" s="128">
        <f t="shared" si="41"/>
        <v>7.9333943594437906E-3</v>
      </c>
      <c r="EX19" s="128">
        <f t="shared" si="42"/>
        <v>1.723417589304366E-3</v>
      </c>
      <c r="EY19" s="128">
        <f t="shared" si="43"/>
        <v>7.0813480788564937E-3</v>
      </c>
      <c r="EZ19" s="128">
        <f t="shared" si="44"/>
        <v>2.0930232558139535E-2</v>
      </c>
      <c r="FA19" s="128">
        <f t="shared" si="45"/>
        <v>9.5049504950495047E-3</v>
      </c>
      <c r="FB19" s="128">
        <f t="shared" si="46"/>
        <v>8.6730268863833478E-5</v>
      </c>
      <c r="FC19" s="128">
        <f t="shared" si="47"/>
        <v>9.3729496672602863E-5</v>
      </c>
      <c r="FD19" s="128">
        <f t="shared" si="48"/>
        <v>0</v>
      </c>
      <c r="FE19" s="128">
        <f t="shared" si="49"/>
        <v>0</v>
      </c>
      <c r="FF19" s="128">
        <f t="shared" si="50"/>
        <v>0</v>
      </c>
      <c r="FG19" s="128">
        <f t="shared" si="51"/>
        <v>4.4298719871638352E-3</v>
      </c>
      <c r="FH19" s="128">
        <f t="shared" si="52"/>
        <v>3.8611635892273538E-4</v>
      </c>
      <c r="FI19" s="128">
        <f t="shared" si="53"/>
        <v>4.4405959279735337E-5</v>
      </c>
      <c r="FJ19" s="128">
        <f t="shared" si="54"/>
        <v>6.8419509334375912E-4</v>
      </c>
      <c r="FK19" s="128">
        <f t="shared" si="55"/>
        <v>1.5906423280851581E-2</v>
      </c>
      <c r="FL19" s="128">
        <f t="shared" si="56"/>
        <v>1.6829865361077112E-2</v>
      </c>
      <c r="FM19" s="128">
        <f t="shared" si="57"/>
        <v>2.0575169511339725E-2</v>
      </c>
      <c r="FN19" s="128">
        <f t="shared" si="58"/>
        <v>5.7676902536715619E-3</v>
      </c>
      <c r="FO19" s="128">
        <f t="shared" si="59"/>
        <v>1.7456536424076512E-2</v>
      </c>
      <c r="FP19" s="128"/>
      <c r="FQ19" s="128">
        <f t="shared" si="74"/>
        <v>2.0080391167411997E-2</v>
      </c>
      <c r="FR19" s="128">
        <f t="shared" si="75"/>
        <v>1.2550881953867029E-2</v>
      </c>
      <c r="FS19" s="128">
        <f t="shared" si="76"/>
        <v>2.8680688336520075E-2</v>
      </c>
      <c r="FT19" s="128">
        <f t="shared" si="77"/>
        <v>1.8976404851888649E-2</v>
      </c>
      <c r="FU19" s="128">
        <f t="shared" si="78"/>
        <v>4.8669462775018254E-4</v>
      </c>
      <c r="FV19" s="128">
        <f t="shared" si="79"/>
        <v>1.5275993199133019E-2</v>
      </c>
      <c r="FW19" s="128">
        <f t="shared" si="80"/>
        <v>6.8501510389650019E-3</v>
      </c>
      <c r="FX19" s="128">
        <f t="shared" si="81"/>
        <v>5.4320401317937608E-3</v>
      </c>
      <c r="FY19" s="128">
        <f t="shared" si="82"/>
        <v>1.5485399052587397E-2</v>
      </c>
      <c r="FZ19" s="128">
        <f t="shared" si="83"/>
        <v>6.2867977247779662E-3</v>
      </c>
      <c r="GA19" s="128">
        <f t="shared" si="84"/>
        <v>7.518195633048068E-3</v>
      </c>
      <c r="GB19" s="128">
        <f t="shared" si="85"/>
        <v>1.291837933059307E-3</v>
      </c>
      <c r="GC19" s="128">
        <f t="shared" si="86"/>
        <v>5.3264193380494487E-4</v>
      </c>
      <c r="GD19" s="128">
        <f t="shared" si="87"/>
        <v>6.2822804926499802E-3</v>
      </c>
      <c r="GE19" s="128">
        <f t="shared" si="88"/>
        <v>6.2165236273394688E-2</v>
      </c>
      <c r="GF19" s="128">
        <f t="shared" si="89"/>
        <v>5.4861562482371645E-2</v>
      </c>
      <c r="GG19" s="128">
        <f t="shared" si="90"/>
        <v>5.9086794218186163E-4</v>
      </c>
      <c r="GH19" s="128">
        <f t="shared" si="91"/>
        <v>1.7292599654148005E-2</v>
      </c>
      <c r="GI19" s="128">
        <f t="shared" si="92"/>
        <v>3.1969240211563804E-2</v>
      </c>
      <c r="GJ19" s="128">
        <f t="shared" si="93"/>
        <v>1.3078484718750432E-2</v>
      </c>
      <c r="GK19" s="128">
        <f t="shared" si="94"/>
        <v>6.7336649409535411E-3</v>
      </c>
      <c r="GL19" s="128">
        <f t="shared" si="95"/>
        <v>7.2658577345055585E-4</v>
      </c>
      <c r="GM19" s="128">
        <f t="shared" si="96"/>
        <v>1.3915738950736618E-2</v>
      </c>
      <c r="GN19" s="128">
        <f t="shared" si="97"/>
        <v>3.4971148802238152E-3</v>
      </c>
      <c r="GO19" s="128">
        <f t="shared" si="98"/>
        <v>3.5643977419396893E-2</v>
      </c>
      <c r="GP19" s="128">
        <f t="shared" si="99"/>
        <v>2.6409513891860793E-2</v>
      </c>
      <c r="GQ19" s="129">
        <f t="shared" si="100"/>
        <v>1.4985778838326632E-2</v>
      </c>
      <c r="GR19" s="129">
        <f t="shared" si="101"/>
        <v>1.2301967553819574E-2</v>
      </c>
    </row>
    <row r="20" spans="1:200" x14ac:dyDescent="0.25">
      <c r="A20" s="42">
        <v>179</v>
      </c>
      <c r="B20" s="81">
        <v>47</v>
      </c>
      <c r="C20" s="81">
        <v>47</v>
      </c>
      <c r="D20" s="81">
        <v>464</v>
      </c>
      <c r="E20" s="81">
        <v>0</v>
      </c>
      <c r="F20" s="81">
        <v>12</v>
      </c>
      <c r="G20" s="81">
        <v>0</v>
      </c>
      <c r="H20" s="81">
        <v>0</v>
      </c>
      <c r="I20" s="81"/>
      <c r="J20" s="81"/>
      <c r="K20" s="81"/>
      <c r="L20" s="81">
        <v>4</v>
      </c>
      <c r="M20" s="81">
        <v>32</v>
      </c>
      <c r="N20" s="81">
        <v>0</v>
      </c>
      <c r="O20" s="81">
        <v>1</v>
      </c>
      <c r="P20" s="81">
        <v>228</v>
      </c>
      <c r="Q20" s="81">
        <v>234</v>
      </c>
      <c r="R20" s="81">
        <v>31</v>
      </c>
      <c r="S20" s="81">
        <v>16</v>
      </c>
      <c r="T20" s="81">
        <v>92</v>
      </c>
      <c r="V20" s="81">
        <v>61</v>
      </c>
      <c r="W20" s="81">
        <v>9</v>
      </c>
      <c r="X20" s="81">
        <v>39</v>
      </c>
      <c r="Y20" s="81">
        <v>42</v>
      </c>
      <c r="Z20" s="81">
        <v>11</v>
      </c>
      <c r="AA20" s="81">
        <v>343</v>
      </c>
      <c r="AB20" s="81">
        <v>9</v>
      </c>
      <c r="AC20" s="81">
        <v>71</v>
      </c>
      <c r="AD20" s="81">
        <v>63</v>
      </c>
      <c r="AE20" s="81">
        <v>0</v>
      </c>
      <c r="AF20" s="84">
        <v>0</v>
      </c>
      <c r="AG20" s="84">
        <v>2</v>
      </c>
      <c r="AH20" s="84">
        <v>19</v>
      </c>
      <c r="AI20" s="83">
        <v>41</v>
      </c>
      <c r="AJ20" s="83">
        <v>205</v>
      </c>
      <c r="AK20" s="83">
        <v>927</v>
      </c>
      <c r="AL20" s="81">
        <v>13</v>
      </c>
      <c r="AM20" s="90">
        <v>69</v>
      </c>
      <c r="AN20" s="90">
        <v>193</v>
      </c>
      <c r="AO20" s="90">
        <v>0</v>
      </c>
      <c r="AP20" s="81">
        <v>1062</v>
      </c>
      <c r="AQ20" s="81">
        <v>0</v>
      </c>
      <c r="AR20" s="81">
        <v>490</v>
      </c>
      <c r="AS20" s="81">
        <v>0</v>
      </c>
      <c r="AT20" s="81">
        <v>3360</v>
      </c>
      <c r="AU20" s="81">
        <v>1109</v>
      </c>
      <c r="AV20" s="71">
        <f t="shared" si="113"/>
        <v>629.6</v>
      </c>
      <c r="AW20" s="71">
        <f t="shared" si="102"/>
        <v>2221.1932539682539</v>
      </c>
      <c r="AY20" s="42">
        <v>179</v>
      </c>
      <c r="AZ20" s="48">
        <f t="shared" si="0"/>
        <v>2.0487337082080118E-3</v>
      </c>
      <c r="BA20" s="48">
        <f t="shared" si="1"/>
        <v>2.4545644453728851E-3</v>
      </c>
      <c r="BB20" s="48">
        <f t="shared" si="2"/>
        <v>2.0282379682650696E-2</v>
      </c>
      <c r="BC20" s="48">
        <f t="shared" si="3"/>
        <v>0</v>
      </c>
      <c r="BD20" s="48">
        <f t="shared" si="4"/>
        <v>4.7524752475247524E-3</v>
      </c>
      <c r="BE20" s="48">
        <f t="shared" si="5"/>
        <v>0</v>
      </c>
      <c r="BF20" s="48">
        <f t="shared" si="6"/>
        <v>0</v>
      </c>
      <c r="BG20" s="48">
        <f t="shared" si="7"/>
        <v>0</v>
      </c>
      <c r="BH20" s="48">
        <f t="shared" si="8"/>
        <v>0</v>
      </c>
      <c r="BI20" s="48">
        <f t="shared" si="9"/>
        <v>0</v>
      </c>
      <c r="BJ20" s="48">
        <f t="shared" si="10"/>
        <v>1.3952352715476647E-4</v>
      </c>
      <c r="BK20" s="48">
        <f t="shared" si="11"/>
        <v>4.4127583876884039E-4</v>
      </c>
      <c r="BL20" s="48">
        <f t="shared" si="12"/>
        <v>0</v>
      </c>
      <c r="BM20" s="48">
        <f t="shared" si="13"/>
        <v>9.7742156191965598E-5</v>
      </c>
      <c r="BN20" s="48">
        <f t="shared" si="14"/>
        <v>9.2281539644635119E-3</v>
      </c>
      <c r="BO20" s="48">
        <f t="shared" si="15"/>
        <v>5.9669522643818846E-3</v>
      </c>
      <c r="BP20" s="48">
        <f t="shared" si="16"/>
        <v>9.0600888473228898E-4</v>
      </c>
      <c r="BQ20" s="48">
        <f t="shared" si="17"/>
        <v>8.5447263017356481E-4</v>
      </c>
      <c r="BR20" s="48">
        <f t="shared" si="18"/>
        <v>3.2708785153055782E-3</v>
      </c>
      <c r="BS20" s="48"/>
      <c r="BT20" s="48">
        <f t="shared" si="19"/>
        <v>1.0614418208077399E-3</v>
      </c>
      <c r="BU20" s="48">
        <f t="shared" si="20"/>
        <v>3.0529172320217096E-3</v>
      </c>
      <c r="BV20" s="48">
        <f t="shared" si="21"/>
        <v>1.0652827096421742E-2</v>
      </c>
      <c r="BW20" s="48">
        <f t="shared" si="22"/>
        <v>1.7555264400425624E-3</v>
      </c>
      <c r="BX20" s="48">
        <f t="shared" si="23"/>
        <v>1.5746002662505904E-4</v>
      </c>
      <c r="BY20" s="48">
        <f t="shared" si="24"/>
        <v>4.4517125465612789E-3</v>
      </c>
      <c r="BZ20" s="48">
        <f t="shared" si="25"/>
        <v>1.3730815000152565E-4</v>
      </c>
      <c r="CA20" s="48">
        <f t="shared" si="26"/>
        <v>7.0250427933944812E-4</v>
      </c>
      <c r="CB20" s="48">
        <f t="shared" si="27"/>
        <v>9.444144630329196E-4</v>
      </c>
      <c r="CC20" s="48">
        <f t="shared" si="28"/>
        <v>0</v>
      </c>
      <c r="CD20" s="48">
        <f t="shared" si="29"/>
        <v>0</v>
      </c>
      <c r="CE20" s="48">
        <f t="shared" si="30"/>
        <v>1.1743981209630065E-4</v>
      </c>
      <c r="CF20" s="48">
        <f t="shared" si="31"/>
        <v>8.4334972852449601E-4</v>
      </c>
      <c r="CG20" s="48">
        <f t="shared" si="32"/>
        <v>1.0180770758839888E-3</v>
      </c>
      <c r="CH20" s="48">
        <f t="shared" si="33"/>
        <v>4.2394788543066901E-3</v>
      </c>
      <c r="CI20" s="48">
        <f t="shared" si="34"/>
        <v>4.757405839210338E-2</v>
      </c>
      <c r="CJ20" s="48">
        <f t="shared" si="35"/>
        <v>9.6016040604552516E-4</v>
      </c>
      <c r="CK20" s="48">
        <f t="shared" si="36"/>
        <v>3.0594599388108013E-3</v>
      </c>
      <c r="CL20" s="48">
        <f t="shared" si="37"/>
        <v>3.4839431738180769E-3</v>
      </c>
      <c r="CM20" s="48">
        <f t="shared" si="61"/>
        <v>0</v>
      </c>
      <c r="CN20" s="48">
        <f t="shared" si="62"/>
        <v>1.7967719013298144E-2</v>
      </c>
      <c r="CO20" s="48">
        <f t="shared" si="63"/>
        <v>0</v>
      </c>
      <c r="CP20" s="48">
        <f t="shared" si="64"/>
        <v>8.1661222585160988E-3</v>
      </c>
      <c r="CQ20" s="48">
        <f t="shared" si="112"/>
        <v>0</v>
      </c>
      <c r="CR20" s="48">
        <f t="shared" si="65"/>
        <v>2.1902663520331669E-2</v>
      </c>
      <c r="CS20" s="48">
        <f t="shared" si="66"/>
        <v>5.2733436993290632E-3</v>
      </c>
      <c r="CT20" s="68">
        <f t="shared" si="67"/>
        <v>2.106712003934157E-2</v>
      </c>
      <c r="CU20" s="68">
        <f t="shared" si="68"/>
        <v>1.6281953186907755E-2</v>
      </c>
      <c r="CW20" s="42">
        <v>179</v>
      </c>
      <c r="CX20" s="58">
        <f t="shared" si="128"/>
        <v>229</v>
      </c>
      <c r="CY20" s="58">
        <f t="shared" si="129"/>
        <v>80</v>
      </c>
      <c r="CZ20" s="58">
        <f t="shared" si="130"/>
        <v>626</v>
      </c>
      <c r="DA20" s="58">
        <f t="shared" si="131"/>
        <v>9</v>
      </c>
      <c r="DB20" s="58">
        <f t="shared" si="132"/>
        <v>36</v>
      </c>
      <c r="DC20" s="58">
        <f t="shared" si="133"/>
        <v>1</v>
      </c>
      <c r="DD20" s="58">
        <f t="shared" si="134"/>
        <v>1</v>
      </c>
      <c r="DE20" s="58">
        <f t="shared" si="135"/>
        <v>0</v>
      </c>
      <c r="DF20" s="58">
        <f t="shared" si="136"/>
        <v>0</v>
      </c>
      <c r="DG20" s="58">
        <f t="shared" si="137"/>
        <v>0</v>
      </c>
      <c r="DH20" s="58">
        <f t="shared" si="138"/>
        <v>131</v>
      </c>
      <c r="DI20" s="58">
        <f t="shared" si="139"/>
        <v>60</v>
      </c>
      <c r="DJ20" s="58">
        <f t="shared" si="140"/>
        <v>2</v>
      </c>
      <c r="DK20" s="58">
        <f t="shared" si="141"/>
        <v>8</v>
      </c>
      <c r="DL20" s="58">
        <f t="shared" si="142"/>
        <v>621</v>
      </c>
      <c r="DM20" s="58">
        <f t="shared" si="143"/>
        <v>894</v>
      </c>
      <c r="DN20" s="58">
        <f t="shared" si="144"/>
        <v>735</v>
      </c>
      <c r="DO20" s="58">
        <f t="shared" si="145"/>
        <v>124</v>
      </c>
      <c r="DP20" s="58">
        <f t="shared" si="146"/>
        <v>583</v>
      </c>
      <c r="DQ20" s="58"/>
      <c r="DR20" s="58">
        <f t="shared" si="147"/>
        <v>1215</v>
      </c>
      <c r="DS20" s="58">
        <f t="shared" si="148"/>
        <v>46</v>
      </c>
      <c r="DT20" s="58">
        <f t="shared" si="149"/>
        <v>144</v>
      </c>
      <c r="DU20" s="58">
        <f t="shared" si="150"/>
        <v>496</v>
      </c>
      <c r="DV20" s="58">
        <f t="shared" si="151"/>
        <v>45</v>
      </c>
      <c r="DW20" s="58">
        <f t="shared" si="152"/>
        <v>1520</v>
      </c>
      <c r="DX20" s="58">
        <f t="shared" si="153"/>
        <v>458</v>
      </c>
      <c r="DY20" s="58">
        <f t="shared" si="115"/>
        <v>620</v>
      </c>
      <c r="DZ20" s="58">
        <f t="shared" si="116"/>
        <v>1096</v>
      </c>
      <c r="EA20" s="58">
        <f t="shared" si="117"/>
        <v>63</v>
      </c>
      <c r="EB20" s="58">
        <f t="shared" si="118"/>
        <v>94</v>
      </c>
      <c r="EC20" s="58">
        <f t="shared" si="119"/>
        <v>24</v>
      </c>
      <c r="ED20" s="58">
        <f t="shared" si="120"/>
        <v>31</v>
      </c>
      <c r="EE20" s="58">
        <f t="shared" si="121"/>
        <v>294</v>
      </c>
      <c r="EF20" s="58">
        <f t="shared" si="122"/>
        <v>3211</v>
      </c>
      <c r="EG20" s="58">
        <f t="shared" si="123"/>
        <v>1996</v>
      </c>
      <c r="EH20" s="58">
        <f t="shared" si="124"/>
        <v>21</v>
      </c>
      <c r="EI20" s="58">
        <f t="shared" si="125"/>
        <v>459</v>
      </c>
      <c r="EJ20" s="58">
        <f t="shared" si="126"/>
        <v>1964</v>
      </c>
      <c r="EK20" s="58">
        <f t="shared" si="127"/>
        <v>947</v>
      </c>
      <c r="EL20" s="58">
        <f t="shared" si="105"/>
        <v>1460</v>
      </c>
      <c r="EM20" s="58">
        <f t="shared" si="106"/>
        <v>30</v>
      </c>
      <c r="EN20" s="58">
        <f t="shared" si="107"/>
        <v>1325</v>
      </c>
      <c r="EO20" s="58">
        <f t="shared" si="108"/>
        <v>300</v>
      </c>
      <c r="EP20" s="58">
        <f t="shared" si="109"/>
        <v>8828</v>
      </c>
      <c r="EQ20" s="58">
        <f t="shared" si="110"/>
        <v>6663</v>
      </c>
      <c r="ER20" s="67">
        <f t="shared" si="72"/>
        <v>2199.6999999999998</v>
      </c>
      <c r="ES20" s="67">
        <f t="shared" si="73"/>
        <v>891.36585365853659</v>
      </c>
      <c r="EV20" s="42">
        <v>179</v>
      </c>
      <c r="EW20" s="128">
        <f t="shared" si="41"/>
        <v>9.9821280676518024E-3</v>
      </c>
      <c r="EX20" s="128">
        <f t="shared" si="42"/>
        <v>4.1779820346772509E-3</v>
      </c>
      <c r="EY20" s="128">
        <f t="shared" si="43"/>
        <v>2.7363727761507192E-2</v>
      </c>
      <c r="EZ20" s="128">
        <f t="shared" si="44"/>
        <v>2.0930232558139535E-2</v>
      </c>
      <c r="FA20" s="128">
        <f t="shared" si="45"/>
        <v>1.4257425742574258E-2</v>
      </c>
      <c r="FB20" s="128">
        <f t="shared" si="46"/>
        <v>8.6730268863833478E-5</v>
      </c>
      <c r="FC20" s="128">
        <f t="shared" si="47"/>
        <v>9.3729496672602863E-5</v>
      </c>
      <c r="FD20" s="128">
        <f t="shared" si="48"/>
        <v>0</v>
      </c>
      <c r="FE20" s="128">
        <f t="shared" si="49"/>
        <v>0</v>
      </c>
      <c r="FF20" s="128">
        <f t="shared" si="50"/>
        <v>0</v>
      </c>
      <c r="FG20" s="128">
        <f t="shared" si="51"/>
        <v>4.569395514318602E-3</v>
      </c>
      <c r="FH20" s="128">
        <f t="shared" si="52"/>
        <v>8.2739219769157582E-4</v>
      </c>
      <c r="FI20" s="128">
        <f t="shared" si="53"/>
        <v>4.4405959279735337E-5</v>
      </c>
      <c r="FJ20" s="128">
        <f t="shared" si="54"/>
        <v>7.8193724953572478E-4</v>
      </c>
      <c r="FK20" s="128">
        <f t="shared" si="55"/>
        <v>2.5134577245315093E-2</v>
      </c>
      <c r="FL20" s="128">
        <f t="shared" si="56"/>
        <v>2.2796817625458998E-2</v>
      </c>
      <c r="FM20" s="128">
        <f t="shared" si="57"/>
        <v>2.1481178396072012E-2</v>
      </c>
      <c r="FN20" s="128">
        <f t="shared" si="58"/>
        <v>6.6221628838451264E-3</v>
      </c>
      <c r="FO20" s="128">
        <f t="shared" si="59"/>
        <v>2.0727414939382089E-2</v>
      </c>
      <c r="FP20" s="128"/>
      <c r="FQ20" s="128">
        <f t="shared" si="74"/>
        <v>2.1141832988219735E-2</v>
      </c>
      <c r="FR20" s="128">
        <f t="shared" si="75"/>
        <v>1.5603799185888738E-2</v>
      </c>
      <c r="FS20" s="128">
        <f t="shared" si="76"/>
        <v>3.9333515432941821E-2</v>
      </c>
      <c r="FT20" s="128">
        <f t="shared" si="77"/>
        <v>2.0731931291931214E-2</v>
      </c>
      <c r="FU20" s="128">
        <f t="shared" si="78"/>
        <v>6.4415465437524157E-4</v>
      </c>
      <c r="FV20" s="128">
        <f t="shared" si="79"/>
        <v>1.97277057456943E-2</v>
      </c>
      <c r="FW20" s="128">
        <f t="shared" si="80"/>
        <v>6.987459188966527E-3</v>
      </c>
      <c r="FX20" s="128">
        <f t="shared" si="81"/>
        <v>6.1345444111332087E-3</v>
      </c>
      <c r="FY20" s="128">
        <f t="shared" si="82"/>
        <v>1.6429813515620315E-2</v>
      </c>
      <c r="FZ20" s="128">
        <f t="shared" si="83"/>
        <v>6.2867977247779662E-3</v>
      </c>
      <c r="GA20" s="128">
        <f t="shared" si="84"/>
        <v>7.518195633048068E-3</v>
      </c>
      <c r="GB20" s="128">
        <f t="shared" si="85"/>
        <v>1.4092777451556078E-3</v>
      </c>
      <c r="GC20" s="128">
        <f t="shared" si="86"/>
        <v>1.3759916623294409E-3</v>
      </c>
      <c r="GD20" s="128">
        <f t="shared" si="87"/>
        <v>7.3003575685339694E-3</v>
      </c>
      <c r="GE20" s="128">
        <f t="shared" si="88"/>
        <v>6.640471512770138E-2</v>
      </c>
      <c r="GF20" s="128">
        <f t="shared" si="89"/>
        <v>0.10243562087447503</v>
      </c>
      <c r="GG20" s="128">
        <f t="shared" si="90"/>
        <v>1.5510283482273869E-3</v>
      </c>
      <c r="GH20" s="128">
        <f t="shared" si="91"/>
        <v>2.0352059592958809E-2</v>
      </c>
      <c r="GI20" s="128">
        <f t="shared" si="92"/>
        <v>3.5453183385381878E-2</v>
      </c>
      <c r="GJ20" s="128">
        <f t="shared" si="93"/>
        <v>1.3078484718750432E-2</v>
      </c>
      <c r="GK20" s="128">
        <f t="shared" si="94"/>
        <v>2.4701383954251685E-2</v>
      </c>
      <c r="GL20" s="128">
        <f t="shared" si="95"/>
        <v>7.2658577345055585E-4</v>
      </c>
      <c r="GM20" s="128">
        <f t="shared" si="96"/>
        <v>2.2081861209252717E-2</v>
      </c>
      <c r="GN20" s="128">
        <f t="shared" si="97"/>
        <v>3.4971148802238152E-3</v>
      </c>
      <c r="GO20" s="128">
        <f t="shared" si="98"/>
        <v>5.7546640939728562E-2</v>
      </c>
      <c r="GP20" s="128">
        <f t="shared" si="99"/>
        <v>3.1682857591189856E-2</v>
      </c>
      <c r="GQ20" s="129">
        <f t="shared" si="100"/>
        <v>2.1067120039341573E-2</v>
      </c>
      <c r="GR20" s="129">
        <f t="shared" si="101"/>
        <v>1.6281953186907755E-2</v>
      </c>
    </row>
    <row r="21" spans="1:200" x14ac:dyDescent="0.25">
      <c r="A21" s="42">
        <v>180</v>
      </c>
      <c r="B21" s="81">
        <v>42</v>
      </c>
      <c r="C21" s="81">
        <v>36</v>
      </c>
      <c r="D21" s="81">
        <v>274</v>
      </c>
      <c r="E21" s="81">
        <v>2</v>
      </c>
      <c r="F21" s="81">
        <v>12</v>
      </c>
      <c r="G21" s="81">
        <v>37</v>
      </c>
      <c r="H21" s="81">
        <v>0</v>
      </c>
      <c r="I21" s="81">
        <v>0</v>
      </c>
      <c r="J21" s="81"/>
      <c r="K21" s="81"/>
      <c r="L21" s="81">
        <v>2</v>
      </c>
      <c r="M21" s="81">
        <v>147</v>
      </c>
      <c r="N21" s="81">
        <v>180</v>
      </c>
      <c r="O21" s="81">
        <v>2</v>
      </c>
      <c r="P21" s="81">
        <v>28</v>
      </c>
      <c r="Q21" s="81">
        <v>167</v>
      </c>
      <c r="R21" s="81">
        <v>18</v>
      </c>
      <c r="S21" s="81">
        <v>7</v>
      </c>
      <c r="T21" s="81">
        <v>89</v>
      </c>
      <c r="V21" s="81">
        <v>46</v>
      </c>
      <c r="W21" s="81">
        <v>15</v>
      </c>
      <c r="X21" s="81">
        <v>54</v>
      </c>
      <c r="Y21" s="81">
        <v>1</v>
      </c>
      <c r="Z21" s="81">
        <v>48</v>
      </c>
      <c r="AA21" s="81">
        <v>201</v>
      </c>
      <c r="AB21" s="81">
        <v>514</v>
      </c>
      <c r="AC21" s="81">
        <v>44</v>
      </c>
      <c r="AD21" s="81">
        <v>401</v>
      </c>
      <c r="AE21" s="81">
        <v>2</v>
      </c>
      <c r="AF21" s="84">
        <v>2</v>
      </c>
      <c r="AG21" s="84">
        <v>3</v>
      </c>
      <c r="AH21" s="84">
        <v>36</v>
      </c>
      <c r="AI21" s="83">
        <v>59</v>
      </c>
      <c r="AJ21" s="83">
        <v>537</v>
      </c>
      <c r="AK21" s="83">
        <v>124</v>
      </c>
      <c r="AL21" s="81">
        <v>12</v>
      </c>
      <c r="AM21" s="90">
        <v>160</v>
      </c>
      <c r="AN21" s="90">
        <v>32</v>
      </c>
      <c r="AO21" s="90">
        <v>799</v>
      </c>
      <c r="AP21" s="81">
        <v>1022</v>
      </c>
      <c r="AQ21" s="81">
        <v>0</v>
      </c>
      <c r="AR21" s="81">
        <v>261</v>
      </c>
      <c r="AS21" s="81">
        <v>113</v>
      </c>
      <c r="AT21" s="81">
        <v>924</v>
      </c>
      <c r="AU21" s="81">
        <v>1345</v>
      </c>
      <c r="AV21" s="71">
        <f t="shared" si="113"/>
        <v>466.8</v>
      </c>
      <c r="AW21" s="71">
        <f t="shared" si="102"/>
        <v>2687.9932539682541</v>
      </c>
      <c r="AY21" s="42">
        <v>180</v>
      </c>
      <c r="AZ21" s="48">
        <f t="shared" ref="AZ21:AZ84" si="154">B21/B$104</f>
        <v>1.8307833137177977E-3</v>
      </c>
      <c r="BA21" s="48">
        <f t="shared" si="1"/>
        <v>1.880091915604763E-3</v>
      </c>
      <c r="BB21" s="48">
        <f t="shared" si="2"/>
        <v>1.1977094898806662E-2</v>
      </c>
      <c r="BC21" s="48">
        <f t="shared" si="3"/>
        <v>4.6511627906976744E-3</v>
      </c>
      <c r="BD21" s="48">
        <f t="shared" si="4"/>
        <v>4.7524752475247524E-3</v>
      </c>
      <c r="BE21" s="48">
        <f t="shared" si="5"/>
        <v>3.2090199479618388E-3</v>
      </c>
      <c r="BF21" s="48">
        <f t="shared" si="6"/>
        <v>0</v>
      </c>
      <c r="BG21" s="48">
        <f t="shared" si="7"/>
        <v>0</v>
      </c>
      <c r="BH21" s="48">
        <f t="shared" si="8"/>
        <v>0</v>
      </c>
      <c r="BI21" s="48">
        <f t="shared" si="9"/>
        <v>0</v>
      </c>
      <c r="BJ21" s="48">
        <f t="shared" si="10"/>
        <v>6.9761763577383233E-5</v>
      </c>
      <c r="BK21" s="48">
        <f t="shared" si="11"/>
        <v>2.0271108843443607E-3</v>
      </c>
      <c r="BL21" s="48">
        <f t="shared" si="12"/>
        <v>3.9965363351761804E-3</v>
      </c>
      <c r="BM21" s="48">
        <f t="shared" si="13"/>
        <v>1.954843123839312E-4</v>
      </c>
      <c r="BN21" s="48">
        <f t="shared" si="14"/>
        <v>1.1332820658113084E-3</v>
      </c>
      <c r="BO21" s="48">
        <f t="shared" si="15"/>
        <v>4.2584659322725416E-3</v>
      </c>
      <c r="BP21" s="48">
        <f t="shared" si="16"/>
        <v>5.2606967500584527E-4</v>
      </c>
      <c r="BQ21" s="48">
        <f t="shared" si="17"/>
        <v>3.7383177570093456E-4</v>
      </c>
      <c r="BR21" s="48">
        <f t="shared" si="18"/>
        <v>3.1642194332847443E-3</v>
      </c>
      <c r="BS21" s="48"/>
      <c r="BT21" s="48">
        <f t="shared" si="19"/>
        <v>8.0043153700255787E-4</v>
      </c>
      <c r="BU21" s="48">
        <f t="shared" si="20"/>
        <v>5.0881953867028496E-3</v>
      </c>
      <c r="BV21" s="48">
        <f t="shared" si="21"/>
        <v>1.4750068287353183E-2</v>
      </c>
      <c r="BW21" s="48">
        <f t="shared" si="22"/>
        <v>4.1798248572441963E-5</v>
      </c>
      <c r="BX21" s="48">
        <f t="shared" si="23"/>
        <v>6.8709829800025764E-4</v>
      </c>
      <c r="BY21" s="48">
        <f t="shared" si="24"/>
        <v>2.6087295097924697E-3</v>
      </c>
      <c r="BZ21" s="48">
        <f t="shared" si="25"/>
        <v>7.8418210111982425E-3</v>
      </c>
      <c r="CA21" s="48">
        <f t="shared" si="26"/>
        <v>4.3535476466106645E-4</v>
      </c>
      <c r="CB21" s="48">
        <f t="shared" si="27"/>
        <v>6.0112730107333449E-3</v>
      </c>
      <c r="CC21" s="48">
        <f t="shared" si="28"/>
        <v>1.9958088015168147E-4</v>
      </c>
      <c r="CD21" s="48">
        <f t="shared" si="29"/>
        <v>1.5996160921378868E-4</v>
      </c>
      <c r="CE21" s="48">
        <f t="shared" si="30"/>
        <v>1.7615971814445098E-4</v>
      </c>
      <c r="CF21" s="48">
        <f t="shared" si="31"/>
        <v>1.5979258014148345E-3</v>
      </c>
      <c r="CG21" s="48">
        <f t="shared" si="32"/>
        <v>1.4650377433452523E-3</v>
      </c>
      <c r="CH21" s="48">
        <f t="shared" si="33"/>
        <v>1.1105366559818013E-2</v>
      </c>
      <c r="CI21" s="48">
        <f t="shared" si="34"/>
        <v>6.3637359661497511E-3</v>
      </c>
      <c r="CJ21" s="48">
        <f t="shared" si="35"/>
        <v>8.863019132727925E-4</v>
      </c>
      <c r="CK21" s="48">
        <f t="shared" si="36"/>
        <v>7.0943998581120028E-3</v>
      </c>
      <c r="CL21" s="48">
        <f t="shared" si="37"/>
        <v>5.7764860913045836E-4</v>
      </c>
      <c r="CM21" s="48">
        <f t="shared" si="61"/>
        <v>1.1034539905260396E-2</v>
      </c>
      <c r="CN21" s="48">
        <f t="shared" si="62"/>
        <v>1.7290968767976179E-2</v>
      </c>
      <c r="CO21" s="48">
        <f t="shared" si="63"/>
        <v>0</v>
      </c>
      <c r="CP21" s="48">
        <f t="shared" si="64"/>
        <v>4.3497100193320443E-3</v>
      </c>
      <c r="CQ21" s="48">
        <f t="shared" si="112"/>
        <v>1.3172466048843039E-3</v>
      </c>
      <c r="CR21" s="48">
        <f t="shared" si="65"/>
        <v>6.0232324680912089E-3</v>
      </c>
      <c r="CS21" s="48">
        <f t="shared" si="66"/>
        <v>6.39553406275707E-3</v>
      </c>
      <c r="CT21" s="68">
        <f t="shared" si="67"/>
        <v>2.6564078260223216E-2</v>
      </c>
      <c r="CU21" s="68">
        <f t="shared" si="68"/>
        <v>1.9648011184812984E-2</v>
      </c>
      <c r="CW21" s="42">
        <v>180</v>
      </c>
      <c r="CX21" s="58">
        <f t="shared" si="128"/>
        <v>271</v>
      </c>
      <c r="CY21" s="58">
        <f t="shared" si="129"/>
        <v>116</v>
      </c>
      <c r="CZ21" s="58">
        <f t="shared" si="130"/>
        <v>900</v>
      </c>
      <c r="DA21" s="58">
        <f t="shared" si="131"/>
        <v>11</v>
      </c>
      <c r="DB21" s="58">
        <f t="shared" si="132"/>
        <v>48</v>
      </c>
      <c r="DC21" s="58">
        <f t="shared" si="133"/>
        <v>38</v>
      </c>
      <c r="DD21" s="58">
        <f t="shared" si="134"/>
        <v>1</v>
      </c>
      <c r="DE21" s="58">
        <f t="shared" si="135"/>
        <v>0</v>
      </c>
      <c r="DF21" s="58">
        <f t="shared" si="136"/>
        <v>0</v>
      </c>
      <c r="DG21" s="58">
        <f t="shared" si="137"/>
        <v>0</v>
      </c>
      <c r="DH21" s="58">
        <f t="shared" si="138"/>
        <v>133</v>
      </c>
      <c r="DI21" s="58">
        <f t="shared" si="139"/>
        <v>207</v>
      </c>
      <c r="DJ21" s="58">
        <f t="shared" si="140"/>
        <v>182</v>
      </c>
      <c r="DK21" s="58">
        <f t="shared" si="141"/>
        <v>10</v>
      </c>
      <c r="DL21" s="58">
        <f t="shared" si="142"/>
        <v>649</v>
      </c>
      <c r="DM21" s="58">
        <f t="shared" si="143"/>
        <v>1061</v>
      </c>
      <c r="DN21" s="58">
        <f t="shared" si="144"/>
        <v>753</v>
      </c>
      <c r="DO21" s="58">
        <f t="shared" si="145"/>
        <v>131</v>
      </c>
      <c r="DP21" s="58">
        <f t="shared" si="146"/>
        <v>672</v>
      </c>
      <c r="DQ21" s="58"/>
      <c r="DR21" s="58">
        <f t="shared" si="147"/>
        <v>1261</v>
      </c>
      <c r="DS21" s="58">
        <f t="shared" si="148"/>
        <v>61</v>
      </c>
      <c r="DT21" s="58">
        <f t="shared" si="149"/>
        <v>198</v>
      </c>
      <c r="DU21" s="58">
        <f t="shared" si="150"/>
        <v>497</v>
      </c>
      <c r="DV21" s="58">
        <f t="shared" si="151"/>
        <v>93</v>
      </c>
      <c r="DW21" s="58">
        <f t="shared" si="152"/>
        <v>1721</v>
      </c>
      <c r="DX21" s="58">
        <f t="shared" si="153"/>
        <v>972</v>
      </c>
      <c r="DY21" s="58">
        <f t="shared" si="115"/>
        <v>664</v>
      </c>
      <c r="DZ21" s="58">
        <f t="shared" si="116"/>
        <v>1497</v>
      </c>
      <c r="EA21" s="58">
        <f t="shared" si="117"/>
        <v>65</v>
      </c>
      <c r="EB21" s="58">
        <f t="shared" si="118"/>
        <v>96</v>
      </c>
      <c r="EC21" s="58">
        <f t="shared" si="119"/>
        <v>27</v>
      </c>
      <c r="ED21" s="58">
        <f t="shared" si="120"/>
        <v>67</v>
      </c>
      <c r="EE21" s="58">
        <f t="shared" si="121"/>
        <v>353</v>
      </c>
      <c r="EF21" s="58">
        <f t="shared" si="122"/>
        <v>3748</v>
      </c>
      <c r="EG21" s="58">
        <f t="shared" si="123"/>
        <v>2120</v>
      </c>
      <c r="EH21" s="58">
        <f t="shared" si="124"/>
        <v>33</v>
      </c>
      <c r="EI21" s="58">
        <f t="shared" si="125"/>
        <v>619</v>
      </c>
      <c r="EJ21" s="58">
        <f t="shared" si="126"/>
        <v>1996</v>
      </c>
      <c r="EK21" s="58">
        <f t="shared" si="127"/>
        <v>1746</v>
      </c>
      <c r="EL21" s="58">
        <f t="shared" si="105"/>
        <v>2482</v>
      </c>
      <c r="EM21" s="58">
        <f t="shared" si="106"/>
        <v>30</v>
      </c>
      <c r="EN21" s="58">
        <f t="shared" si="107"/>
        <v>1586</v>
      </c>
      <c r="EO21" s="58">
        <f t="shared" si="108"/>
        <v>413</v>
      </c>
      <c r="EP21" s="58">
        <f t="shared" si="109"/>
        <v>9752</v>
      </c>
      <c r="EQ21" s="58">
        <f t="shared" si="110"/>
        <v>8008</v>
      </c>
      <c r="ER21" s="67">
        <f t="shared" si="72"/>
        <v>2666.5</v>
      </c>
      <c r="ES21" s="67">
        <f t="shared" si="73"/>
        <v>1072.9268292682927</v>
      </c>
      <c r="EV21" s="42">
        <v>180</v>
      </c>
      <c r="EW21" s="128">
        <f t="shared" si="41"/>
        <v>1.18129113813696E-2</v>
      </c>
      <c r="EX21" s="128">
        <f t="shared" si="42"/>
        <v>6.0580739502820134E-3</v>
      </c>
      <c r="EY21" s="128">
        <f t="shared" si="43"/>
        <v>3.934082266031385E-2</v>
      </c>
      <c r="EZ21" s="128">
        <f t="shared" si="44"/>
        <v>2.5581395348837209E-2</v>
      </c>
      <c r="FA21" s="128">
        <f t="shared" si="45"/>
        <v>1.9009900990099009E-2</v>
      </c>
      <c r="FB21" s="128">
        <f t="shared" si="46"/>
        <v>3.2957502168256721E-3</v>
      </c>
      <c r="FC21" s="128">
        <f t="shared" si="47"/>
        <v>9.3729496672602863E-5</v>
      </c>
      <c r="FD21" s="128">
        <f t="shared" si="48"/>
        <v>0</v>
      </c>
      <c r="FE21" s="128">
        <f t="shared" si="49"/>
        <v>0</v>
      </c>
      <c r="FF21" s="128">
        <f t="shared" si="50"/>
        <v>0</v>
      </c>
      <c r="FG21" s="128">
        <f t="shared" si="51"/>
        <v>4.6391572778959854E-3</v>
      </c>
      <c r="FH21" s="128">
        <f t="shared" si="52"/>
        <v>2.8545030820359362E-3</v>
      </c>
      <c r="FI21" s="128">
        <f t="shared" si="53"/>
        <v>4.0409422944559159E-3</v>
      </c>
      <c r="FJ21" s="128">
        <f t="shared" si="54"/>
        <v>9.7742156191965601E-4</v>
      </c>
      <c r="FK21" s="128">
        <f t="shared" si="55"/>
        <v>2.62678593111264E-2</v>
      </c>
      <c r="FL21" s="128">
        <f t="shared" si="56"/>
        <v>2.7055283557731537E-2</v>
      </c>
      <c r="FM21" s="128">
        <f t="shared" si="57"/>
        <v>2.2007248071077859E-2</v>
      </c>
      <c r="FN21" s="128">
        <f t="shared" si="58"/>
        <v>6.9959946595460612E-3</v>
      </c>
      <c r="FO21" s="128">
        <f t="shared" si="59"/>
        <v>2.3891634372666833E-2</v>
      </c>
      <c r="FP21" s="128"/>
      <c r="FQ21" s="128">
        <f t="shared" si="74"/>
        <v>2.1942264525222292E-2</v>
      </c>
      <c r="FR21" s="128">
        <f t="shared" si="75"/>
        <v>2.0691994572591587E-2</v>
      </c>
      <c r="FS21" s="128">
        <f t="shared" si="76"/>
        <v>5.4083583720295002E-2</v>
      </c>
      <c r="FT21" s="128">
        <f t="shared" si="77"/>
        <v>2.0773729540503653E-2</v>
      </c>
      <c r="FU21" s="128">
        <f t="shared" si="78"/>
        <v>1.3312529523754992E-3</v>
      </c>
      <c r="FV21" s="128">
        <f t="shared" si="79"/>
        <v>2.2336435255486769E-2</v>
      </c>
      <c r="FW21" s="128">
        <f t="shared" si="80"/>
        <v>1.482928020016477E-2</v>
      </c>
      <c r="FX21" s="128">
        <f t="shared" si="81"/>
        <v>6.5698991757942747E-3</v>
      </c>
      <c r="FY21" s="128">
        <f t="shared" si="82"/>
        <v>2.2441086526353661E-2</v>
      </c>
      <c r="FZ21" s="128">
        <f t="shared" si="83"/>
        <v>6.4863786049296481E-3</v>
      </c>
      <c r="GA21" s="128">
        <f t="shared" si="84"/>
        <v>7.678157242261857E-3</v>
      </c>
      <c r="GB21" s="128">
        <f t="shared" si="85"/>
        <v>1.5854374633000588E-3</v>
      </c>
      <c r="GC21" s="128">
        <f t="shared" si="86"/>
        <v>2.9739174637442752E-3</v>
      </c>
      <c r="GD21" s="128">
        <f t="shared" si="87"/>
        <v>8.7653953118792208E-3</v>
      </c>
      <c r="GE21" s="128">
        <f t="shared" si="88"/>
        <v>7.7510081687519383E-2</v>
      </c>
      <c r="GF21" s="128">
        <f t="shared" si="89"/>
        <v>0.10879935684062478</v>
      </c>
      <c r="GG21" s="128">
        <f t="shared" si="90"/>
        <v>2.4373302615001793E-3</v>
      </c>
      <c r="GH21" s="128">
        <f t="shared" si="91"/>
        <v>2.7446459451070812E-2</v>
      </c>
      <c r="GI21" s="128">
        <f t="shared" si="92"/>
        <v>3.603083199451234E-2</v>
      </c>
      <c r="GJ21" s="128">
        <f t="shared" si="93"/>
        <v>2.4113024624010826E-2</v>
      </c>
      <c r="GK21" s="128">
        <f t="shared" si="94"/>
        <v>4.1992352722227864E-2</v>
      </c>
      <c r="GL21" s="128">
        <f t="shared" si="95"/>
        <v>7.2658577345055585E-4</v>
      </c>
      <c r="GM21" s="128">
        <f t="shared" si="96"/>
        <v>2.643157122858476E-2</v>
      </c>
      <c r="GN21" s="128">
        <f t="shared" si="97"/>
        <v>4.8143614851081191E-3</v>
      </c>
      <c r="GO21" s="128">
        <f t="shared" si="98"/>
        <v>6.3569873407819777E-2</v>
      </c>
      <c r="GP21" s="128">
        <f t="shared" si="99"/>
        <v>3.8078391653946927E-2</v>
      </c>
      <c r="GQ21" s="129">
        <f t="shared" si="100"/>
        <v>2.6564078260223212E-2</v>
      </c>
      <c r="GR21" s="129">
        <f t="shared" si="101"/>
        <v>1.9648011184812981E-2</v>
      </c>
    </row>
    <row r="22" spans="1:200" x14ac:dyDescent="0.25">
      <c r="A22" s="42">
        <v>181</v>
      </c>
      <c r="B22" s="81">
        <v>118</v>
      </c>
      <c r="C22" s="81">
        <v>4</v>
      </c>
      <c r="D22" s="81">
        <v>144</v>
      </c>
      <c r="E22" s="81">
        <v>2</v>
      </c>
      <c r="F22" s="81">
        <v>0</v>
      </c>
      <c r="G22" s="81">
        <v>8</v>
      </c>
      <c r="H22" s="81">
        <v>0</v>
      </c>
      <c r="I22" s="81">
        <v>0</v>
      </c>
      <c r="J22" s="81">
        <v>0</v>
      </c>
      <c r="K22" s="81"/>
      <c r="L22" s="81">
        <v>17</v>
      </c>
      <c r="M22" s="81">
        <v>85</v>
      </c>
      <c r="N22" s="81">
        <v>54</v>
      </c>
      <c r="O22" s="81">
        <v>6</v>
      </c>
      <c r="P22" s="81">
        <v>42</v>
      </c>
      <c r="Q22" s="81">
        <v>253</v>
      </c>
      <c r="R22" s="81">
        <v>187</v>
      </c>
      <c r="S22" s="81">
        <v>7</v>
      </c>
      <c r="T22" s="81">
        <v>438</v>
      </c>
      <c r="V22" s="81">
        <v>820</v>
      </c>
      <c r="W22" s="81">
        <v>21</v>
      </c>
      <c r="X22" s="81">
        <v>77</v>
      </c>
      <c r="Y22" s="81">
        <v>38</v>
      </c>
      <c r="Z22" s="81">
        <v>24</v>
      </c>
      <c r="AA22" s="81">
        <v>930</v>
      </c>
      <c r="AB22" s="81">
        <v>368</v>
      </c>
      <c r="AC22" s="81">
        <v>28</v>
      </c>
      <c r="AD22" s="81">
        <v>183</v>
      </c>
      <c r="AE22" s="81">
        <v>3</v>
      </c>
      <c r="AF22" s="84">
        <v>1</v>
      </c>
      <c r="AG22" s="84">
        <v>9</v>
      </c>
      <c r="AH22" s="84">
        <v>0</v>
      </c>
      <c r="AI22" s="83">
        <v>522</v>
      </c>
      <c r="AJ22" s="83">
        <v>425</v>
      </c>
      <c r="AK22" s="83">
        <v>146</v>
      </c>
      <c r="AL22" s="81">
        <v>93</v>
      </c>
      <c r="AM22" s="90">
        <v>176</v>
      </c>
      <c r="AN22" s="90">
        <v>3</v>
      </c>
      <c r="AO22" s="90">
        <v>502</v>
      </c>
      <c r="AP22" s="81">
        <v>1982</v>
      </c>
      <c r="AQ22" s="81">
        <v>0</v>
      </c>
      <c r="AR22" s="81">
        <v>282</v>
      </c>
      <c r="AS22" s="81">
        <v>1655</v>
      </c>
      <c r="AT22" s="81">
        <v>298</v>
      </c>
      <c r="AU22" s="81">
        <v>1390</v>
      </c>
      <c r="AV22" s="71">
        <f t="shared" si="113"/>
        <v>638.1</v>
      </c>
      <c r="AW22" s="71">
        <f t="shared" si="102"/>
        <v>3326.093253968254</v>
      </c>
      <c r="AY22" s="42">
        <v>181</v>
      </c>
      <c r="AZ22" s="48">
        <f t="shared" si="154"/>
        <v>5.1436293099690507E-3</v>
      </c>
      <c r="BA22" s="48">
        <f t="shared" si="1"/>
        <v>2.0889910173386254E-4</v>
      </c>
      <c r="BB22" s="48">
        <f t="shared" si="2"/>
        <v>6.2945316256502164E-3</v>
      </c>
      <c r="BC22" s="48">
        <f t="shared" si="3"/>
        <v>4.6511627906976744E-3</v>
      </c>
      <c r="BD22" s="48">
        <f t="shared" si="4"/>
        <v>0</v>
      </c>
      <c r="BE22" s="48">
        <f t="shared" si="5"/>
        <v>6.9384215091066782E-4</v>
      </c>
      <c r="BF22" s="48">
        <f t="shared" si="6"/>
        <v>0</v>
      </c>
      <c r="BG22" s="48">
        <f t="shared" si="7"/>
        <v>0</v>
      </c>
      <c r="BH22" s="48">
        <f t="shared" si="8"/>
        <v>0</v>
      </c>
      <c r="BI22" s="48">
        <f t="shared" si="9"/>
        <v>0</v>
      </c>
      <c r="BJ22" s="48">
        <f t="shared" si="10"/>
        <v>5.9297499040775756E-4</v>
      </c>
      <c r="BK22" s="48">
        <f t="shared" si="11"/>
        <v>1.1721389467297322E-3</v>
      </c>
      <c r="BL22" s="48">
        <f t="shared" si="12"/>
        <v>1.1989609005528543E-3</v>
      </c>
      <c r="BM22" s="48">
        <f t="shared" si="13"/>
        <v>5.8645293715179356E-4</v>
      </c>
      <c r="BN22" s="48">
        <f t="shared" si="14"/>
        <v>1.6999230987169629E-3</v>
      </c>
      <c r="BO22" s="48">
        <f t="shared" si="15"/>
        <v>6.4514483884128924E-3</v>
      </c>
      <c r="BP22" s="48">
        <f t="shared" si="16"/>
        <v>5.465279401449614E-3</v>
      </c>
      <c r="BQ22" s="48">
        <f t="shared" si="17"/>
        <v>3.7383177570093456E-4</v>
      </c>
      <c r="BR22" s="48">
        <f t="shared" si="18"/>
        <v>1.5572225975041775E-2</v>
      </c>
      <c r="BS22" s="48"/>
      <c r="BT22" s="48">
        <f t="shared" si="19"/>
        <v>1.4268562181349946E-2</v>
      </c>
      <c r="BU22" s="48">
        <f t="shared" si="20"/>
        <v>7.1234735413839888E-3</v>
      </c>
      <c r="BV22" s="48">
        <f t="shared" si="21"/>
        <v>2.1032504780114723E-2</v>
      </c>
      <c r="BW22" s="48">
        <f t="shared" si="22"/>
        <v>1.5883334457527944E-3</v>
      </c>
      <c r="BX22" s="48">
        <f t="shared" si="23"/>
        <v>3.4354914900012882E-4</v>
      </c>
      <c r="BY22" s="48">
        <f t="shared" si="24"/>
        <v>1.2070241015457697E-2</v>
      </c>
      <c r="BZ22" s="48">
        <f t="shared" si="25"/>
        <v>5.6143776889512713E-3</v>
      </c>
      <c r="CA22" s="48">
        <f t="shared" si="26"/>
        <v>2.7704394114795138E-4</v>
      </c>
      <c r="CB22" s="48">
        <f t="shared" si="27"/>
        <v>2.7432991545241949E-3</v>
      </c>
      <c r="CC22" s="48">
        <f t="shared" si="28"/>
        <v>2.9937132022752222E-4</v>
      </c>
      <c r="CD22" s="48">
        <f t="shared" si="29"/>
        <v>7.9980804606894339E-5</v>
      </c>
      <c r="CE22" s="48">
        <f t="shared" si="30"/>
        <v>5.2847915443335293E-4</v>
      </c>
      <c r="CF22" s="48">
        <f t="shared" si="31"/>
        <v>0</v>
      </c>
      <c r="CG22" s="48">
        <f t="shared" si="32"/>
        <v>1.2961859356376639E-2</v>
      </c>
      <c r="CH22" s="48">
        <f t="shared" si="33"/>
        <v>8.7891634784406994E-3</v>
      </c>
      <c r="CI22" s="48">
        <f t="shared" si="34"/>
        <v>7.492785895627933E-3</v>
      </c>
      <c r="CJ22" s="48">
        <f t="shared" si="35"/>
        <v>6.8688398278641417E-3</v>
      </c>
      <c r="CK22" s="48">
        <f t="shared" si="36"/>
        <v>7.8038398439232029E-3</v>
      </c>
      <c r="CL22" s="48">
        <f t="shared" si="37"/>
        <v>5.4154557105980472E-5</v>
      </c>
      <c r="CM22" s="48">
        <f t="shared" si="61"/>
        <v>6.9328398403513377E-3</v>
      </c>
      <c r="CN22" s="48">
        <f t="shared" si="62"/>
        <v>3.3532974655703311E-2</v>
      </c>
      <c r="CO22" s="48">
        <f t="shared" si="63"/>
        <v>0</v>
      </c>
      <c r="CP22" s="48">
        <f t="shared" si="64"/>
        <v>4.6996866875541627E-3</v>
      </c>
      <c r="CQ22" s="48">
        <f t="shared" si="112"/>
        <v>1.9292417089234716E-2</v>
      </c>
      <c r="CR22" s="48">
        <f t="shared" si="65"/>
        <v>1.9425576574579873E-3</v>
      </c>
      <c r="CS22" s="48">
        <f t="shared" si="66"/>
        <v>6.6095110388344437E-3</v>
      </c>
      <c r="CT22" s="68">
        <f t="shared" si="67"/>
        <v>3.5337760380026145E-2</v>
      </c>
      <c r="CU22" s="68">
        <f t="shared" si="68"/>
        <v>2.4934765445069083E-2</v>
      </c>
      <c r="CW22" s="42">
        <v>181</v>
      </c>
      <c r="CX22" s="58">
        <f t="shared" si="128"/>
        <v>389</v>
      </c>
      <c r="CY22" s="58">
        <f t="shared" si="129"/>
        <v>120</v>
      </c>
      <c r="CZ22" s="58">
        <f t="shared" si="130"/>
        <v>1044</v>
      </c>
      <c r="DA22" s="58">
        <f t="shared" si="131"/>
        <v>13</v>
      </c>
      <c r="DB22" s="58">
        <f t="shared" si="132"/>
        <v>48</v>
      </c>
      <c r="DC22" s="58">
        <f t="shared" si="133"/>
        <v>46</v>
      </c>
      <c r="DD22" s="58">
        <f t="shared" si="134"/>
        <v>1</v>
      </c>
      <c r="DE22" s="58">
        <f t="shared" si="135"/>
        <v>0</v>
      </c>
      <c r="DF22" s="58">
        <f t="shared" si="136"/>
        <v>0</v>
      </c>
      <c r="DG22" s="58">
        <f t="shared" si="137"/>
        <v>0</v>
      </c>
      <c r="DH22" s="58">
        <f t="shared" si="138"/>
        <v>150</v>
      </c>
      <c r="DI22" s="58">
        <f t="shared" si="139"/>
        <v>292</v>
      </c>
      <c r="DJ22" s="58">
        <f t="shared" si="140"/>
        <v>236</v>
      </c>
      <c r="DK22" s="58">
        <f t="shared" si="141"/>
        <v>16</v>
      </c>
      <c r="DL22" s="58">
        <f t="shared" si="142"/>
        <v>691</v>
      </c>
      <c r="DM22" s="58">
        <f t="shared" si="143"/>
        <v>1314</v>
      </c>
      <c r="DN22" s="58">
        <f t="shared" si="144"/>
        <v>940</v>
      </c>
      <c r="DO22" s="58">
        <f t="shared" si="145"/>
        <v>138</v>
      </c>
      <c r="DP22" s="58">
        <f t="shared" si="146"/>
        <v>1110</v>
      </c>
      <c r="DQ22" s="58"/>
      <c r="DR22" s="58">
        <f t="shared" si="147"/>
        <v>2081</v>
      </c>
      <c r="DS22" s="58">
        <f t="shared" si="148"/>
        <v>82</v>
      </c>
      <c r="DT22" s="58">
        <f t="shared" si="149"/>
        <v>275</v>
      </c>
      <c r="DU22" s="58">
        <f t="shared" si="150"/>
        <v>535</v>
      </c>
      <c r="DV22" s="58">
        <f t="shared" si="151"/>
        <v>117</v>
      </c>
      <c r="DW22" s="58">
        <f t="shared" si="152"/>
        <v>2651</v>
      </c>
      <c r="DX22" s="58">
        <f t="shared" si="153"/>
        <v>1340</v>
      </c>
      <c r="DY22" s="58">
        <f t="shared" si="115"/>
        <v>692</v>
      </c>
      <c r="DZ22" s="58">
        <f t="shared" si="116"/>
        <v>1680</v>
      </c>
      <c r="EA22" s="58">
        <f t="shared" si="117"/>
        <v>68</v>
      </c>
      <c r="EB22" s="58">
        <f t="shared" si="118"/>
        <v>97</v>
      </c>
      <c r="EC22" s="58">
        <f t="shared" si="119"/>
        <v>36</v>
      </c>
      <c r="ED22" s="58">
        <f t="shared" si="120"/>
        <v>67</v>
      </c>
      <c r="EE22" s="58">
        <f t="shared" si="121"/>
        <v>875</v>
      </c>
      <c r="EF22" s="58">
        <f t="shared" si="122"/>
        <v>4173</v>
      </c>
      <c r="EG22" s="58">
        <f t="shared" si="123"/>
        <v>2266</v>
      </c>
      <c r="EH22" s="58">
        <f t="shared" si="124"/>
        <v>126</v>
      </c>
      <c r="EI22" s="58">
        <f t="shared" si="125"/>
        <v>795</v>
      </c>
      <c r="EJ22" s="58">
        <f t="shared" si="126"/>
        <v>1999</v>
      </c>
      <c r="EK22" s="58">
        <f t="shared" si="127"/>
        <v>2248</v>
      </c>
      <c r="EL22" s="58">
        <f t="shared" si="105"/>
        <v>4464</v>
      </c>
      <c r="EM22" s="58">
        <f t="shared" si="106"/>
        <v>30</v>
      </c>
      <c r="EN22" s="58">
        <f t="shared" si="107"/>
        <v>1868</v>
      </c>
      <c r="EO22" s="58">
        <f t="shared" si="108"/>
        <v>2068</v>
      </c>
      <c r="EP22" s="58">
        <f t="shared" si="109"/>
        <v>10050</v>
      </c>
      <c r="EQ22" s="58">
        <f t="shared" si="110"/>
        <v>9398</v>
      </c>
      <c r="ER22" s="67">
        <f t="shared" si="72"/>
        <v>3304.6</v>
      </c>
      <c r="ES22" s="67">
        <f t="shared" si="73"/>
        <v>1343</v>
      </c>
      <c r="EV22" s="42">
        <v>181</v>
      </c>
      <c r="EW22" s="128">
        <f t="shared" si="41"/>
        <v>1.6956540691338652E-2</v>
      </c>
      <c r="EX22" s="128">
        <f t="shared" si="42"/>
        <v>6.2669730520158763E-3</v>
      </c>
      <c r="EY22" s="128">
        <f t="shared" si="43"/>
        <v>4.5635354285964068E-2</v>
      </c>
      <c r="EZ22" s="128">
        <f t="shared" si="44"/>
        <v>3.0232558139534883E-2</v>
      </c>
      <c r="FA22" s="128">
        <f t="shared" si="45"/>
        <v>1.9009900990099009E-2</v>
      </c>
      <c r="FB22" s="128">
        <f t="shared" si="46"/>
        <v>3.9895923677363398E-3</v>
      </c>
      <c r="FC22" s="128">
        <f t="shared" si="47"/>
        <v>9.3729496672602863E-5</v>
      </c>
      <c r="FD22" s="128">
        <f t="shared" si="48"/>
        <v>0</v>
      </c>
      <c r="FE22" s="128">
        <f t="shared" si="49"/>
        <v>0</v>
      </c>
      <c r="FF22" s="128">
        <f t="shared" si="50"/>
        <v>0</v>
      </c>
      <c r="FG22" s="128">
        <f t="shared" si="51"/>
        <v>5.2321322683037425E-3</v>
      </c>
      <c r="FH22" s="128">
        <f t="shared" si="52"/>
        <v>4.0266420287656691E-3</v>
      </c>
      <c r="FI22" s="128">
        <f t="shared" si="53"/>
        <v>5.2399031950087702E-3</v>
      </c>
      <c r="FJ22" s="128">
        <f t="shared" si="54"/>
        <v>1.5638744990714496E-3</v>
      </c>
      <c r="FK22" s="128">
        <f t="shared" si="55"/>
        <v>2.7967782409843364E-2</v>
      </c>
      <c r="FL22" s="128">
        <f t="shared" si="56"/>
        <v>3.3506731946144432E-2</v>
      </c>
      <c r="FM22" s="128">
        <f t="shared" si="57"/>
        <v>2.7472527472527472E-2</v>
      </c>
      <c r="FN22" s="128">
        <f t="shared" si="58"/>
        <v>7.3698264352469959E-3</v>
      </c>
      <c r="FO22" s="128">
        <f t="shared" si="59"/>
        <v>3.9463860347708608E-2</v>
      </c>
      <c r="FP22" s="128"/>
      <c r="FQ22" s="128">
        <f t="shared" si="74"/>
        <v>3.621082670657224E-2</v>
      </c>
      <c r="FR22" s="128">
        <f t="shared" si="75"/>
        <v>2.7815468113975575E-2</v>
      </c>
      <c r="FS22" s="128">
        <f t="shared" si="76"/>
        <v>7.5116088500409725E-2</v>
      </c>
      <c r="FT22" s="128">
        <f t="shared" si="77"/>
        <v>2.236206298625645E-2</v>
      </c>
      <c r="FU22" s="128">
        <f t="shared" si="78"/>
        <v>1.6748021013756281E-3</v>
      </c>
      <c r="FV22" s="128">
        <f t="shared" si="79"/>
        <v>3.4406676270944465E-2</v>
      </c>
      <c r="FW22" s="128">
        <f t="shared" si="80"/>
        <v>2.0443657889116042E-2</v>
      </c>
      <c r="FX22" s="128">
        <f t="shared" si="81"/>
        <v>6.8469431169422262E-3</v>
      </c>
      <c r="FY22" s="128">
        <f t="shared" si="82"/>
        <v>2.5184385680877854E-2</v>
      </c>
      <c r="FZ22" s="128">
        <f t="shared" si="83"/>
        <v>6.7857499251571703E-3</v>
      </c>
      <c r="GA22" s="128">
        <f t="shared" si="84"/>
        <v>7.7581380468687514E-3</v>
      </c>
      <c r="GB22" s="128">
        <f t="shared" si="85"/>
        <v>2.1139166177334117E-3</v>
      </c>
      <c r="GC22" s="128">
        <f t="shared" si="86"/>
        <v>2.9739174637442752E-3</v>
      </c>
      <c r="GD22" s="128">
        <f t="shared" si="87"/>
        <v>2.1727254668255862E-2</v>
      </c>
      <c r="GE22" s="128">
        <f t="shared" si="88"/>
        <v>8.629924516596009E-2</v>
      </c>
      <c r="GF22" s="128">
        <f t="shared" si="89"/>
        <v>0.11629214273625271</v>
      </c>
      <c r="GG22" s="128">
        <f t="shared" si="90"/>
        <v>9.3061700893643205E-3</v>
      </c>
      <c r="GH22" s="128">
        <f t="shared" si="91"/>
        <v>3.5250299294994014E-2</v>
      </c>
      <c r="GI22" s="128">
        <f t="shared" si="92"/>
        <v>3.608498655161832E-2</v>
      </c>
      <c r="GJ22" s="128">
        <f t="shared" si="93"/>
        <v>3.1045864464362166E-2</v>
      </c>
      <c r="GK22" s="128">
        <f t="shared" si="94"/>
        <v>7.5525327377931176E-2</v>
      </c>
      <c r="GL22" s="128">
        <f t="shared" si="95"/>
        <v>7.2658577345055585E-4</v>
      </c>
      <c r="GM22" s="128">
        <f t="shared" si="96"/>
        <v>3.1131257916138924E-2</v>
      </c>
      <c r="GN22" s="128">
        <f t="shared" si="97"/>
        <v>2.4106778574342833E-2</v>
      </c>
      <c r="GO22" s="128">
        <f t="shared" si="98"/>
        <v>6.5512431065277765E-2</v>
      </c>
      <c r="GP22" s="128">
        <f t="shared" si="99"/>
        <v>4.4687902692781369E-2</v>
      </c>
      <c r="GQ22" s="129">
        <f t="shared" si="100"/>
        <v>3.5337760380026152E-2</v>
      </c>
      <c r="GR22" s="129">
        <f t="shared" si="101"/>
        <v>2.493476544506908E-2</v>
      </c>
    </row>
    <row r="23" spans="1:200" x14ac:dyDescent="0.25">
      <c r="A23" s="42">
        <v>182</v>
      </c>
      <c r="B23" s="81">
        <v>171</v>
      </c>
      <c r="C23" s="81">
        <v>53</v>
      </c>
      <c r="D23" s="81">
        <v>148</v>
      </c>
      <c r="E23" s="81">
        <v>7</v>
      </c>
      <c r="F23" s="81">
        <v>8</v>
      </c>
      <c r="G23" s="81">
        <v>3</v>
      </c>
      <c r="H23" s="81">
        <v>0</v>
      </c>
      <c r="I23" s="81">
        <v>0</v>
      </c>
      <c r="J23" s="81">
        <v>0</v>
      </c>
      <c r="K23" s="81"/>
      <c r="L23" s="81">
        <v>29</v>
      </c>
      <c r="M23" s="81">
        <v>109</v>
      </c>
      <c r="N23" s="81">
        <v>92</v>
      </c>
      <c r="O23" s="81">
        <v>3</v>
      </c>
      <c r="P23" s="81">
        <v>195</v>
      </c>
      <c r="Q23" s="81">
        <v>210</v>
      </c>
      <c r="R23" s="81">
        <v>180</v>
      </c>
      <c r="S23" s="81">
        <v>7</v>
      </c>
      <c r="T23" s="81">
        <v>267</v>
      </c>
      <c r="V23" s="81">
        <v>410</v>
      </c>
      <c r="W23" s="81">
        <v>24</v>
      </c>
      <c r="X23" s="81">
        <v>91</v>
      </c>
      <c r="Y23" s="81">
        <v>8</v>
      </c>
      <c r="Z23" s="81">
        <v>74</v>
      </c>
      <c r="AA23" s="81">
        <v>197</v>
      </c>
      <c r="AB23" s="81">
        <v>433</v>
      </c>
      <c r="AC23" s="81">
        <v>142</v>
      </c>
      <c r="AD23" s="81">
        <v>71</v>
      </c>
      <c r="AE23" s="81">
        <v>3</v>
      </c>
      <c r="AF23" s="84">
        <v>17</v>
      </c>
      <c r="AG23" s="84">
        <v>1</v>
      </c>
      <c r="AH23" s="84">
        <v>0</v>
      </c>
      <c r="AI23" s="83">
        <v>201</v>
      </c>
      <c r="AJ23" s="83">
        <v>1030</v>
      </c>
      <c r="AK23" s="83">
        <v>304</v>
      </c>
      <c r="AL23" s="81">
        <v>2</v>
      </c>
      <c r="AM23" s="90">
        <v>437</v>
      </c>
      <c r="AN23" s="90">
        <v>457</v>
      </c>
      <c r="AO23" s="90">
        <v>869</v>
      </c>
      <c r="AP23" s="81">
        <v>766</v>
      </c>
      <c r="AQ23" s="81">
        <v>9</v>
      </c>
      <c r="AR23" s="81">
        <v>150</v>
      </c>
      <c r="AS23" s="81">
        <v>344</v>
      </c>
      <c r="AT23" s="81">
        <v>1141</v>
      </c>
      <c r="AU23" s="81">
        <v>1340</v>
      </c>
      <c r="AV23" s="71">
        <f t="shared" si="113"/>
        <v>551.5</v>
      </c>
      <c r="AW23" s="71">
        <f t="shared" si="102"/>
        <v>3877.593253968254</v>
      </c>
      <c r="AY23" s="42">
        <v>182</v>
      </c>
      <c r="AZ23" s="48">
        <f t="shared" si="154"/>
        <v>7.4539034915653201E-3</v>
      </c>
      <c r="BA23" s="48">
        <f t="shared" si="1"/>
        <v>2.7679130979736785E-3</v>
      </c>
      <c r="BB23" s="48">
        <f t="shared" si="2"/>
        <v>6.4693797263627225E-3</v>
      </c>
      <c r="BC23" s="48">
        <f t="shared" si="3"/>
        <v>1.627906976744186E-2</v>
      </c>
      <c r="BD23" s="48">
        <f t="shared" si="4"/>
        <v>3.1683168316831685E-3</v>
      </c>
      <c r="BE23" s="48">
        <f t="shared" si="5"/>
        <v>2.6019080659150045E-4</v>
      </c>
      <c r="BF23" s="48">
        <f t="shared" si="6"/>
        <v>0</v>
      </c>
      <c r="BG23" s="48">
        <f t="shared" si="7"/>
        <v>0</v>
      </c>
      <c r="BH23" s="48">
        <f t="shared" si="8"/>
        <v>0</v>
      </c>
      <c r="BI23" s="48">
        <f t="shared" si="9"/>
        <v>0</v>
      </c>
      <c r="BJ23" s="48">
        <f t="shared" si="10"/>
        <v>1.0115455718720568E-3</v>
      </c>
      <c r="BK23" s="48">
        <f t="shared" si="11"/>
        <v>1.5030958258063626E-3</v>
      </c>
      <c r="BL23" s="48">
        <f t="shared" si="12"/>
        <v>2.0426741268678257E-3</v>
      </c>
      <c r="BM23" s="48">
        <f t="shared" si="13"/>
        <v>2.9322646857589678E-4</v>
      </c>
      <c r="BN23" s="48">
        <f t="shared" si="14"/>
        <v>7.8925001011858984E-3</v>
      </c>
      <c r="BO23" s="48">
        <f t="shared" si="15"/>
        <v>5.354957160342717E-3</v>
      </c>
      <c r="BP23" s="48">
        <f t="shared" si="16"/>
        <v>5.2606967500584524E-3</v>
      </c>
      <c r="BQ23" s="48">
        <f t="shared" si="17"/>
        <v>3.7383177570093456E-4</v>
      </c>
      <c r="BR23" s="48">
        <f t="shared" si="18"/>
        <v>9.4926582998542328E-3</v>
      </c>
      <c r="BS23" s="48"/>
      <c r="BT23" s="48">
        <f t="shared" si="19"/>
        <v>7.1342810906749729E-3</v>
      </c>
      <c r="BU23" s="48">
        <f t="shared" si="20"/>
        <v>8.1411126187245584E-3</v>
      </c>
      <c r="BV23" s="48">
        <f t="shared" si="21"/>
        <v>2.4856596558317401E-2</v>
      </c>
      <c r="BW23" s="48">
        <f t="shared" si="22"/>
        <v>3.343859885795357E-4</v>
      </c>
      <c r="BX23" s="48">
        <f t="shared" si="23"/>
        <v>1.0592765427503972E-3</v>
      </c>
      <c r="BY23" s="48">
        <f t="shared" si="24"/>
        <v>2.5568144946722217E-3</v>
      </c>
      <c r="BZ23" s="48">
        <f t="shared" si="25"/>
        <v>6.606047661184512E-3</v>
      </c>
      <c r="CA23" s="48">
        <f t="shared" si="26"/>
        <v>1.4050085586788962E-3</v>
      </c>
      <c r="CB23" s="48">
        <f t="shared" si="27"/>
        <v>1.0643401091323379E-3</v>
      </c>
      <c r="CC23" s="48">
        <f t="shared" si="28"/>
        <v>2.9937132022752222E-4</v>
      </c>
      <c r="CD23" s="48">
        <f t="shared" si="29"/>
        <v>1.3596736783172039E-3</v>
      </c>
      <c r="CE23" s="48">
        <f t="shared" si="30"/>
        <v>5.8719906048150323E-5</v>
      </c>
      <c r="CF23" s="48">
        <f t="shared" si="31"/>
        <v>0</v>
      </c>
      <c r="CG23" s="48">
        <f t="shared" si="32"/>
        <v>4.9910607866507743E-3</v>
      </c>
      <c r="CH23" s="48">
        <f t="shared" si="33"/>
        <v>2.1300796194809225E-2</v>
      </c>
      <c r="CI23" s="48">
        <f t="shared" si="34"/>
        <v>1.5601417207334873E-2</v>
      </c>
      <c r="CJ23" s="48">
        <f t="shared" si="35"/>
        <v>1.4771698554546541E-4</v>
      </c>
      <c r="CK23" s="48">
        <f t="shared" si="36"/>
        <v>1.9376579612468407E-2</v>
      </c>
      <c r="CL23" s="48">
        <f t="shared" si="37"/>
        <v>8.2495441991443583E-3</v>
      </c>
      <c r="CM23" s="48">
        <f t="shared" si="61"/>
        <v>1.2001270560289467E-2</v>
      </c>
      <c r="CN23" s="48">
        <f t="shared" si="62"/>
        <v>1.295976719791561E-2</v>
      </c>
      <c r="CO23" s="48">
        <f t="shared" si="63"/>
        <v>2.1797573203516675E-4</v>
      </c>
      <c r="CP23" s="48">
        <f t="shared" si="64"/>
        <v>2.4998333444437039E-3</v>
      </c>
      <c r="CQ23" s="48">
        <f t="shared" si="112"/>
        <v>4.0100250626566416E-3</v>
      </c>
      <c r="CR23" s="48">
        <f t="shared" si="65"/>
        <v>7.4377794871126291E-3</v>
      </c>
      <c r="CS23" s="48">
        <f t="shared" si="66"/>
        <v>6.3717588431929165E-3</v>
      </c>
      <c r="CT23" s="68">
        <f t="shared" si="67"/>
        <v>4.2664985482506579E-2</v>
      </c>
      <c r="CU23" s="68">
        <f t="shared" si="68"/>
        <v>2.9976103187982401E-2</v>
      </c>
      <c r="CW23" s="42">
        <v>182</v>
      </c>
      <c r="CX23" s="58">
        <f t="shared" si="128"/>
        <v>560</v>
      </c>
      <c r="CY23" s="58">
        <f t="shared" si="129"/>
        <v>173</v>
      </c>
      <c r="CZ23" s="58">
        <f t="shared" si="130"/>
        <v>1192</v>
      </c>
      <c r="DA23" s="58">
        <f t="shared" si="131"/>
        <v>20</v>
      </c>
      <c r="DB23" s="58">
        <f t="shared" si="132"/>
        <v>56</v>
      </c>
      <c r="DC23" s="58">
        <f t="shared" si="133"/>
        <v>49</v>
      </c>
      <c r="DD23" s="58">
        <f t="shared" si="134"/>
        <v>1</v>
      </c>
      <c r="DE23" s="58">
        <f t="shared" si="135"/>
        <v>0</v>
      </c>
      <c r="DF23" s="58">
        <f t="shared" si="136"/>
        <v>0</v>
      </c>
      <c r="DG23" s="58">
        <f t="shared" si="137"/>
        <v>0</v>
      </c>
      <c r="DH23" s="58">
        <f t="shared" si="138"/>
        <v>179</v>
      </c>
      <c r="DI23" s="58">
        <f t="shared" si="139"/>
        <v>401</v>
      </c>
      <c r="DJ23" s="58">
        <f t="shared" si="140"/>
        <v>328</v>
      </c>
      <c r="DK23" s="58">
        <f t="shared" si="141"/>
        <v>19</v>
      </c>
      <c r="DL23" s="58">
        <f t="shared" si="142"/>
        <v>886</v>
      </c>
      <c r="DM23" s="58">
        <f t="shared" si="143"/>
        <v>1524</v>
      </c>
      <c r="DN23" s="58">
        <f t="shared" si="144"/>
        <v>1120</v>
      </c>
      <c r="DO23" s="58">
        <f t="shared" si="145"/>
        <v>145</v>
      </c>
      <c r="DP23" s="58">
        <f t="shared" si="146"/>
        <v>1377</v>
      </c>
      <c r="DQ23" s="58"/>
      <c r="DR23" s="58">
        <f t="shared" si="147"/>
        <v>2491</v>
      </c>
      <c r="DS23" s="58">
        <f t="shared" si="148"/>
        <v>106</v>
      </c>
      <c r="DT23" s="58">
        <f t="shared" si="149"/>
        <v>366</v>
      </c>
      <c r="DU23" s="58">
        <f t="shared" si="150"/>
        <v>543</v>
      </c>
      <c r="DV23" s="58">
        <f t="shared" si="151"/>
        <v>191</v>
      </c>
      <c r="DW23" s="58">
        <f t="shared" si="152"/>
        <v>2848</v>
      </c>
      <c r="DX23" s="58">
        <f t="shared" si="153"/>
        <v>1773</v>
      </c>
      <c r="DY23" s="58">
        <f t="shared" si="115"/>
        <v>834</v>
      </c>
      <c r="DZ23" s="58">
        <f t="shared" si="116"/>
        <v>1751</v>
      </c>
      <c r="EA23" s="58">
        <f t="shared" si="117"/>
        <v>71</v>
      </c>
      <c r="EB23" s="58">
        <f t="shared" si="118"/>
        <v>114</v>
      </c>
      <c r="EC23" s="58">
        <f t="shared" si="119"/>
        <v>37</v>
      </c>
      <c r="ED23" s="58">
        <f t="shared" si="120"/>
        <v>67</v>
      </c>
      <c r="EE23" s="58">
        <f t="shared" si="121"/>
        <v>1076</v>
      </c>
      <c r="EF23" s="58">
        <f t="shared" si="122"/>
        <v>5203</v>
      </c>
      <c r="EG23" s="58">
        <f t="shared" si="123"/>
        <v>2570</v>
      </c>
      <c r="EH23" s="58">
        <f t="shared" si="124"/>
        <v>128</v>
      </c>
      <c r="EI23" s="58">
        <f t="shared" si="125"/>
        <v>1232</v>
      </c>
      <c r="EJ23" s="58">
        <f t="shared" si="126"/>
        <v>2456</v>
      </c>
      <c r="EK23" s="58">
        <f t="shared" si="127"/>
        <v>3117</v>
      </c>
      <c r="EL23" s="58">
        <f t="shared" si="105"/>
        <v>5230</v>
      </c>
      <c r="EM23" s="58">
        <f t="shared" si="106"/>
        <v>39</v>
      </c>
      <c r="EN23" s="58">
        <f t="shared" si="107"/>
        <v>2018</v>
      </c>
      <c r="EO23" s="58">
        <f t="shared" si="108"/>
        <v>2412</v>
      </c>
      <c r="EP23" s="58">
        <f t="shared" si="109"/>
        <v>11191</v>
      </c>
      <c r="EQ23" s="58">
        <f t="shared" si="110"/>
        <v>10738</v>
      </c>
      <c r="ER23" s="67">
        <f t="shared" si="72"/>
        <v>3856.1</v>
      </c>
      <c r="ES23" s="67">
        <f t="shared" si="73"/>
        <v>1577.7317073170732</v>
      </c>
      <c r="EV23" s="42">
        <v>182</v>
      </c>
      <c r="EW23" s="128">
        <f t="shared" si="41"/>
        <v>2.441044418290397E-2</v>
      </c>
      <c r="EX23" s="128">
        <f t="shared" si="42"/>
        <v>9.0348861499895544E-3</v>
      </c>
      <c r="EY23" s="128">
        <f t="shared" si="43"/>
        <v>5.2104734012326792E-2</v>
      </c>
      <c r="EZ23" s="128">
        <f t="shared" si="44"/>
        <v>4.6511627906976744E-2</v>
      </c>
      <c r="FA23" s="128">
        <f t="shared" si="45"/>
        <v>2.2178217821782177E-2</v>
      </c>
      <c r="FB23" s="128">
        <f t="shared" si="46"/>
        <v>4.2497831743278404E-3</v>
      </c>
      <c r="FC23" s="128">
        <f t="shared" si="47"/>
        <v>9.3729496672602863E-5</v>
      </c>
      <c r="FD23" s="128">
        <f t="shared" si="48"/>
        <v>0</v>
      </c>
      <c r="FE23" s="128">
        <f t="shared" si="49"/>
        <v>0</v>
      </c>
      <c r="FF23" s="128">
        <f t="shared" si="50"/>
        <v>0</v>
      </c>
      <c r="FG23" s="128">
        <f t="shared" si="51"/>
        <v>6.2436778401758E-3</v>
      </c>
      <c r="FH23" s="128">
        <f t="shared" si="52"/>
        <v>5.529737854572031E-3</v>
      </c>
      <c r="FI23" s="128">
        <f t="shared" si="53"/>
        <v>7.2825773218765958E-3</v>
      </c>
      <c r="FJ23" s="128">
        <f t="shared" si="54"/>
        <v>1.8571009676473463E-3</v>
      </c>
      <c r="FK23" s="128">
        <f t="shared" si="55"/>
        <v>3.5860282511029261E-2</v>
      </c>
      <c r="FL23" s="128">
        <f t="shared" si="56"/>
        <v>3.886168910648715E-2</v>
      </c>
      <c r="FM23" s="128">
        <f t="shared" si="57"/>
        <v>3.2733224222585927E-2</v>
      </c>
      <c r="FN23" s="128">
        <f t="shared" si="58"/>
        <v>7.7436582109479306E-3</v>
      </c>
      <c r="FO23" s="128">
        <f t="shared" si="59"/>
        <v>4.8956518647562841E-2</v>
      </c>
      <c r="FP23" s="128"/>
      <c r="FQ23" s="128">
        <f t="shared" si="74"/>
        <v>4.3345107797247213E-2</v>
      </c>
      <c r="FR23" s="128">
        <f t="shared" si="75"/>
        <v>3.5956580732700139E-2</v>
      </c>
      <c r="FS23" s="128">
        <f t="shared" si="76"/>
        <v>9.9972685058727126E-2</v>
      </c>
      <c r="FT23" s="128">
        <f t="shared" si="77"/>
        <v>2.2696448974835984E-2</v>
      </c>
      <c r="FU23" s="128">
        <f t="shared" si="78"/>
        <v>2.7340786441260251E-3</v>
      </c>
      <c r="FV23" s="128">
        <f t="shared" si="79"/>
        <v>3.6963490765616683E-2</v>
      </c>
      <c r="FW23" s="128">
        <f t="shared" si="80"/>
        <v>2.7049705550300552E-2</v>
      </c>
      <c r="FX23" s="128">
        <f t="shared" si="81"/>
        <v>8.251951675621122E-3</v>
      </c>
      <c r="FY23" s="128">
        <f t="shared" si="82"/>
        <v>2.6248725790010193E-2</v>
      </c>
      <c r="FZ23" s="128">
        <f t="shared" si="83"/>
        <v>7.0851212453846924E-3</v>
      </c>
      <c r="GA23" s="128">
        <f t="shared" si="84"/>
        <v>9.1178117251859547E-3</v>
      </c>
      <c r="GB23" s="128">
        <f t="shared" si="85"/>
        <v>2.1726365237815619E-3</v>
      </c>
      <c r="GC23" s="128">
        <f t="shared" si="86"/>
        <v>2.9739174637442752E-3</v>
      </c>
      <c r="GD23" s="128">
        <f t="shared" si="87"/>
        <v>2.6718315454906636E-2</v>
      </c>
      <c r="GE23" s="128">
        <f t="shared" si="88"/>
        <v>0.10760004136076931</v>
      </c>
      <c r="GF23" s="128">
        <f t="shared" si="89"/>
        <v>0.13189355994358759</v>
      </c>
      <c r="GG23" s="128">
        <f t="shared" si="90"/>
        <v>9.4538870749097861E-3</v>
      </c>
      <c r="GH23" s="128">
        <f t="shared" si="91"/>
        <v>5.4626878907462421E-2</v>
      </c>
      <c r="GI23" s="128">
        <f t="shared" si="92"/>
        <v>4.4334530750762678E-2</v>
      </c>
      <c r="GJ23" s="128">
        <f t="shared" si="93"/>
        <v>4.3047135024651635E-2</v>
      </c>
      <c r="GK23" s="128">
        <f t="shared" si="94"/>
        <v>8.8485094575846787E-2</v>
      </c>
      <c r="GL23" s="128">
        <f t="shared" si="95"/>
        <v>9.4456150548572263E-4</v>
      </c>
      <c r="GM23" s="128">
        <f t="shared" si="96"/>
        <v>3.3631091260582627E-2</v>
      </c>
      <c r="GN23" s="128">
        <f t="shared" si="97"/>
        <v>2.8116803636999477E-2</v>
      </c>
      <c r="GO23" s="128">
        <f t="shared" si="98"/>
        <v>7.2950210552390385E-2</v>
      </c>
      <c r="GP23" s="128">
        <f t="shared" si="99"/>
        <v>5.1059661535974285E-2</v>
      </c>
      <c r="GQ23" s="129">
        <f t="shared" si="100"/>
        <v>4.2664985482506579E-2</v>
      </c>
      <c r="GR23" s="129">
        <f t="shared" si="101"/>
        <v>2.9976103187982394E-2</v>
      </c>
    </row>
    <row r="24" spans="1:200" x14ac:dyDescent="0.25">
      <c r="A24" s="42">
        <v>183</v>
      </c>
      <c r="B24" s="81">
        <v>342</v>
      </c>
      <c r="C24" s="81">
        <v>312</v>
      </c>
      <c r="D24" s="81">
        <v>223</v>
      </c>
      <c r="E24" s="81">
        <v>2</v>
      </c>
      <c r="F24" s="81">
        <v>3</v>
      </c>
      <c r="G24" s="81">
        <v>8</v>
      </c>
      <c r="H24" s="81">
        <v>0</v>
      </c>
      <c r="I24" s="81">
        <v>0</v>
      </c>
      <c r="J24" s="81">
        <v>5</v>
      </c>
      <c r="K24" s="81"/>
      <c r="L24" s="81">
        <v>44</v>
      </c>
      <c r="M24" s="81">
        <v>219</v>
      </c>
      <c r="N24" s="81">
        <v>648</v>
      </c>
      <c r="O24" s="81">
        <v>3</v>
      </c>
      <c r="P24" s="81">
        <v>453</v>
      </c>
      <c r="Q24" s="81">
        <v>97</v>
      </c>
      <c r="R24" s="81">
        <v>269</v>
      </c>
      <c r="S24" s="81">
        <v>0</v>
      </c>
      <c r="T24" s="81">
        <v>104</v>
      </c>
      <c r="V24" s="81">
        <v>579</v>
      </c>
      <c r="W24" s="81">
        <v>24</v>
      </c>
      <c r="X24" s="81">
        <v>40</v>
      </c>
      <c r="Y24" s="81">
        <v>25</v>
      </c>
      <c r="Z24" s="81">
        <v>77</v>
      </c>
      <c r="AA24" s="81">
        <v>1099</v>
      </c>
      <c r="AB24" s="81">
        <v>300</v>
      </c>
      <c r="AC24" s="81">
        <v>215</v>
      </c>
      <c r="AD24" s="81">
        <v>155</v>
      </c>
      <c r="AE24" s="81">
        <v>6</v>
      </c>
      <c r="AF24" s="84">
        <v>0</v>
      </c>
      <c r="AG24" s="84">
        <v>3</v>
      </c>
      <c r="AH24" s="84">
        <v>42</v>
      </c>
      <c r="AI24" s="83">
        <v>55</v>
      </c>
      <c r="AJ24" s="83">
        <v>1548</v>
      </c>
      <c r="AK24" s="83">
        <v>91</v>
      </c>
      <c r="AL24" s="81">
        <v>1</v>
      </c>
      <c r="AM24" s="90">
        <v>176</v>
      </c>
      <c r="AN24" s="90">
        <v>255</v>
      </c>
      <c r="AO24" s="90">
        <v>205</v>
      </c>
      <c r="AP24" s="81">
        <v>719</v>
      </c>
      <c r="AQ24" s="81">
        <v>1</v>
      </c>
      <c r="AR24" s="81">
        <v>122</v>
      </c>
      <c r="AS24" s="81">
        <v>197</v>
      </c>
      <c r="AT24" s="81">
        <v>188</v>
      </c>
      <c r="AU24" s="81">
        <v>3605</v>
      </c>
      <c r="AV24" s="71">
        <f t="shared" si="113"/>
        <v>546.9</v>
      </c>
      <c r="AW24" s="71">
        <f t="shared" si="102"/>
        <v>4424.4932539682541</v>
      </c>
      <c r="AY24" s="42">
        <v>183</v>
      </c>
      <c r="AZ24" s="48">
        <f t="shared" si="154"/>
        <v>1.490780698313064E-2</v>
      </c>
      <c r="BA24" s="48">
        <f t="shared" si="1"/>
        <v>1.6294129935241278E-2</v>
      </c>
      <c r="BB24" s="48">
        <f t="shared" si="2"/>
        <v>9.7477816147222094E-3</v>
      </c>
      <c r="BC24" s="48">
        <f t="shared" si="3"/>
        <v>4.6511627906976744E-3</v>
      </c>
      <c r="BD24" s="48">
        <f t="shared" si="4"/>
        <v>1.1881188118811881E-3</v>
      </c>
      <c r="BE24" s="48">
        <f t="shared" si="5"/>
        <v>6.9384215091066782E-4</v>
      </c>
      <c r="BF24" s="48">
        <f t="shared" si="6"/>
        <v>0</v>
      </c>
      <c r="BG24" s="48">
        <f t="shared" si="7"/>
        <v>0</v>
      </c>
      <c r="BH24" s="48">
        <f t="shared" si="8"/>
        <v>3.8491147036181676E-4</v>
      </c>
      <c r="BI24" s="48">
        <f t="shared" si="9"/>
        <v>0</v>
      </c>
      <c r="BJ24" s="48">
        <f t="shared" si="10"/>
        <v>1.5347587987024312E-3</v>
      </c>
      <c r="BK24" s="48">
        <f t="shared" si="11"/>
        <v>3.0199815215742514E-3</v>
      </c>
      <c r="BL24" s="48">
        <f t="shared" si="12"/>
        <v>1.438753080663425E-2</v>
      </c>
      <c r="BM24" s="48">
        <f t="shared" si="13"/>
        <v>2.9322646857589678E-4</v>
      </c>
      <c r="BN24" s="48">
        <f t="shared" si="14"/>
        <v>1.8334884850447243E-2</v>
      </c>
      <c r="BO24" s="48">
        <f t="shared" si="15"/>
        <v>2.4734802121583028E-3</v>
      </c>
      <c r="BP24" s="48">
        <f t="shared" si="16"/>
        <v>7.8618190320317981E-3</v>
      </c>
      <c r="BQ24" s="48">
        <f t="shared" si="17"/>
        <v>0</v>
      </c>
      <c r="BR24" s="48">
        <f t="shared" si="18"/>
        <v>3.6975148433889145E-3</v>
      </c>
      <c r="BS24" s="48"/>
      <c r="BT24" s="48">
        <f t="shared" si="19"/>
        <v>1.0074996954880022E-2</v>
      </c>
      <c r="BU24" s="48">
        <f t="shared" si="20"/>
        <v>8.1411126187245584E-3</v>
      </c>
      <c r="BV24" s="48">
        <f t="shared" si="21"/>
        <v>1.0925976509150505E-2</v>
      </c>
      <c r="BW24" s="48">
        <f t="shared" si="22"/>
        <v>1.044956214311049E-3</v>
      </c>
      <c r="BX24" s="48">
        <f t="shared" si="23"/>
        <v>1.1022201863754133E-3</v>
      </c>
      <c r="BY24" s="48">
        <f t="shared" si="24"/>
        <v>1.426365040428818E-2</v>
      </c>
      <c r="BZ24" s="48">
        <f t="shared" si="25"/>
        <v>4.5769383333841883E-3</v>
      </c>
      <c r="CA24" s="48">
        <f t="shared" si="26"/>
        <v>2.1273016909574838E-3</v>
      </c>
      <c r="CB24" s="48">
        <f t="shared" si="27"/>
        <v>2.3235593931762309E-3</v>
      </c>
      <c r="CC24" s="48">
        <f t="shared" si="28"/>
        <v>5.9874264045504445E-4</v>
      </c>
      <c r="CD24" s="48">
        <f t="shared" si="29"/>
        <v>0</v>
      </c>
      <c r="CE24" s="48">
        <f t="shared" si="30"/>
        <v>1.7615971814445098E-4</v>
      </c>
      <c r="CF24" s="48">
        <f t="shared" si="31"/>
        <v>1.8642467683173069E-3</v>
      </c>
      <c r="CG24" s="48">
        <f t="shared" si="32"/>
        <v>1.3657131505760826E-3</v>
      </c>
      <c r="CH24" s="48">
        <f t="shared" si="33"/>
        <v>3.2013235446179296E-2</v>
      </c>
      <c r="CI24" s="48">
        <f t="shared" si="34"/>
        <v>4.6701610719324781E-3</v>
      </c>
      <c r="CJ24" s="48">
        <f t="shared" si="35"/>
        <v>7.3858492772732704E-5</v>
      </c>
      <c r="CK24" s="48">
        <f t="shared" si="36"/>
        <v>7.8038398439232029E-3</v>
      </c>
      <c r="CL24" s="48">
        <f>AN24/AN$104</f>
        <v>4.6031373540083402E-3</v>
      </c>
      <c r="CM24" s="48">
        <f t="shared" si="61"/>
        <v>2.8311397754422793E-3</v>
      </c>
      <c r="CN24" s="48">
        <f t="shared" si="62"/>
        <v>1.2164585659662301E-2</v>
      </c>
      <c r="CO24" s="48">
        <f t="shared" si="63"/>
        <v>2.4219525781685195E-5</v>
      </c>
      <c r="CP24" s="48">
        <f t="shared" si="64"/>
        <v>2.0331977868142124E-3</v>
      </c>
      <c r="CQ24" s="48">
        <f t="shared" si="112"/>
        <v>2.296438771346972E-3</v>
      </c>
      <c r="CR24" s="48">
        <f t="shared" si="65"/>
        <v>1.2255061731614148E-3</v>
      </c>
      <c r="CS24" s="48">
        <f t="shared" si="66"/>
        <v>1.714193330575408E-2</v>
      </c>
      <c r="CT24" s="68">
        <f t="shared" si="67"/>
        <v>4.7684771151373304E-2</v>
      </c>
      <c r="CU24" s="68">
        <f t="shared" si="68"/>
        <v>3.4837978718621092E-2</v>
      </c>
      <c r="CW24" s="42">
        <v>183</v>
      </c>
      <c r="CX24" s="58">
        <f t="shared" si="128"/>
        <v>902</v>
      </c>
      <c r="CY24" s="58">
        <f t="shared" si="129"/>
        <v>485</v>
      </c>
      <c r="CZ24" s="58">
        <f t="shared" si="130"/>
        <v>1415</v>
      </c>
      <c r="DA24" s="58">
        <f t="shared" si="131"/>
        <v>22</v>
      </c>
      <c r="DB24" s="58">
        <f t="shared" si="132"/>
        <v>59</v>
      </c>
      <c r="DC24" s="58">
        <f t="shared" si="133"/>
        <v>57</v>
      </c>
      <c r="DD24" s="58">
        <f t="shared" si="134"/>
        <v>1</v>
      </c>
      <c r="DE24" s="58">
        <f t="shared" si="135"/>
        <v>0</v>
      </c>
      <c r="DF24" s="58">
        <f t="shared" si="136"/>
        <v>5</v>
      </c>
      <c r="DG24" s="58">
        <f t="shared" si="137"/>
        <v>0</v>
      </c>
      <c r="DH24" s="58">
        <f t="shared" si="138"/>
        <v>223</v>
      </c>
      <c r="DI24" s="58">
        <f t="shared" si="139"/>
        <v>620</v>
      </c>
      <c r="DJ24" s="58">
        <f t="shared" si="140"/>
        <v>976</v>
      </c>
      <c r="DK24" s="58">
        <f t="shared" si="141"/>
        <v>22</v>
      </c>
      <c r="DL24" s="58">
        <f t="shared" si="142"/>
        <v>1339</v>
      </c>
      <c r="DM24" s="58">
        <f t="shared" si="143"/>
        <v>1621</v>
      </c>
      <c r="DN24" s="58">
        <f t="shared" si="144"/>
        <v>1389</v>
      </c>
      <c r="DO24" s="58">
        <f t="shared" si="145"/>
        <v>145</v>
      </c>
      <c r="DP24" s="58">
        <f t="shared" si="146"/>
        <v>1481</v>
      </c>
      <c r="DQ24" s="58"/>
      <c r="DR24" s="58">
        <f t="shared" si="147"/>
        <v>3070</v>
      </c>
      <c r="DS24" s="58">
        <f t="shared" si="148"/>
        <v>130</v>
      </c>
      <c r="DT24" s="58">
        <f t="shared" si="149"/>
        <v>406</v>
      </c>
      <c r="DU24" s="58">
        <f t="shared" si="150"/>
        <v>568</v>
      </c>
      <c r="DV24" s="58">
        <f t="shared" si="151"/>
        <v>268</v>
      </c>
      <c r="DW24" s="58">
        <f t="shared" si="152"/>
        <v>3947</v>
      </c>
      <c r="DX24" s="58">
        <f t="shared" si="153"/>
        <v>2073</v>
      </c>
      <c r="DY24" s="58">
        <f t="shared" si="115"/>
        <v>1049</v>
      </c>
      <c r="DZ24" s="58">
        <f t="shared" si="116"/>
        <v>1906</v>
      </c>
      <c r="EA24" s="58">
        <f t="shared" si="117"/>
        <v>77</v>
      </c>
      <c r="EB24" s="58">
        <f t="shared" si="118"/>
        <v>114</v>
      </c>
      <c r="EC24" s="58">
        <f t="shared" si="119"/>
        <v>40</v>
      </c>
      <c r="ED24" s="58">
        <f t="shared" si="120"/>
        <v>109</v>
      </c>
      <c r="EE24" s="58">
        <f t="shared" si="121"/>
        <v>1131</v>
      </c>
      <c r="EF24" s="58">
        <f t="shared" si="122"/>
        <v>6751</v>
      </c>
      <c r="EG24" s="58">
        <f t="shared" si="123"/>
        <v>2661</v>
      </c>
      <c r="EH24" s="58">
        <f t="shared" si="124"/>
        <v>129</v>
      </c>
      <c r="EI24" s="58">
        <f t="shared" si="125"/>
        <v>1408</v>
      </c>
      <c r="EJ24" s="58">
        <f t="shared" si="126"/>
        <v>2711</v>
      </c>
      <c r="EK24" s="58">
        <f t="shared" si="127"/>
        <v>3322</v>
      </c>
      <c r="EL24" s="58">
        <f t="shared" si="105"/>
        <v>5949</v>
      </c>
      <c r="EM24" s="58">
        <f t="shared" si="106"/>
        <v>40</v>
      </c>
      <c r="EN24" s="58">
        <f t="shared" si="107"/>
        <v>2140</v>
      </c>
      <c r="EO24" s="58">
        <f t="shared" si="108"/>
        <v>2609</v>
      </c>
      <c r="EP24" s="58">
        <f t="shared" si="109"/>
        <v>11379</v>
      </c>
      <c r="EQ24" s="58">
        <f t="shared" si="110"/>
        <v>14343</v>
      </c>
      <c r="ER24" s="67">
        <f t="shared" si="72"/>
        <v>4403</v>
      </c>
      <c r="ES24" s="67">
        <f t="shared" si="73"/>
        <v>1860.1951219512196</v>
      </c>
      <c r="EV24" s="42">
        <v>183</v>
      </c>
      <c r="EW24" s="128">
        <f t="shared" si="41"/>
        <v>3.9318251166034608E-2</v>
      </c>
      <c r="EX24" s="128">
        <f t="shared" si="42"/>
        <v>2.5329016085230832E-2</v>
      </c>
      <c r="EY24" s="128">
        <f t="shared" si="43"/>
        <v>6.1852515627049E-2</v>
      </c>
      <c r="EZ24" s="128">
        <f t="shared" si="44"/>
        <v>5.1162790697674418E-2</v>
      </c>
      <c r="FA24" s="128">
        <f t="shared" si="45"/>
        <v>2.3366336633663366E-2</v>
      </c>
      <c r="FB24" s="128">
        <f t="shared" si="46"/>
        <v>4.9436253252385081E-3</v>
      </c>
      <c r="FC24" s="128">
        <f t="shared" si="47"/>
        <v>9.3729496672602863E-5</v>
      </c>
      <c r="FD24" s="128">
        <f t="shared" si="48"/>
        <v>0</v>
      </c>
      <c r="FE24" s="128">
        <f t="shared" si="49"/>
        <v>3.8491147036181676E-4</v>
      </c>
      <c r="FF24" s="128">
        <f t="shared" si="50"/>
        <v>0</v>
      </c>
      <c r="FG24" s="128">
        <f t="shared" si="51"/>
        <v>7.7784366388782313E-3</v>
      </c>
      <c r="FH24" s="128">
        <f t="shared" si="52"/>
        <v>8.5497193761462833E-3</v>
      </c>
      <c r="FI24" s="128">
        <f t="shared" si="53"/>
        <v>2.1670108128510845E-2</v>
      </c>
      <c r="FJ24" s="128">
        <f t="shared" si="54"/>
        <v>2.1503274362232429E-3</v>
      </c>
      <c r="FK24" s="128">
        <f t="shared" si="55"/>
        <v>5.4195167361476504E-2</v>
      </c>
      <c r="FL24" s="128">
        <f t="shared" si="56"/>
        <v>4.1335169318645448E-2</v>
      </c>
      <c r="FM24" s="128">
        <f t="shared" si="57"/>
        <v>4.059504325461772E-2</v>
      </c>
      <c r="FN24" s="128">
        <f t="shared" si="58"/>
        <v>7.7436582109479306E-3</v>
      </c>
      <c r="FO24" s="128">
        <f t="shared" si="59"/>
        <v>5.2654033490951754E-2</v>
      </c>
      <c r="FP24" s="128"/>
      <c r="FQ24" s="128">
        <f t="shared" si="74"/>
        <v>5.3420104752127232E-2</v>
      </c>
      <c r="FR24" s="128">
        <f t="shared" si="75"/>
        <v>4.4097693351424695E-2</v>
      </c>
      <c r="FS24" s="128">
        <f t="shared" si="76"/>
        <v>0.11089866156787763</v>
      </c>
      <c r="FT24" s="128">
        <f t="shared" si="77"/>
        <v>2.3741405189147035E-2</v>
      </c>
      <c r="FU24" s="128">
        <f t="shared" si="78"/>
        <v>3.8362988305014386E-3</v>
      </c>
      <c r="FV24" s="128">
        <f t="shared" si="79"/>
        <v>5.1227141169904865E-2</v>
      </c>
      <c r="FW24" s="128">
        <f t="shared" si="80"/>
        <v>3.1626643883684739E-2</v>
      </c>
      <c r="FX24" s="128">
        <f t="shared" si="81"/>
        <v>1.0379253366578606E-2</v>
      </c>
      <c r="FY24" s="128">
        <f t="shared" si="82"/>
        <v>2.8572285183186424E-2</v>
      </c>
      <c r="FZ24" s="128">
        <f t="shared" si="83"/>
        <v>7.6838638858397366E-3</v>
      </c>
      <c r="GA24" s="128">
        <f t="shared" si="84"/>
        <v>9.1178117251859547E-3</v>
      </c>
      <c r="GB24" s="128">
        <f t="shared" si="85"/>
        <v>2.3487962419260129E-3</v>
      </c>
      <c r="GC24" s="128">
        <f t="shared" si="86"/>
        <v>4.8381642320615825E-3</v>
      </c>
      <c r="GD24" s="128">
        <f t="shared" si="87"/>
        <v>2.8084028605482717E-2</v>
      </c>
      <c r="GE24" s="128">
        <f t="shared" si="88"/>
        <v>0.1396132768069486</v>
      </c>
      <c r="GF24" s="128">
        <f t="shared" si="89"/>
        <v>0.13656372101552006</v>
      </c>
      <c r="GG24" s="128">
        <f t="shared" si="90"/>
        <v>9.5277455676825197E-3</v>
      </c>
      <c r="GH24" s="128">
        <f t="shared" si="91"/>
        <v>6.2430718751385623E-2</v>
      </c>
      <c r="GI24" s="128">
        <f t="shared" si="92"/>
        <v>4.8937668104771015E-2</v>
      </c>
      <c r="GJ24" s="128">
        <f t="shared" si="93"/>
        <v>4.5878274800093911E-2</v>
      </c>
      <c r="GK24" s="128">
        <f t="shared" si="94"/>
        <v>0.10064968023550909</v>
      </c>
      <c r="GL24" s="128">
        <f t="shared" si="95"/>
        <v>9.6878103126740776E-4</v>
      </c>
      <c r="GM24" s="128">
        <f t="shared" si="96"/>
        <v>3.5664289047396838E-2</v>
      </c>
      <c r="GN24" s="128">
        <f t="shared" si="97"/>
        <v>3.0413242408346447E-2</v>
      </c>
      <c r="GO24" s="128">
        <f t="shared" si="98"/>
        <v>7.4175716725551802E-2</v>
      </c>
      <c r="GP24" s="128">
        <f t="shared" si="99"/>
        <v>6.8201594841728358E-2</v>
      </c>
      <c r="GQ24" s="129">
        <f t="shared" si="100"/>
        <v>4.7684771151373304E-2</v>
      </c>
      <c r="GR24" s="129">
        <f t="shared" si="101"/>
        <v>3.4837978718621099E-2</v>
      </c>
    </row>
    <row r="25" spans="1:200" x14ac:dyDescent="0.25">
      <c r="A25" s="42">
        <v>184</v>
      </c>
      <c r="B25" s="81">
        <v>417</v>
      </c>
      <c r="C25" s="81">
        <v>382</v>
      </c>
      <c r="D25" s="81">
        <v>178</v>
      </c>
      <c r="E25" s="81">
        <v>2</v>
      </c>
      <c r="F25" s="81">
        <v>47</v>
      </c>
      <c r="G25" s="81">
        <v>11</v>
      </c>
      <c r="H25" s="81">
        <v>3</v>
      </c>
      <c r="I25" s="81">
        <v>0</v>
      </c>
      <c r="J25" s="81">
        <v>19</v>
      </c>
      <c r="K25" s="81"/>
      <c r="L25" s="81">
        <v>23</v>
      </c>
      <c r="M25" s="81">
        <v>202</v>
      </c>
      <c r="N25" s="81">
        <v>67</v>
      </c>
      <c r="O25" s="81">
        <v>14</v>
      </c>
      <c r="P25" s="81">
        <v>169</v>
      </c>
      <c r="Q25" s="81">
        <v>79</v>
      </c>
      <c r="R25" s="81">
        <v>300</v>
      </c>
      <c r="S25" s="81">
        <v>1</v>
      </c>
      <c r="T25" s="81">
        <v>491</v>
      </c>
      <c r="V25" s="81">
        <v>502</v>
      </c>
      <c r="W25" s="81">
        <v>17</v>
      </c>
      <c r="X25" s="81">
        <v>55</v>
      </c>
      <c r="Y25" s="81">
        <v>11</v>
      </c>
      <c r="Z25" s="81">
        <v>65</v>
      </c>
      <c r="AA25" s="81">
        <v>104</v>
      </c>
      <c r="AB25" s="81">
        <v>21</v>
      </c>
      <c r="AC25" s="81">
        <v>4</v>
      </c>
      <c r="AD25" s="81">
        <v>1146</v>
      </c>
      <c r="AE25" s="81">
        <v>3</v>
      </c>
      <c r="AF25" s="84">
        <v>11</v>
      </c>
      <c r="AG25" s="84">
        <v>1</v>
      </c>
      <c r="AH25" s="84">
        <v>10</v>
      </c>
      <c r="AI25" s="83">
        <v>576</v>
      </c>
      <c r="AJ25" s="83">
        <v>999</v>
      </c>
      <c r="AK25" s="83">
        <v>244</v>
      </c>
      <c r="AL25" s="81">
        <v>5</v>
      </c>
      <c r="AM25" s="90">
        <v>121</v>
      </c>
      <c r="AN25" s="90">
        <v>96</v>
      </c>
      <c r="AO25" s="90">
        <v>157</v>
      </c>
      <c r="AP25" s="81">
        <v>336</v>
      </c>
      <c r="AQ25" s="81">
        <v>14</v>
      </c>
      <c r="AR25" s="81">
        <v>61</v>
      </c>
      <c r="AS25" s="81">
        <v>299</v>
      </c>
      <c r="AT25" s="81">
        <v>183</v>
      </c>
      <c r="AU25" s="81">
        <v>3611</v>
      </c>
      <c r="AV25" s="71">
        <f t="shared" si="113"/>
        <v>488.3</v>
      </c>
      <c r="AW25" s="71">
        <f t="shared" si="102"/>
        <v>4912.7932539682542</v>
      </c>
      <c r="AY25" s="42">
        <v>184</v>
      </c>
      <c r="AZ25" s="48">
        <f t="shared" si="154"/>
        <v>1.8177062900483851E-2</v>
      </c>
      <c r="BA25" s="48">
        <f t="shared" si="1"/>
        <v>1.9949864215583871E-2</v>
      </c>
      <c r="BB25" s="48">
        <f t="shared" si="2"/>
        <v>7.7807404817065171E-3</v>
      </c>
      <c r="BC25" s="48">
        <f t="shared" si="3"/>
        <v>4.6511627906976744E-3</v>
      </c>
      <c r="BD25" s="48">
        <f t="shared" si="4"/>
        <v>1.8613861386138613E-2</v>
      </c>
      <c r="BE25" s="48">
        <f t="shared" si="5"/>
        <v>9.5403295750216821E-4</v>
      </c>
      <c r="BF25" s="48">
        <f t="shared" si="6"/>
        <v>2.8118849001780859E-4</v>
      </c>
      <c r="BG25" s="48">
        <f t="shared" si="7"/>
        <v>0</v>
      </c>
      <c r="BH25" s="48">
        <f t="shared" si="8"/>
        <v>1.4626635873749038E-3</v>
      </c>
      <c r="BI25" s="48">
        <f t="shared" si="9"/>
        <v>0</v>
      </c>
      <c r="BJ25" s="48">
        <f t="shared" si="10"/>
        <v>8.0226028113990721E-4</v>
      </c>
      <c r="BK25" s="48">
        <f t="shared" si="11"/>
        <v>2.785553732228305E-3</v>
      </c>
      <c r="BL25" s="48">
        <f t="shared" si="12"/>
        <v>1.487599635871134E-3</v>
      </c>
      <c r="BM25" s="48">
        <f t="shared" si="13"/>
        <v>1.3683901866875182E-3</v>
      </c>
      <c r="BN25" s="48">
        <f t="shared" si="14"/>
        <v>6.8401667543611126E-3</v>
      </c>
      <c r="BO25" s="48">
        <f t="shared" si="15"/>
        <v>2.0144838841289268E-3</v>
      </c>
      <c r="BP25" s="48">
        <f t="shared" si="16"/>
        <v>8.7678279167640871E-3</v>
      </c>
      <c r="BQ25" s="48">
        <f t="shared" si="17"/>
        <v>5.34045393858478E-5</v>
      </c>
      <c r="BR25" s="48">
        <f t="shared" si="18"/>
        <v>1.7456536424076512E-2</v>
      </c>
      <c r="BS25" s="48"/>
      <c r="BT25" s="48">
        <f t="shared" si="19"/>
        <v>8.7351441646800893E-3</v>
      </c>
      <c r="BU25" s="48">
        <f t="shared" si="20"/>
        <v>5.7666214382632291E-3</v>
      </c>
      <c r="BV25" s="48">
        <f t="shared" si="21"/>
        <v>1.5023217700081944E-2</v>
      </c>
      <c r="BW25" s="48">
        <f t="shared" si="22"/>
        <v>4.5978073429686156E-4</v>
      </c>
      <c r="BX25" s="48">
        <f t="shared" si="23"/>
        <v>9.304456118753489E-4</v>
      </c>
      <c r="BY25" s="48">
        <f t="shared" si="24"/>
        <v>1.349790393126452E-3</v>
      </c>
      <c r="BZ25" s="48">
        <f t="shared" si="25"/>
        <v>3.2038568333689316E-4</v>
      </c>
      <c r="CA25" s="48">
        <f t="shared" si="26"/>
        <v>3.9577705878278765E-5</v>
      </c>
      <c r="CB25" s="48">
        <f t="shared" si="27"/>
        <v>1.7179348803741681E-2</v>
      </c>
      <c r="CC25" s="48">
        <f t="shared" si="28"/>
        <v>2.9937132022752222E-4</v>
      </c>
      <c r="CD25" s="48">
        <f t="shared" si="29"/>
        <v>8.7978885067583777E-4</v>
      </c>
      <c r="CE25" s="48">
        <f t="shared" si="30"/>
        <v>5.8719906048150323E-5</v>
      </c>
      <c r="CF25" s="48">
        <f t="shared" si="31"/>
        <v>4.4386827817078733E-4</v>
      </c>
      <c r="CG25" s="48">
        <f t="shared" si="32"/>
        <v>1.4302741358760428E-2</v>
      </c>
      <c r="CH25" s="48">
        <f t="shared" si="33"/>
        <v>2.0659704270499433E-2</v>
      </c>
      <c r="CI25" s="48">
        <f t="shared" si="34"/>
        <v>1.2522190126939833E-2</v>
      </c>
      <c r="CJ25" s="48">
        <f t="shared" si="35"/>
        <v>3.6929246386366353E-4</v>
      </c>
      <c r="CK25" s="48">
        <f t="shared" si="36"/>
        <v>5.3651398926972023E-3</v>
      </c>
      <c r="CL25" s="48">
        <f t="shared" si="37"/>
        <v>1.7329458273913751E-3</v>
      </c>
      <c r="CM25" s="48">
        <f t="shared" si="61"/>
        <v>2.1682387548509164E-3</v>
      </c>
      <c r="CN25" s="48">
        <f t="shared" si="62"/>
        <v>5.6847020607044968E-3</v>
      </c>
      <c r="CO25" s="48">
        <f t="shared" si="63"/>
        <v>3.3907336094359273E-4</v>
      </c>
      <c r="CP25" s="48">
        <f t="shared" si="64"/>
        <v>1.0165988934071062E-3</v>
      </c>
      <c r="CQ25" s="48">
        <f t="shared" si="112"/>
        <v>3.4854578306230694E-3</v>
      </c>
      <c r="CR25" s="48">
        <f t="shared" si="65"/>
        <v>1.192912923875207E-3</v>
      </c>
      <c r="CS25" s="48">
        <f t="shared" si="66"/>
        <v>1.7170463569231062E-2</v>
      </c>
      <c r="CT25" s="68">
        <f t="shared" si="67"/>
        <v>5.1537253709132071E-2</v>
      </c>
      <c r="CU25" s="68">
        <f t="shared" si="68"/>
        <v>3.972538095520322E-2</v>
      </c>
      <c r="CW25" s="42">
        <v>184</v>
      </c>
      <c r="CX25" s="58">
        <f t="shared" si="128"/>
        <v>1319</v>
      </c>
      <c r="CY25" s="58">
        <f t="shared" si="129"/>
        <v>867</v>
      </c>
      <c r="CZ25" s="58">
        <f t="shared" si="130"/>
        <v>1593</v>
      </c>
      <c r="DA25" s="58">
        <f t="shared" si="131"/>
        <v>24</v>
      </c>
      <c r="DB25" s="58">
        <f t="shared" si="132"/>
        <v>106</v>
      </c>
      <c r="DC25" s="58">
        <f t="shared" si="133"/>
        <v>68</v>
      </c>
      <c r="DD25" s="58">
        <f t="shared" si="134"/>
        <v>4</v>
      </c>
      <c r="DE25" s="58">
        <f t="shared" si="135"/>
        <v>0</v>
      </c>
      <c r="DF25" s="58">
        <f t="shared" si="136"/>
        <v>24</v>
      </c>
      <c r="DG25" s="58">
        <f t="shared" si="137"/>
        <v>0</v>
      </c>
      <c r="DH25" s="58">
        <f t="shared" si="138"/>
        <v>246</v>
      </c>
      <c r="DI25" s="58">
        <f t="shared" si="139"/>
        <v>822</v>
      </c>
      <c r="DJ25" s="58">
        <f t="shared" si="140"/>
        <v>1043</v>
      </c>
      <c r="DK25" s="58">
        <f t="shared" si="141"/>
        <v>36</v>
      </c>
      <c r="DL25" s="58">
        <f t="shared" si="142"/>
        <v>1508</v>
      </c>
      <c r="DM25" s="58">
        <f t="shared" si="143"/>
        <v>1700</v>
      </c>
      <c r="DN25" s="58">
        <f t="shared" si="144"/>
        <v>1689</v>
      </c>
      <c r="DO25" s="58">
        <f t="shared" si="145"/>
        <v>146</v>
      </c>
      <c r="DP25" s="58">
        <f t="shared" si="146"/>
        <v>1972</v>
      </c>
      <c r="DQ25" s="58"/>
      <c r="DR25" s="58">
        <f t="shared" si="147"/>
        <v>3572</v>
      </c>
      <c r="DS25" s="58">
        <f t="shared" si="148"/>
        <v>147</v>
      </c>
      <c r="DT25" s="58">
        <f t="shared" si="149"/>
        <v>461</v>
      </c>
      <c r="DU25" s="58">
        <f t="shared" si="150"/>
        <v>579</v>
      </c>
      <c r="DV25" s="58">
        <f t="shared" si="151"/>
        <v>333</v>
      </c>
      <c r="DW25" s="58">
        <f t="shared" si="152"/>
        <v>4051</v>
      </c>
      <c r="DX25" s="58">
        <f t="shared" si="153"/>
        <v>2094</v>
      </c>
      <c r="DY25" s="58">
        <f t="shared" si="115"/>
        <v>1053</v>
      </c>
      <c r="DZ25" s="58">
        <f t="shared" si="116"/>
        <v>3052</v>
      </c>
      <c r="EA25" s="58">
        <f t="shared" si="117"/>
        <v>80</v>
      </c>
      <c r="EB25" s="58">
        <f t="shared" si="118"/>
        <v>125</v>
      </c>
      <c r="EC25" s="58">
        <f t="shared" si="119"/>
        <v>41</v>
      </c>
      <c r="ED25" s="58">
        <f t="shared" si="120"/>
        <v>119</v>
      </c>
      <c r="EE25" s="58">
        <f t="shared" si="121"/>
        <v>1707</v>
      </c>
      <c r="EF25" s="58">
        <f t="shared" si="122"/>
        <v>7750</v>
      </c>
      <c r="EG25" s="58">
        <f t="shared" si="123"/>
        <v>2905</v>
      </c>
      <c r="EH25" s="58">
        <f t="shared" si="124"/>
        <v>134</v>
      </c>
      <c r="EI25" s="58">
        <f t="shared" si="125"/>
        <v>1529</v>
      </c>
      <c r="EJ25" s="58">
        <f t="shared" si="126"/>
        <v>2807</v>
      </c>
      <c r="EK25" s="58">
        <f t="shared" si="127"/>
        <v>3479</v>
      </c>
      <c r="EL25" s="58">
        <f t="shared" si="105"/>
        <v>6285</v>
      </c>
      <c r="EM25" s="58">
        <f t="shared" si="106"/>
        <v>54</v>
      </c>
      <c r="EN25" s="58">
        <f t="shared" si="107"/>
        <v>2201</v>
      </c>
      <c r="EO25" s="58">
        <f t="shared" si="108"/>
        <v>2908</v>
      </c>
      <c r="EP25" s="58">
        <f t="shared" si="109"/>
        <v>11562</v>
      </c>
      <c r="EQ25" s="58">
        <f t="shared" si="110"/>
        <v>17954</v>
      </c>
      <c r="ER25" s="67">
        <f t="shared" si="72"/>
        <v>4891.3</v>
      </c>
      <c r="ES25" s="67">
        <f t="shared" si="73"/>
        <v>2106</v>
      </c>
      <c r="EV25" s="42">
        <v>184</v>
      </c>
      <c r="EW25" s="128">
        <f t="shared" si="41"/>
        <v>5.7495314066518463E-2</v>
      </c>
      <c r="EX25" s="128">
        <f t="shared" si="42"/>
        <v>4.5278880300814707E-2</v>
      </c>
      <c r="EY25" s="128">
        <f t="shared" si="43"/>
        <v>6.9633256108755523E-2</v>
      </c>
      <c r="EZ25" s="128">
        <f t="shared" si="44"/>
        <v>5.5813953488372092E-2</v>
      </c>
      <c r="FA25" s="128">
        <f t="shared" si="45"/>
        <v>4.1980198019801983E-2</v>
      </c>
      <c r="FB25" s="128">
        <f t="shared" si="46"/>
        <v>5.8976582827406764E-3</v>
      </c>
      <c r="FC25" s="128">
        <f t="shared" si="47"/>
        <v>3.7491798669041145E-4</v>
      </c>
      <c r="FD25" s="128">
        <f t="shared" si="48"/>
        <v>0</v>
      </c>
      <c r="FE25" s="128">
        <f t="shared" si="49"/>
        <v>1.8475750577367205E-3</v>
      </c>
      <c r="FF25" s="128">
        <f t="shared" si="50"/>
        <v>0</v>
      </c>
      <c r="FG25" s="128">
        <f t="shared" si="51"/>
        <v>8.5806969200181386E-3</v>
      </c>
      <c r="FH25" s="128">
        <f t="shared" si="52"/>
        <v>1.1335273108374589E-2</v>
      </c>
      <c r="FI25" s="128">
        <f t="shared" si="53"/>
        <v>2.3157707764381981E-2</v>
      </c>
      <c r="FJ25" s="128">
        <f t="shared" si="54"/>
        <v>3.5187176229107614E-3</v>
      </c>
      <c r="FK25" s="128">
        <f t="shared" si="55"/>
        <v>6.1035334115837614E-2</v>
      </c>
      <c r="FL25" s="128">
        <f t="shared" si="56"/>
        <v>4.3349653202774376E-2</v>
      </c>
      <c r="FM25" s="128">
        <f t="shared" si="57"/>
        <v>4.9362871171381807E-2</v>
      </c>
      <c r="FN25" s="128">
        <f t="shared" si="58"/>
        <v>7.7970627503337782E-3</v>
      </c>
      <c r="FO25" s="128">
        <f t="shared" si="59"/>
        <v>7.0110569915028259E-2</v>
      </c>
      <c r="FP25" s="128"/>
      <c r="FQ25" s="128">
        <f t="shared" si="74"/>
        <v>6.2155248916807321E-2</v>
      </c>
      <c r="FR25" s="128">
        <f t="shared" si="75"/>
        <v>4.9864314789687926E-2</v>
      </c>
      <c r="FS25" s="128">
        <f t="shared" si="76"/>
        <v>0.12592187926795959</v>
      </c>
      <c r="FT25" s="128">
        <f t="shared" si="77"/>
        <v>2.4201185923443894E-2</v>
      </c>
      <c r="FU25" s="128">
        <f t="shared" si="78"/>
        <v>4.7667444423767878E-3</v>
      </c>
      <c r="FV25" s="128">
        <f t="shared" si="79"/>
        <v>5.2576931563031316E-2</v>
      </c>
      <c r="FW25" s="128">
        <f t="shared" si="80"/>
        <v>3.1947029567021633E-2</v>
      </c>
      <c r="FX25" s="128">
        <f t="shared" si="81"/>
        <v>1.0418831072456886E-2</v>
      </c>
      <c r="FY25" s="128">
        <f t="shared" si="82"/>
        <v>4.5751633986928102E-2</v>
      </c>
      <c r="FZ25" s="128">
        <f t="shared" si="83"/>
        <v>7.9832352060672587E-3</v>
      </c>
      <c r="GA25" s="128">
        <f t="shared" si="84"/>
        <v>9.9976005758617929E-3</v>
      </c>
      <c r="GB25" s="128">
        <f t="shared" si="85"/>
        <v>2.407516147974163E-3</v>
      </c>
      <c r="GC25" s="128">
        <f t="shared" si="86"/>
        <v>5.2820325102323692E-3</v>
      </c>
      <c r="GD25" s="128">
        <f t="shared" si="87"/>
        <v>4.2386769964243148E-2</v>
      </c>
      <c r="GE25" s="128">
        <f t="shared" si="88"/>
        <v>0.16027298107744803</v>
      </c>
      <c r="GF25" s="128">
        <f t="shared" si="89"/>
        <v>0.14908591114245989</v>
      </c>
      <c r="GG25" s="128">
        <f t="shared" si="90"/>
        <v>9.8970380315461827E-3</v>
      </c>
      <c r="GH25" s="128">
        <f t="shared" si="91"/>
        <v>6.7795858644082829E-2</v>
      </c>
      <c r="GI25" s="128">
        <f t="shared" si="92"/>
        <v>5.0670613932162392E-2</v>
      </c>
      <c r="GJ25" s="128">
        <f t="shared" si="93"/>
        <v>4.8046513554944825E-2</v>
      </c>
      <c r="GK25" s="128">
        <f t="shared" si="94"/>
        <v>0.10633438229621359</v>
      </c>
      <c r="GL25" s="128">
        <f t="shared" si="95"/>
        <v>1.3078543922110004E-3</v>
      </c>
      <c r="GM25" s="128">
        <f t="shared" si="96"/>
        <v>3.6680887940803944E-2</v>
      </c>
      <c r="GN25" s="128">
        <f t="shared" si="97"/>
        <v>3.3898700238969515E-2</v>
      </c>
      <c r="GO25" s="128">
        <f t="shared" si="98"/>
        <v>7.5368629649427005E-2</v>
      </c>
      <c r="GP25" s="128">
        <f t="shared" si="99"/>
        <v>8.537205841095942E-2</v>
      </c>
      <c r="GQ25" s="129">
        <f t="shared" si="100"/>
        <v>5.1537253709132071E-2</v>
      </c>
      <c r="GR25" s="129">
        <f t="shared" si="101"/>
        <v>3.9725380955203213E-2</v>
      </c>
    </row>
    <row r="26" spans="1:200" x14ac:dyDescent="0.25">
      <c r="A26" s="42">
        <v>185</v>
      </c>
      <c r="B26" s="81">
        <v>110</v>
      </c>
      <c r="C26" s="81">
        <v>135</v>
      </c>
      <c r="D26" s="81">
        <v>135</v>
      </c>
      <c r="E26" s="81">
        <v>8</v>
      </c>
      <c r="F26" s="81">
        <v>13</v>
      </c>
      <c r="G26" s="81">
        <v>108</v>
      </c>
      <c r="H26" s="81">
        <v>3</v>
      </c>
      <c r="I26" s="81">
        <v>2</v>
      </c>
      <c r="J26" s="81">
        <v>13</v>
      </c>
      <c r="K26" s="81"/>
      <c r="L26" s="81">
        <v>9</v>
      </c>
      <c r="M26" s="81">
        <v>680</v>
      </c>
      <c r="N26" s="81">
        <v>366</v>
      </c>
      <c r="O26" s="81">
        <v>13</v>
      </c>
      <c r="P26" s="81">
        <v>135</v>
      </c>
      <c r="Q26" s="81">
        <v>570</v>
      </c>
      <c r="R26" s="81">
        <v>391</v>
      </c>
      <c r="S26" s="81">
        <v>0</v>
      </c>
      <c r="T26" s="81">
        <v>159</v>
      </c>
      <c r="V26" s="81">
        <v>38</v>
      </c>
      <c r="W26" s="81">
        <v>15</v>
      </c>
      <c r="X26" s="81">
        <v>44</v>
      </c>
      <c r="Y26" s="81">
        <v>4</v>
      </c>
      <c r="Z26" s="81">
        <v>145</v>
      </c>
      <c r="AA26" s="81">
        <v>433</v>
      </c>
      <c r="AB26" s="81">
        <v>634</v>
      </c>
      <c r="AC26" s="81">
        <v>0</v>
      </c>
      <c r="AD26" s="81">
        <v>43</v>
      </c>
      <c r="AE26" s="81">
        <v>120</v>
      </c>
      <c r="AF26" s="84">
        <v>2</v>
      </c>
      <c r="AG26" s="84">
        <v>18</v>
      </c>
      <c r="AH26" s="84">
        <v>92</v>
      </c>
      <c r="AI26" s="83">
        <v>736</v>
      </c>
      <c r="AJ26" s="83">
        <v>1252</v>
      </c>
      <c r="AK26" s="83">
        <v>44</v>
      </c>
      <c r="AL26" s="81">
        <v>197</v>
      </c>
      <c r="AM26" s="90">
        <v>10</v>
      </c>
      <c r="AN26" s="90">
        <v>1180</v>
      </c>
      <c r="AO26" s="90">
        <v>345</v>
      </c>
      <c r="AP26" s="81">
        <v>20</v>
      </c>
      <c r="AQ26" s="81">
        <v>196</v>
      </c>
      <c r="AR26" s="81">
        <v>289</v>
      </c>
      <c r="AS26" s="81">
        <v>105</v>
      </c>
      <c r="AT26" s="81">
        <v>2135</v>
      </c>
      <c r="AU26" s="81">
        <v>976</v>
      </c>
      <c r="AV26" s="71">
        <f t="shared" si="113"/>
        <v>545.29999999999995</v>
      </c>
      <c r="AW26" s="71">
        <f t="shared" si="102"/>
        <v>5458.0932539682544</v>
      </c>
      <c r="AY26" s="42">
        <v>185</v>
      </c>
      <c r="AZ26" s="48">
        <f t="shared" si="154"/>
        <v>4.7949086787847086E-3</v>
      </c>
      <c r="BA26" s="48">
        <f t="shared" si="1"/>
        <v>7.0503446835178613E-3</v>
      </c>
      <c r="BB26" s="48">
        <f t="shared" si="2"/>
        <v>5.9011233990470778E-3</v>
      </c>
      <c r="BC26" s="48">
        <f t="shared" si="3"/>
        <v>1.8604651162790697E-2</v>
      </c>
      <c r="BD26" s="48">
        <f t="shared" si="4"/>
        <v>5.1485148514851488E-3</v>
      </c>
      <c r="BE26" s="48">
        <f t="shared" si="5"/>
        <v>9.366869037294015E-3</v>
      </c>
      <c r="BF26" s="48">
        <f t="shared" si="6"/>
        <v>2.8118849001780859E-4</v>
      </c>
      <c r="BG26" s="48">
        <f t="shared" si="7"/>
        <v>2.1244954323348204E-4</v>
      </c>
      <c r="BH26" s="48">
        <f t="shared" si="8"/>
        <v>1.0007698229407237E-3</v>
      </c>
      <c r="BI26" s="48">
        <f t="shared" si="9"/>
        <v>0</v>
      </c>
      <c r="BJ26" s="48">
        <f t="shared" si="10"/>
        <v>3.1392793609822458E-4</v>
      </c>
      <c r="BK26" s="48">
        <f t="shared" si="11"/>
        <v>9.3771115738378579E-3</v>
      </c>
      <c r="BL26" s="48">
        <f t="shared" si="12"/>
        <v>8.1262905481915681E-3</v>
      </c>
      <c r="BM26" s="48">
        <f t="shared" si="13"/>
        <v>1.2706480304955528E-3</v>
      </c>
      <c r="BN26" s="48">
        <f t="shared" si="14"/>
        <v>5.4640385315902372E-3</v>
      </c>
      <c r="BO26" s="48">
        <f t="shared" si="15"/>
        <v>1.4534883720930232E-2</v>
      </c>
      <c r="BP26" s="48">
        <f t="shared" si="16"/>
        <v>1.1427402384849194E-2</v>
      </c>
      <c r="BQ26" s="48">
        <f t="shared" si="17"/>
        <v>0</v>
      </c>
      <c r="BR26" s="48">
        <f t="shared" si="18"/>
        <v>5.6529313471042055E-3</v>
      </c>
      <c r="BS26" s="48"/>
      <c r="BT26" s="48">
        <f t="shared" si="19"/>
        <v>6.6122605230646092E-4</v>
      </c>
      <c r="BU26" s="48">
        <f t="shared" si="20"/>
        <v>5.0881953867028496E-3</v>
      </c>
      <c r="BV26" s="48">
        <f t="shared" si="21"/>
        <v>1.2018574160065555E-2</v>
      </c>
      <c r="BW26" s="48">
        <f t="shared" si="22"/>
        <v>1.6719299428976785E-4</v>
      </c>
      <c r="BX26" s="48">
        <f t="shared" si="23"/>
        <v>2.0756094418757785E-3</v>
      </c>
      <c r="BY26" s="48">
        <f t="shared" si="24"/>
        <v>5.6198003867668628E-3</v>
      </c>
      <c r="BZ26" s="48">
        <f t="shared" si="25"/>
        <v>9.6725963445519186E-3</v>
      </c>
      <c r="CA26" s="48">
        <f t="shared" si="26"/>
        <v>0</v>
      </c>
      <c r="CB26" s="48">
        <f t="shared" si="27"/>
        <v>6.4460034778437373E-4</v>
      </c>
      <c r="CC26" s="48">
        <f t="shared" si="28"/>
        <v>1.1974852809100888E-2</v>
      </c>
      <c r="CD26" s="48">
        <f t="shared" si="29"/>
        <v>1.5996160921378868E-4</v>
      </c>
      <c r="CE26" s="48">
        <f t="shared" si="30"/>
        <v>1.0569583088667059E-3</v>
      </c>
      <c r="CF26" s="48">
        <f t="shared" si="31"/>
        <v>4.0835881591712439E-3</v>
      </c>
      <c r="CG26" s="48">
        <f t="shared" si="32"/>
        <v>1.8275725069527213E-2</v>
      </c>
      <c r="CH26" s="48">
        <f t="shared" si="33"/>
        <v>2.5891841588253542E-2</v>
      </c>
      <c r="CI26" s="48">
        <f t="shared" si="34"/>
        <v>2.2580998589563635E-3</v>
      </c>
      <c r="CJ26" s="48">
        <f t="shared" si="35"/>
        <v>1.4550123076228343E-2</v>
      </c>
      <c r="CK26" s="48">
        <f t="shared" si="36"/>
        <v>4.4339999113200018E-4</v>
      </c>
      <c r="CL26" s="48">
        <f t="shared" si="37"/>
        <v>2.130079246168565E-2</v>
      </c>
      <c r="CM26" s="48">
        <f t="shared" si="61"/>
        <v>4.7646010855004212E-3</v>
      </c>
      <c r="CN26" s="48">
        <f t="shared" si="62"/>
        <v>3.3837512266098198E-4</v>
      </c>
      <c r="CO26" s="48">
        <f t="shared" si="63"/>
        <v>4.7470270532102982E-3</v>
      </c>
      <c r="CP26" s="48">
        <f t="shared" si="64"/>
        <v>4.8163455769615355E-3</v>
      </c>
      <c r="CQ26" s="48">
        <f t="shared" si="112"/>
        <v>1.2239902080783353E-3</v>
      </c>
      <c r="CR26" s="48">
        <f t="shared" si="65"/>
        <v>1.3917317445210749E-2</v>
      </c>
      <c r="CS26" s="48">
        <f t="shared" si="66"/>
        <v>4.6409228589226019E-3</v>
      </c>
      <c r="CT26" s="68">
        <f t="shared" si="67"/>
        <v>5.8611543197091165E-2</v>
      </c>
      <c r="CU26" s="68">
        <f t="shared" si="68"/>
        <v>4.5641691765327425E-2</v>
      </c>
      <c r="CW26" s="42">
        <v>185</v>
      </c>
      <c r="CX26" s="58">
        <f t="shared" si="128"/>
        <v>1429</v>
      </c>
      <c r="CY26" s="58">
        <f t="shared" si="129"/>
        <v>1002</v>
      </c>
      <c r="CZ26" s="58">
        <f t="shared" si="130"/>
        <v>1728</v>
      </c>
      <c r="DA26" s="58">
        <f t="shared" si="131"/>
        <v>32</v>
      </c>
      <c r="DB26" s="58">
        <f t="shared" si="132"/>
        <v>119</v>
      </c>
      <c r="DC26" s="58">
        <f t="shared" si="133"/>
        <v>176</v>
      </c>
      <c r="DD26" s="58">
        <f t="shared" si="134"/>
        <v>7</v>
      </c>
      <c r="DE26" s="58">
        <f t="shared" si="135"/>
        <v>2</v>
      </c>
      <c r="DF26" s="58">
        <f t="shared" si="136"/>
        <v>37</v>
      </c>
      <c r="DG26" s="58">
        <f t="shared" si="137"/>
        <v>0</v>
      </c>
      <c r="DH26" s="58">
        <f t="shared" si="138"/>
        <v>255</v>
      </c>
      <c r="DI26" s="58">
        <f t="shared" si="139"/>
        <v>1502</v>
      </c>
      <c r="DJ26" s="58">
        <f t="shared" si="140"/>
        <v>1409</v>
      </c>
      <c r="DK26" s="58">
        <f t="shared" si="141"/>
        <v>49</v>
      </c>
      <c r="DL26" s="58">
        <f t="shared" si="142"/>
        <v>1643</v>
      </c>
      <c r="DM26" s="58">
        <f t="shared" si="143"/>
        <v>2270</v>
      </c>
      <c r="DN26" s="58">
        <f t="shared" si="144"/>
        <v>2080</v>
      </c>
      <c r="DO26" s="58">
        <f t="shared" si="145"/>
        <v>146</v>
      </c>
      <c r="DP26" s="58">
        <f t="shared" si="146"/>
        <v>2131</v>
      </c>
      <c r="DQ26" s="58"/>
      <c r="DR26" s="58">
        <f t="shared" si="147"/>
        <v>3610</v>
      </c>
      <c r="DS26" s="58">
        <f t="shared" si="148"/>
        <v>162</v>
      </c>
      <c r="DT26" s="58">
        <f t="shared" si="149"/>
        <v>505</v>
      </c>
      <c r="DU26" s="58">
        <f t="shared" si="150"/>
        <v>583</v>
      </c>
      <c r="DV26" s="58">
        <f t="shared" si="151"/>
        <v>478</v>
      </c>
      <c r="DW26" s="58">
        <f t="shared" si="152"/>
        <v>4484</v>
      </c>
      <c r="DX26" s="58">
        <f t="shared" si="153"/>
        <v>2728</v>
      </c>
      <c r="DY26" s="58">
        <f t="shared" si="115"/>
        <v>1053</v>
      </c>
      <c r="DZ26" s="58">
        <f t="shared" si="116"/>
        <v>3095</v>
      </c>
      <c r="EA26" s="58">
        <f t="shared" si="117"/>
        <v>200</v>
      </c>
      <c r="EB26" s="58">
        <f t="shared" si="118"/>
        <v>127</v>
      </c>
      <c r="EC26" s="58">
        <f t="shared" si="119"/>
        <v>59</v>
      </c>
      <c r="ED26" s="58">
        <f t="shared" si="120"/>
        <v>211</v>
      </c>
      <c r="EE26" s="58">
        <f t="shared" si="121"/>
        <v>2443</v>
      </c>
      <c r="EF26" s="58">
        <f t="shared" si="122"/>
        <v>9002</v>
      </c>
      <c r="EG26" s="58">
        <f t="shared" si="123"/>
        <v>2949</v>
      </c>
      <c r="EH26" s="58">
        <f t="shared" si="124"/>
        <v>331</v>
      </c>
      <c r="EI26" s="58">
        <f t="shared" si="125"/>
        <v>1539</v>
      </c>
      <c r="EJ26" s="58">
        <f t="shared" si="126"/>
        <v>3987</v>
      </c>
      <c r="EK26" s="58">
        <f t="shared" si="127"/>
        <v>3824</v>
      </c>
      <c r="EL26" s="58">
        <f t="shared" si="105"/>
        <v>6305</v>
      </c>
      <c r="EM26" s="58">
        <f t="shared" si="106"/>
        <v>250</v>
      </c>
      <c r="EN26" s="58">
        <f t="shared" si="107"/>
        <v>2490</v>
      </c>
      <c r="EO26" s="58">
        <f t="shared" si="108"/>
        <v>3013</v>
      </c>
      <c r="EP26" s="58">
        <f t="shared" si="109"/>
        <v>13697</v>
      </c>
      <c r="EQ26" s="58">
        <f t="shared" si="110"/>
        <v>18930</v>
      </c>
      <c r="ER26" s="67">
        <f t="shared" si="72"/>
        <v>5436.6</v>
      </c>
      <c r="ES26" s="67">
        <f t="shared" si="73"/>
        <v>2387.3414634146343</v>
      </c>
      <c r="EV26" s="42">
        <v>185</v>
      </c>
      <c r="EW26" s="128">
        <f t="shared" si="41"/>
        <v>6.2290222745303166E-2</v>
      </c>
      <c r="EX26" s="128">
        <f t="shared" si="42"/>
        <v>5.2329224984332567E-2</v>
      </c>
      <c r="EY26" s="128">
        <f t="shared" si="43"/>
        <v>7.553437950780259E-2</v>
      </c>
      <c r="EZ26" s="128">
        <f t="shared" si="44"/>
        <v>7.441860465116279E-2</v>
      </c>
      <c r="FA26" s="128">
        <f t="shared" si="45"/>
        <v>4.7128712871287129E-2</v>
      </c>
      <c r="FB26" s="128">
        <f t="shared" si="46"/>
        <v>1.5264527320034691E-2</v>
      </c>
      <c r="FC26" s="128">
        <f t="shared" si="47"/>
        <v>6.5610647670822004E-4</v>
      </c>
      <c r="FD26" s="128">
        <f t="shared" si="48"/>
        <v>2.1244954323348204E-4</v>
      </c>
      <c r="FE26" s="128">
        <f t="shared" si="49"/>
        <v>2.8483448806774442E-3</v>
      </c>
      <c r="FF26" s="128">
        <f t="shared" si="50"/>
        <v>0</v>
      </c>
      <c r="FG26" s="128">
        <f t="shared" si="51"/>
        <v>8.8946248561163621E-3</v>
      </c>
      <c r="FH26" s="128">
        <f t="shared" si="52"/>
        <v>2.0712384682212447E-2</v>
      </c>
      <c r="FI26" s="128">
        <f t="shared" si="53"/>
        <v>3.1283998312573551E-2</v>
      </c>
      <c r="FJ26" s="128">
        <f t="shared" si="54"/>
        <v>4.7893656534063137E-3</v>
      </c>
      <c r="FK26" s="128">
        <f t="shared" si="55"/>
        <v>6.6499372647427848E-2</v>
      </c>
      <c r="FL26" s="128">
        <f t="shared" si="56"/>
        <v>5.7884536923704613E-2</v>
      </c>
      <c r="FM26" s="128">
        <f t="shared" si="57"/>
        <v>6.0790273556231005E-2</v>
      </c>
      <c r="FN26" s="128">
        <f t="shared" si="58"/>
        <v>7.7970627503337782E-3</v>
      </c>
      <c r="FO26" s="128">
        <f t="shared" si="59"/>
        <v>7.5763501262132465E-2</v>
      </c>
      <c r="FP26" s="128"/>
      <c r="FQ26" s="128">
        <f t="shared" si="74"/>
        <v>6.2816474969113786E-2</v>
      </c>
      <c r="FR26" s="128">
        <f t="shared" si="75"/>
        <v>5.4952510176390773E-2</v>
      </c>
      <c r="FS26" s="128">
        <f t="shared" si="76"/>
        <v>0.13794045342802513</v>
      </c>
      <c r="FT26" s="128">
        <f t="shared" si="77"/>
        <v>2.4368378917733663E-2</v>
      </c>
      <c r="FU26" s="128">
        <f t="shared" si="78"/>
        <v>6.8423538842525659E-3</v>
      </c>
      <c r="FV26" s="128">
        <f t="shared" si="79"/>
        <v>5.8196731949798179E-2</v>
      </c>
      <c r="FW26" s="128">
        <f t="shared" si="80"/>
        <v>4.1619625911573553E-2</v>
      </c>
      <c r="FX26" s="128">
        <f t="shared" si="81"/>
        <v>1.0418831072456886E-2</v>
      </c>
      <c r="FY26" s="128">
        <f t="shared" si="82"/>
        <v>4.6396234334712481E-2</v>
      </c>
      <c r="FZ26" s="128">
        <f t="shared" si="83"/>
        <v>1.9958088015168147E-2</v>
      </c>
      <c r="GA26" s="128">
        <f t="shared" si="84"/>
        <v>1.0157562185075582E-2</v>
      </c>
      <c r="GB26" s="128">
        <f t="shared" si="85"/>
        <v>3.4644744568408689E-3</v>
      </c>
      <c r="GC26" s="128">
        <f t="shared" si="86"/>
        <v>9.3656206694036123E-3</v>
      </c>
      <c r="GD26" s="128">
        <f t="shared" si="87"/>
        <v>6.0662495033770358E-2</v>
      </c>
      <c r="GE26" s="128">
        <f t="shared" si="88"/>
        <v>0.18616482266570158</v>
      </c>
      <c r="GF26" s="128">
        <f t="shared" si="89"/>
        <v>0.15134401100141626</v>
      </c>
      <c r="GG26" s="128">
        <f t="shared" si="90"/>
        <v>2.4447161107774527E-2</v>
      </c>
      <c r="GH26" s="128">
        <f t="shared" si="91"/>
        <v>6.8239258635214822E-2</v>
      </c>
      <c r="GI26" s="128">
        <f t="shared" si="92"/>
        <v>7.1971406393848039E-2</v>
      </c>
      <c r="GJ26" s="128">
        <f t="shared" si="93"/>
        <v>5.2811114640445252E-2</v>
      </c>
      <c r="GK26" s="128">
        <f t="shared" si="94"/>
        <v>0.10667275741887457</v>
      </c>
      <c r="GL26" s="128">
        <f t="shared" si="95"/>
        <v>6.0548814454212986E-3</v>
      </c>
      <c r="GM26" s="128">
        <f t="shared" si="96"/>
        <v>4.1497233517765485E-2</v>
      </c>
      <c r="GN26" s="128">
        <f t="shared" si="97"/>
        <v>3.5122690447047855E-2</v>
      </c>
      <c r="GO26" s="128">
        <f t="shared" si="98"/>
        <v>8.928594709463776E-2</v>
      </c>
      <c r="GP26" s="128">
        <f t="shared" si="99"/>
        <v>9.0012981269882025E-2</v>
      </c>
      <c r="GQ26" s="129">
        <f t="shared" si="100"/>
        <v>5.8611543197091165E-2</v>
      </c>
      <c r="GR26" s="129">
        <f t="shared" si="101"/>
        <v>4.5641691765327425E-2</v>
      </c>
    </row>
    <row r="27" spans="1:200" x14ac:dyDescent="0.25">
      <c r="A27" s="42">
        <v>186</v>
      </c>
      <c r="B27" s="81">
        <v>162</v>
      </c>
      <c r="C27" s="81">
        <v>60</v>
      </c>
      <c r="D27" s="81">
        <v>193</v>
      </c>
      <c r="E27" s="81">
        <v>17</v>
      </c>
      <c r="F27" s="81">
        <v>0</v>
      </c>
      <c r="G27" s="81">
        <v>69</v>
      </c>
      <c r="H27" s="81">
        <v>2</v>
      </c>
      <c r="I27" s="81">
        <v>0</v>
      </c>
      <c r="J27" s="81">
        <v>0</v>
      </c>
      <c r="K27" s="81"/>
      <c r="L27" s="81">
        <v>586</v>
      </c>
      <c r="M27" s="81">
        <v>826</v>
      </c>
      <c r="N27" s="81">
        <v>373</v>
      </c>
      <c r="O27" s="81">
        <v>42</v>
      </c>
      <c r="P27" s="81">
        <v>237</v>
      </c>
      <c r="Q27" s="81">
        <v>442</v>
      </c>
      <c r="R27" s="81">
        <v>310</v>
      </c>
      <c r="S27" s="81">
        <v>0</v>
      </c>
      <c r="T27" s="81">
        <v>169</v>
      </c>
      <c r="V27" s="81">
        <v>112</v>
      </c>
      <c r="W27" s="81">
        <v>3</v>
      </c>
      <c r="X27" s="81">
        <v>61</v>
      </c>
      <c r="Y27" s="81">
        <v>11</v>
      </c>
      <c r="Z27" s="81">
        <v>2042</v>
      </c>
      <c r="AA27" s="81">
        <v>201</v>
      </c>
      <c r="AB27" s="81">
        <v>371</v>
      </c>
      <c r="AC27" s="81">
        <v>1</v>
      </c>
      <c r="AD27" s="81">
        <v>643</v>
      </c>
      <c r="AE27" s="81">
        <v>137</v>
      </c>
      <c r="AF27" s="84">
        <v>45</v>
      </c>
      <c r="AG27" s="84">
        <v>71</v>
      </c>
      <c r="AH27" s="84">
        <v>19</v>
      </c>
      <c r="AI27" s="83">
        <v>119</v>
      </c>
      <c r="AJ27" s="83">
        <v>2059</v>
      </c>
      <c r="AK27" s="83">
        <v>129</v>
      </c>
      <c r="AL27" s="81">
        <v>0</v>
      </c>
      <c r="AM27" s="90">
        <v>458</v>
      </c>
      <c r="AN27" s="90">
        <v>0</v>
      </c>
      <c r="AO27" s="90">
        <v>1221</v>
      </c>
      <c r="AP27" s="81">
        <v>2324</v>
      </c>
      <c r="AQ27" s="81">
        <v>28</v>
      </c>
      <c r="AR27" s="81">
        <v>306</v>
      </c>
      <c r="AS27" s="81">
        <v>741</v>
      </c>
      <c r="AT27" s="81">
        <v>1096</v>
      </c>
      <c r="AU27" s="81">
        <v>881</v>
      </c>
      <c r="AV27" s="71">
        <f t="shared" si="113"/>
        <v>705.5</v>
      </c>
      <c r="AW27" s="71">
        <f t="shared" si="102"/>
        <v>6163.5932539682544</v>
      </c>
      <c r="AY27" s="42">
        <v>186</v>
      </c>
      <c r="AZ27" s="48">
        <f t="shared" si="154"/>
        <v>7.0615927814829341E-3</v>
      </c>
      <c r="BA27" s="48">
        <f t="shared" si="1"/>
        <v>3.1334865260079382E-3</v>
      </c>
      <c r="BB27" s="48">
        <f t="shared" si="2"/>
        <v>8.4364208593784157E-3</v>
      </c>
      <c r="BC27" s="48">
        <f t="shared" si="3"/>
        <v>3.9534883720930232E-2</v>
      </c>
      <c r="BD27" s="48">
        <f t="shared" si="4"/>
        <v>0</v>
      </c>
      <c r="BE27" s="48">
        <f t="shared" si="5"/>
        <v>5.9843885516045097E-3</v>
      </c>
      <c r="BF27" s="48">
        <f t="shared" si="6"/>
        <v>1.8745899334520573E-4</v>
      </c>
      <c r="BG27" s="48">
        <f t="shared" si="7"/>
        <v>0</v>
      </c>
      <c r="BH27" s="48">
        <f t="shared" si="8"/>
        <v>0</v>
      </c>
      <c r="BI27" s="48">
        <f t="shared" si="9"/>
        <v>0</v>
      </c>
      <c r="BJ27" s="48">
        <f t="shared" si="10"/>
        <v>2.044019672817329E-2</v>
      </c>
      <c r="BK27" s="48">
        <f t="shared" si="11"/>
        <v>1.1390432588220693E-2</v>
      </c>
      <c r="BL27" s="48">
        <f t="shared" si="12"/>
        <v>8.2817114056706418E-3</v>
      </c>
      <c r="BM27" s="48">
        <f t="shared" si="13"/>
        <v>4.1051705600625554E-3</v>
      </c>
      <c r="BN27" s="48">
        <f t="shared" si="14"/>
        <v>9.5924231999028609E-3</v>
      </c>
      <c r="BO27" s="48">
        <f t="shared" si="15"/>
        <v>1.1270909832721339E-2</v>
      </c>
      <c r="BP27" s="48">
        <f t="shared" si="16"/>
        <v>9.0600888473228898E-3</v>
      </c>
      <c r="BQ27" s="48">
        <f t="shared" si="17"/>
        <v>0</v>
      </c>
      <c r="BR27" s="48">
        <f t="shared" si="18"/>
        <v>6.0084616205069866E-3</v>
      </c>
      <c r="BS27" s="48"/>
      <c r="BT27" s="48">
        <f t="shared" si="19"/>
        <v>1.9488767857453583E-3</v>
      </c>
      <c r="BU27" s="48">
        <f t="shared" si="20"/>
        <v>1.0176390773405698E-3</v>
      </c>
      <c r="BV27" s="48">
        <f t="shared" si="21"/>
        <v>1.666211417645452E-2</v>
      </c>
      <c r="BW27" s="48">
        <f t="shared" si="22"/>
        <v>4.5978073429686156E-4</v>
      </c>
      <c r="BX27" s="48">
        <f t="shared" si="23"/>
        <v>2.9230306760760962E-2</v>
      </c>
      <c r="BY27" s="48">
        <f t="shared" si="24"/>
        <v>2.6087295097924697E-3</v>
      </c>
      <c r="BZ27" s="48">
        <f t="shared" si="25"/>
        <v>5.6601470722851127E-3</v>
      </c>
      <c r="CA27" s="48">
        <f t="shared" si="26"/>
        <v>9.8944264695696913E-6</v>
      </c>
      <c r="CB27" s="48">
        <f t="shared" si="27"/>
        <v>9.6390238052407509E-3</v>
      </c>
      <c r="CC27" s="48">
        <f t="shared" si="28"/>
        <v>1.367129029039018E-2</v>
      </c>
      <c r="CD27" s="48">
        <f t="shared" si="29"/>
        <v>3.5991362073102455E-3</v>
      </c>
      <c r="CE27" s="48">
        <f t="shared" si="30"/>
        <v>4.1691133294186732E-3</v>
      </c>
      <c r="CF27" s="48">
        <f t="shared" si="31"/>
        <v>8.4334972852449601E-4</v>
      </c>
      <c r="CG27" s="48">
        <f t="shared" si="32"/>
        <v>2.9549066348827971E-3</v>
      </c>
      <c r="CH27" s="48">
        <f t="shared" si="33"/>
        <v>4.2580912004963292E-2</v>
      </c>
      <c r="CI27" s="48">
        <f t="shared" si="34"/>
        <v>6.6203382228493379E-3</v>
      </c>
      <c r="CJ27" s="48">
        <f t="shared" si="35"/>
        <v>0</v>
      </c>
      <c r="CK27" s="48">
        <f t="shared" si="36"/>
        <v>2.0307719593845606E-2</v>
      </c>
      <c r="CL27" s="48">
        <f t="shared" si="37"/>
        <v>0</v>
      </c>
      <c r="CM27" s="48">
        <f t="shared" si="61"/>
        <v>1.6862544711292796E-2</v>
      </c>
      <c r="CN27" s="48">
        <f t="shared" si="62"/>
        <v>3.9319189253206106E-2</v>
      </c>
      <c r="CO27" s="48">
        <f t="shared" si="63"/>
        <v>6.7814672188718547E-4</v>
      </c>
      <c r="CP27" s="48">
        <f t="shared" si="64"/>
        <v>5.099660022665156E-3</v>
      </c>
      <c r="CQ27" s="48">
        <f t="shared" si="112"/>
        <v>8.6378737541528243E-3</v>
      </c>
      <c r="CR27" s="48">
        <f t="shared" si="65"/>
        <v>7.1444402435367586E-3</v>
      </c>
      <c r="CS27" s="48">
        <f t="shared" si="66"/>
        <v>4.189193687203701E-3</v>
      </c>
      <c r="CT27" s="68">
        <f t="shared" si="67"/>
        <v>6.8835419995870173E-2</v>
      </c>
      <c r="CU27" s="68">
        <f t="shared" si="68"/>
        <v>5.3696217840499286E-2</v>
      </c>
      <c r="CW27" s="42">
        <v>186</v>
      </c>
      <c r="CX27" s="58">
        <f t="shared" si="128"/>
        <v>1591</v>
      </c>
      <c r="CY27" s="58">
        <f t="shared" si="129"/>
        <v>1062</v>
      </c>
      <c r="CZ27" s="58">
        <f t="shared" si="130"/>
        <v>1921</v>
      </c>
      <c r="DA27" s="58">
        <f t="shared" si="131"/>
        <v>49</v>
      </c>
      <c r="DB27" s="58">
        <f t="shared" si="132"/>
        <v>119</v>
      </c>
      <c r="DC27" s="58">
        <f t="shared" si="133"/>
        <v>245</v>
      </c>
      <c r="DD27" s="58">
        <f t="shared" si="134"/>
        <v>9</v>
      </c>
      <c r="DE27" s="58">
        <f t="shared" si="135"/>
        <v>2</v>
      </c>
      <c r="DF27" s="58">
        <f t="shared" si="136"/>
        <v>37</v>
      </c>
      <c r="DG27" s="58">
        <f t="shared" si="137"/>
        <v>0</v>
      </c>
      <c r="DH27" s="58">
        <f t="shared" si="138"/>
        <v>841</v>
      </c>
      <c r="DI27" s="58">
        <f t="shared" si="139"/>
        <v>2328</v>
      </c>
      <c r="DJ27" s="58">
        <f t="shared" si="140"/>
        <v>1782</v>
      </c>
      <c r="DK27" s="58">
        <f t="shared" si="141"/>
        <v>91</v>
      </c>
      <c r="DL27" s="58">
        <f t="shared" si="142"/>
        <v>1880</v>
      </c>
      <c r="DM27" s="58">
        <f t="shared" si="143"/>
        <v>2712</v>
      </c>
      <c r="DN27" s="58">
        <f t="shared" si="144"/>
        <v>2390</v>
      </c>
      <c r="DO27" s="58">
        <f t="shared" si="145"/>
        <v>146</v>
      </c>
      <c r="DP27" s="58">
        <f t="shared" si="146"/>
        <v>2300</v>
      </c>
      <c r="DQ27" s="58"/>
      <c r="DR27" s="58">
        <f t="shared" si="147"/>
        <v>3722</v>
      </c>
      <c r="DS27" s="58">
        <f t="shared" si="148"/>
        <v>165</v>
      </c>
      <c r="DT27" s="58">
        <f t="shared" si="149"/>
        <v>566</v>
      </c>
      <c r="DU27" s="58">
        <f t="shared" si="150"/>
        <v>594</v>
      </c>
      <c r="DV27" s="58">
        <f t="shared" si="151"/>
        <v>2520</v>
      </c>
      <c r="DW27" s="58">
        <f t="shared" si="152"/>
        <v>4685</v>
      </c>
      <c r="DX27" s="58">
        <f t="shared" si="153"/>
        <v>3099</v>
      </c>
      <c r="DY27" s="58">
        <f t="shared" si="115"/>
        <v>1054</v>
      </c>
      <c r="DZ27" s="58">
        <f t="shared" si="116"/>
        <v>3738</v>
      </c>
      <c r="EA27" s="58">
        <f t="shared" si="117"/>
        <v>337</v>
      </c>
      <c r="EB27" s="58">
        <f t="shared" si="118"/>
        <v>172</v>
      </c>
      <c r="EC27" s="58">
        <f t="shared" si="119"/>
        <v>130</v>
      </c>
      <c r="ED27" s="58">
        <f t="shared" si="120"/>
        <v>230</v>
      </c>
      <c r="EE27" s="58">
        <f t="shared" si="121"/>
        <v>2562</v>
      </c>
      <c r="EF27" s="58">
        <f t="shared" si="122"/>
        <v>11061</v>
      </c>
      <c r="EG27" s="58">
        <f t="shared" si="123"/>
        <v>3078</v>
      </c>
      <c r="EH27" s="58">
        <f t="shared" si="124"/>
        <v>331</v>
      </c>
      <c r="EI27" s="58">
        <f t="shared" si="125"/>
        <v>1997</v>
      </c>
      <c r="EJ27" s="58">
        <f t="shared" si="126"/>
        <v>3987</v>
      </c>
      <c r="EK27" s="58">
        <f t="shared" si="127"/>
        <v>5045</v>
      </c>
      <c r="EL27" s="58">
        <f t="shared" si="105"/>
        <v>8629</v>
      </c>
      <c r="EM27" s="58">
        <f t="shared" si="106"/>
        <v>278</v>
      </c>
      <c r="EN27" s="58">
        <f t="shared" si="107"/>
        <v>2796</v>
      </c>
      <c r="EO27" s="58">
        <f t="shared" si="108"/>
        <v>3754</v>
      </c>
      <c r="EP27" s="58">
        <f t="shared" si="109"/>
        <v>14793</v>
      </c>
      <c r="EQ27" s="58">
        <f t="shared" si="110"/>
        <v>19811</v>
      </c>
      <c r="ER27" s="67">
        <f t="shared" si="72"/>
        <v>6142.1</v>
      </c>
      <c r="ES27" s="67">
        <f t="shared" si="73"/>
        <v>2780.8780487804879</v>
      </c>
      <c r="EV27" s="42">
        <v>186</v>
      </c>
      <c r="EW27" s="128">
        <f t="shared" si="41"/>
        <v>6.9351815526786098E-2</v>
      </c>
      <c r="EX27" s="128">
        <f t="shared" si="42"/>
        <v>5.5462711510340504E-2</v>
      </c>
      <c r="EY27" s="128">
        <f t="shared" si="43"/>
        <v>8.3970800367181006E-2</v>
      </c>
      <c r="EZ27" s="128">
        <f t="shared" si="44"/>
        <v>0.11395348837209303</v>
      </c>
      <c r="FA27" s="128">
        <f t="shared" si="45"/>
        <v>4.7128712871287129E-2</v>
      </c>
      <c r="FB27" s="128">
        <f t="shared" si="46"/>
        <v>2.1248915871639202E-2</v>
      </c>
      <c r="FC27" s="128">
        <f t="shared" si="47"/>
        <v>8.4356547005342577E-4</v>
      </c>
      <c r="FD27" s="128">
        <f t="shared" si="48"/>
        <v>2.1244954323348204E-4</v>
      </c>
      <c r="FE27" s="128">
        <f t="shared" si="49"/>
        <v>2.8483448806774442E-3</v>
      </c>
      <c r="FF27" s="128">
        <f t="shared" si="50"/>
        <v>0</v>
      </c>
      <c r="FG27" s="128">
        <f t="shared" si="51"/>
        <v>2.9334821584289652E-2</v>
      </c>
      <c r="FH27" s="128">
        <f t="shared" si="52"/>
        <v>3.210281727043314E-2</v>
      </c>
      <c r="FI27" s="128">
        <f t="shared" si="53"/>
        <v>3.9565709718244191E-2</v>
      </c>
      <c r="FJ27" s="128">
        <f t="shared" si="54"/>
        <v>8.8945362134688691E-3</v>
      </c>
      <c r="FK27" s="128">
        <f t="shared" si="55"/>
        <v>7.6091795847330709E-2</v>
      </c>
      <c r="FL27" s="128">
        <f t="shared" si="56"/>
        <v>6.9155446756425945E-2</v>
      </c>
      <c r="FM27" s="128">
        <f t="shared" si="57"/>
        <v>6.9850362403553898E-2</v>
      </c>
      <c r="FN27" s="128">
        <f t="shared" si="58"/>
        <v>7.7970627503337782E-3</v>
      </c>
      <c r="FO27" s="128">
        <f t="shared" si="59"/>
        <v>8.1771962882639451E-2</v>
      </c>
      <c r="FP27" s="128"/>
      <c r="FQ27" s="128">
        <f t="shared" si="74"/>
        <v>6.4765351754859146E-2</v>
      </c>
      <c r="FR27" s="128">
        <f t="shared" si="75"/>
        <v>5.5970149253731345E-2</v>
      </c>
      <c r="FS27" s="128">
        <f t="shared" si="76"/>
        <v>0.15460256760447966</v>
      </c>
      <c r="FT27" s="128">
        <f t="shared" si="77"/>
        <v>2.4828159652030526E-2</v>
      </c>
      <c r="FU27" s="128">
        <f t="shared" si="78"/>
        <v>3.6072660645013528E-2</v>
      </c>
      <c r="FV27" s="128">
        <f t="shared" si="79"/>
        <v>6.0805461459590648E-2</v>
      </c>
      <c r="FW27" s="128">
        <f t="shared" si="80"/>
        <v>4.7279772983858666E-2</v>
      </c>
      <c r="FX27" s="128">
        <f t="shared" si="81"/>
        <v>1.0428725498926456E-2</v>
      </c>
      <c r="FY27" s="128">
        <f t="shared" si="82"/>
        <v>5.6035258139953227E-2</v>
      </c>
      <c r="FZ27" s="128">
        <f t="shared" si="83"/>
        <v>3.362937830555833E-2</v>
      </c>
      <c r="GA27" s="128">
        <f t="shared" si="84"/>
        <v>1.3756698392385828E-2</v>
      </c>
      <c r="GB27" s="128">
        <f t="shared" si="85"/>
        <v>7.6335877862595417E-3</v>
      </c>
      <c r="GC27" s="128">
        <f t="shared" si="86"/>
        <v>1.0208970397928108E-2</v>
      </c>
      <c r="GD27" s="128">
        <f t="shared" si="87"/>
        <v>6.3617401668653165E-2</v>
      </c>
      <c r="GE27" s="128">
        <f t="shared" si="88"/>
        <v>0.22874573467066486</v>
      </c>
      <c r="GF27" s="128">
        <f t="shared" si="89"/>
        <v>0.15796434922426558</v>
      </c>
      <c r="GG27" s="128">
        <f t="shared" si="90"/>
        <v>2.4447161107774527E-2</v>
      </c>
      <c r="GH27" s="128">
        <f t="shared" si="91"/>
        <v>8.8546978229060436E-2</v>
      </c>
      <c r="GI27" s="128">
        <f t="shared" si="92"/>
        <v>7.1971406393848039E-2</v>
      </c>
      <c r="GJ27" s="128">
        <f t="shared" si="93"/>
        <v>6.967365935173804E-2</v>
      </c>
      <c r="GK27" s="128">
        <f t="shared" si="94"/>
        <v>0.14599194667208068</v>
      </c>
      <c r="GL27" s="128">
        <f t="shared" si="95"/>
        <v>6.7330281673084842E-3</v>
      </c>
      <c r="GM27" s="128">
        <f t="shared" si="96"/>
        <v>4.6596893540430638E-2</v>
      </c>
      <c r="GN27" s="128">
        <f t="shared" si="97"/>
        <v>4.3760564201200676E-2</v>
      </c>
      <c r="GO27" s="128">
        <f t="shared" si="98"/>
        <v>9.6430387338174522E-2</v>
      </c>
      <c r="GP27" s="128">
        <f t="shared" si="99"/>
        <v>9.420217495708573E-2</v>
      </c>
      <c r="GQ27" s="129">
        <f t="shared" si="100"/>
        <v>6.8835419995870173E-2</v>
      </c>
      <c r="GR27" s="129">
        <f t="shared" si="101"/>
        <v>5.36962178404993E-2</v>
      </c>
    </row>
    <row r="28" spans="1:200" x14ac:dyDescent="0.25">
      <c r="A28" s="42">
        <v>187</v>
      </c>
      <c r="B28" s="81">
        <v>121</v>
      </c>
      <c r="C28" s="81">
        <v>19</v>
      </c>
      <c r="D28" s="81">
        <v>170</v>
      </c>
      <c r="E28" s="81">
        <v>4</v>
      </c>
      <c r="F28" s="81">
        <v>13</v>
      </c>
      <c r="G28" s="81">
        <v>133</v>
      </c>
      <c r="H28" s="81">
        <v>1</v>
      </c>
      <c r="I28" s="81">
        <v>19</v>
      </c>
      <c r="J28" s="81">
        <v>16</v>
      </c>
      <c r="K28" s="81"/>
      <c r="L28" s="81">
        <v>16</v>
      </c>
      <c r="M28" s="81">
        <v>341</v>
      </c>
      <c r="N28" s="81">
        <v>42</v>
      </c>
      <c r="O28" s="81">
        <v>22</v>
      </c>
      <c r="P28" s="81">
        <v>452</v>
      </c>
      <c r="Q28" s="81">
        <v>511</v>
      </c>
      <c r="R28" s="81">
        <v>103</v>
      </c>
      <c r="S28" s="81">
        <v>0</v>
      </c>
      <c r="T28" s="81">
        <v>152</v>
      </c>
      <c r="V28" s="81">
        <v>2356</v>
      </c>
      <c r="W28" s="81">
        <v>12</v>
      </c>
      <c r="X28" s="81">
        <v>85</v>
      </c>
      <c r="Y28" s="81">
        <v>87</v>
      </c>
      <c r="Z28" s="81">
        <v>77</v>
      </c>
      <c r="AA28" s="81">
        <v>1187</v>
      </c>
      <c r="AB28" s="81">
        <v>973</v>
      </c>
      <c r="AC28" s="81">
        <v>714</v>
      </c>
      <c r="AD28" s="81">
        <v>663</v>
      </c>
      <c r="AE28" s="81">
        <v>24</v>
      </c>
      <c r="AF28" s="84">
        <v>3</v>
      </c>
      <c r="AG28" s="84">
        <v>7</v>
      </c>
      <c r="AH28" s="84">
        <v>38</v>
      </c>
      <c r="AI28" s="83">
        <v>144</v>
      </c>
      <c r="AJ28" s="83">
        <v>1530</v>
      </c>
      <c r="AK28" s="83">
        <v>156</v>
      </c>
      <c r="AL28" s="81">
        <v>2</v>
      </c>
      <c r="AM28" s="90">
        <v>59</v>
      </c>
      <c r="AN28" s="90">
        <v>1518</v>
      </c>
      <c r="AO28" s="90">
        <v>13</v>
      </c>
      <c r="AP28" s="81">
        <v>66</v>
      </c>
      <c r="AQ28" s="81">
        <v>190</v>
      </c>
      <c r="AR28" s="81">
        <v>84</v>
      </c>
      <c r="AS28" s="81">
        <v>5379</v>
      </c>
      <c r="AT28" s="81">
        <v>6519</v>
      </c>
      <c r="AU28" s="81">
        <v>2975</v>
      </c>
      <c r="AV28" s="71">
        <f t="shared" si="113"/>
        <v>1680.5</v>
      </c>
      <c r="AW28" s="71">
        <f t="shared" si="102"/>
        <v>7844.0932539682544</v>
      </c>
      <c r="AY28" s="42">
        <v>187</v>
      </c>
      <c r="AZ28" s="48">
        <f t="shared" si="154"/>
        <v>5.2743995466631791E-3</v>
      </c>
      <c r="BA28" s="48">
        <f t="shared" si="1"/>
        <v>9.92270733235847E-4</v>
      </c>
      <c r="BB28" s="48">
        <f t="shared" si="2"/>
        <v>7.4310442802815058E-3</v>
      </c>
      <c r="BC28" s="48">
        <f t="shared" si="3"/>
        <v>9.3023255813953487E-3</v>
      </c>
      <c r="BD28" s="48">
        <f t="shared" si="4"/>
        <v>5.1485148514851488E-3</v>
      </c>
      <c r="BE28" s="48">
        <f t="shared" si="5"/>
        <v>1.1535125758889852E-2</v>
      </c>
      <c r="BF28" s="48">
        <f t="shared" si="6"/>
        <v>9.3729496672602863E-5</v>
      </c>
      <c r="BG28" s="48">
        <f t="shared" si="7"/>
        <v>2.0182706607180796E-3</v>
      </c>
      <c r="BH28" s="48">
        <f t="shared" si="8"/>
        <v>1.2317167051578138E-3</v>
      </c>
      <c r="BI28" s="48">
        <f t="shared" si="9"/>
        <v>0</v>
      </c>
      <c r="BJ28" s="48">
        <f t="shared" si="10"/>
        <v>5.5809410861906586E-4</v>
      </c>
      <c r="BK28" s="48">
        <f t="shared" si="11"/>
        <v>4.7023456568804555E-3</v>
      </c>
      <c r="BL28" s="48">
        <f t="shared" si="12"/>
        <v>9.3252514487444211E-4</v>
      </c>
      <c r="BM28" s="48">
        <f t="shared" si="13"/>
        <v>2.1503274362232429E-3</v>
      </c>
      <c r="BN28" s="48">
        <f t="shared" si="14"/>
        <v>1.8294410490953979E-2</v>
      </c>
      <c r="BO28" s="48">
        <f t="shared" si="15"/>
        <v>1.3030395756833945E-2</v>
      </c>
      <c r="BP28" s="48">
        <f t="shared" si="16"/>
        <v>3.01028758475567E-3</v>
      </c>
      <c r="BQ28" s="48">
        <f t="shared" si="17"/>
        <v>0</v>
      </c>
      <c r="BR28" s="48">
        <f t="shared" si="18"/>
        <v>5.4040601557222593E-3</v>
      </c>
      <c r="BS28" s="48"/>
      <c r="BT28" s="48">
        <f t="shared" si="19"/>
        <v>4.0996015243000575E-2</v>
      </c>
      <c r="BU28" s="48">
        <f t="shared" si="20"/>
        <v>4.0705563093622792E-3</v>
      </c>
      <c r="BV28" s="48">
        <f t="shared" si="21"/>
        <v>2.3217700081944823E-2</v>
      </c>
      <c r="BW28" s="48">
        <f t="shared" si="22"/>
        <v>3.6364476258024503E-3</v>
      </c>
      <c r="BX28" s="48">
        <f t="shared" si="23"/>
        <v>1.1022201863754133E-3</v>
      </c>
      <c r="BY28" s="48">
        <f t="shared" si="24"/>
        <v>1.540578073693364E-2</v>
      </c>
      <c r="BZ28" s="48">
        <f t="shared" si="25"/>
        <v>1.484453666127605E-2</v>
      </c>
      <c r="CA28" s="48">
        <f t="shared" si="26"/>
        <v>7.06462049927276E-3</v>
      </c>
      <c r="CB28" s="48">
        <f t="shared" si="27"/>
        <v>9.9388379204892966E-3</v>
      </c>
      <c r="CC28" s="48">
        <f t="shared" si="28"/>
        <v>2.3949705618201778E-3</v>
      </c>
      <c r="CD28" s="48">
        <f t="shared" si="29"/>
        <v>2.3994241382068303E-4</v>
      </c>
      <c r="CE28" s="48">
        <f t="shared" si="30"/>
        <v>4.1103934233705224E-4</v>
      </c>
      <c r="CF28" s="48">
        <f t="shared" si="31"/>
        <v>1.686699457048992E-3</v>
      </c>
      <c r="CG28" s="48">
        <f t="shared" si="32"/>
        <v>3.5756853396901071E-3</v>
      </c>
      <c r="CH28" s="48">
        <f t="shared" si="33"/>
        <v>3.1640988522386518E-2</v>
      </c>
      <c r="CI28" s="48">
        <f t="shared" si="34"/>
        <v>8.0059904090271066E-3</v>
      </c>
      <c r="CJ28" s="48">
        <f t="shared" si="35"/>
        <v>1.4771698554546541E-4</v>
      </c>
      <c r="CK28" s="48">
        <f t="shared" si="36"/>
        <v>2.6160599476788009E-3</v>
      </c>
      <c r="CL28" s="48">
        <f t="shared" si="37"/>
        <v>2.7402205895626117E-2</v>
      </c>
      <c r="CM28" s="48">
        <f t="shared" si="61"/>
        <v>1.7953569307682746E-4</v>
      </c>
      <c r="CN28" s="48">
        <f t="shared" si="62"/>
        <v>1.1166379047812406E-3</v>
      </c>
      <c r="CO28" s="48">
        <f t="shared" si="63"/>
        <v>4.6017098985201869E-3</v>
      </c>
      <c r="CP28" s="48">
        <f t="shared" si="64"/>
        <v>1.3999066728884741E-3</v>
      </c>
      <c r="CQ28" s="48">
        <f t="shared" si="112"/>
        <v>6.2703269802413003E-2</v>
      </c>
      <c r="CR28" s="48">
        <f t="shared" si="65"/>
        <v>4.2495078419357783E-2</v>
      </c>
      <c r="CS28" s="48">
        <f t="shared" si="66"/>
        <v>1.4146255640670841E-2</v>
      </c>
      <c r="CT28" s="68">
        <f t="shared" si="67"/>
        <v>8.4516257681926055E-2</v>
      </c>
      <c r="CU28" s="68">
        <f t="shared" si="68"/>
        <v>6.3285247400961073E-2</v>
      </c>
      <c r="CW28" s="42">
        <v>187</v>
      </c>
      <c r="CX28" s="58">
        <f t="shared" si="128"/>
        <v>1712</v>
      </c>
      <c r="CY28" s="58">
        <f t="shared" si="129"/>
        <v>1081</v>
      </c>
      <c r="CZ28" s="58">
        <f t="shared" si="130"/>
        <v>2091</v>
      </c>
      <c r="DA28" s="58">
        <f t="shared" si="131"/>
        <v>53</v>
      </c>
      <c r="DB28" s="58">
        <f t="shared" si="132"/>
        <v>132</v>
      </c>
      <c r="DC28" s="58">
        <f t="shared" si="133"/>
        <v>378</v>
      </c>
      <c r="DD28" s="58">
        <f t="shared" si="134"/>
        <v>10</v>
      </c>
      <c r="DE28" s="58">
        <f t="shared" si="135"/>
        <v>21</v>
      </c>
      <c r="DF28" s="58">
        <f t="shared" si="136"/>
        <v>53</v>
      </c>
      <c r="DG28" s="58">
        <f t="shared" si="137"/>
        <v>0</v>
      </c>
      <c r="DH28" s="58">
        <f t="shared" si="138"/>
        <v>857</v>
      </c>
      <c r="DI28" s="58">
        <f t="shared" si="139"/>
        <v>2669</v>
      </c>
      <c r="DJ28" s="58">
        <f t="shared" si="140"/>
        <v>1824</v>
      </c>
      <c r="DK28" s="58">
        <f t="shared" si="141"/>
        <v>113</v>
      </c>
      <c r="DL28" s="58">
        <f t="shared" si="142"/>
        <v>2332</v>
      </c>
      <c r="DM28" s="58">
        <f t="shared" si="143"/>
        <v>3223</v>
      </c>
      <c r="DN28" s="58">
        <f t="shared" si="144"/>
        <v>2493</v>
      </c>
      <c r="DO28" s="58">
        <f t="shared" si="145"/>
        <v>146</v>
      </c>
      <c r="DP28" s="58">
        <f t="shared" si="146"/>
        <v>2452</v>
      </c>
      <c r="DQ28" s="58"/>
      <c r="DR28" s="58">
        <f t="shared" si="147"/>
        <v>6078</v>
      </c>
      <c r="DS28" s="58">
        <f t="shared" si="148"/>
        <v>177</v>
      </c>
      <c r="DT28" s="58">
        <f t="shared" si="149"/>
        <v>651</v>
      </c>
      <c r="DU28" s="58">
        <f t="shared" si="150"/>
        <v>681</v>
      </c>
      <c r="DV28" s="58">
        <f t="shared" si="151"/>
        <v>2597</v>
      </c>
      <c r="DW28" s="58">
        <f t="shared" si="152"/>
        <v>5872</v>
      </c>
      <c r="DX28" s="58">
        <f t="shared" si="153"/>
        <v>4072</v>
      </c>
      <c r="DY28" s="58">
        <f t="shared" si="115"/>
        <v>1768</v>
      </c>
      <c r="DZ28" s="58">
        <f t="shared" si="116"/>
        <v>4401</v>
      </c>
      <c r="EA28" s="58">
        <f t="shared" si="117"/>
        <v>361</v>
      </c>
      <c r="EB28" s="58">
        <f t="shared" si="118"/>
        <v>175</v>
      </c>
      <c r="EC28" s="58">
        <f t="shared" si="119"/>
        <v>137</v>
      </c>
      <c r="ED28" s="58">
        <f t="shared" si="120"/>
        <v>268</v>
      </c>
      <c r="EE28" s="58">
        <f t="shared" si="121"/>
        <v>2706</v>
      </c>
      <c r="EF28" s="58">
        <f t="shared" si="122"/>
        <v>12591</v>
      </c>
      <c r="EG28" s="58">
        <f t="shared" si="123"/>
        <v>3234</v>
      </c>
      <c r="EH28" s="58">
        <f t="shared" si="124"/>
        <v>333</v>
      </c>
      <c r="EI28" s="58">
        <f t="shared" si="125"/>
        <v>2056</v>
      </c>
      <c r="EJ28" s="58">
        <f t="shared" si="126"/>
        <v>5505</v>
      </c>
      <c r="EK28" s="58">
        <f t="shared" si="127"/>
        <v>5058</v>
      </c>
      <c r="EL28" s="58">
        <f t="shared" si="105"/>
        <v>8695</v>
      </c>
      <c r="EM28" s="58">
        <f t="shared" si="106"/>
        <v>468</v>
      </c>
      <c r="EN28" s="58">
        <f t="shared" si="107"/>
        <v>2880</v>
      </c>
      <c r="EO28" s="58">
        <f t="shared" si="108"/>
        <v>9133</v>
      </c>
      <c r="EP28" s="58">
        <f t="shared" si="109"/>
        <v>21312</v>
      </c>
      <c r="EQ28" s="58">
        <f t="shared" si="110"/>
        <v>22786</v>
      </c>
      <c r="ER28" s="67">
        <f t="shared" si="72"/>
        <v>7822.6</v>
      </c>
      <c r="ES28" s="67">
        <f t="shared" si="73"/>
        <v>3431.6585365853657</v>
      </c>
      <c r="EV28" s="42">
        <v>187</v>
      </c>
      <c r="EW28" s="128">
        <f t="shared" si="41"/>
        <v>7.4626215073449284E-2</v>
      </c>
      <c r="EX28" s="128">
        <f t="shared" si="42"/>
        <v>5.6454982243576354E-2</v>
      </c>
      <c r="EY28" s="128">
        <f t="shared" si="43"/>
        <v>9.140184464746251E-2</v>
      </c>
      <c r="EZ28" s="128">
        <f t="shared" si="44"/>
        <v>0.12325581395348838</v>
      </c>
      <c r="FA28" s="128">
        <f t="shared" si="45"/>
        <v>5.2277227722772275E-2</v>
      </c>
      <c r="FB28" s="128">
        <f t="shared" si="46"/>
        <v>3.2784041630529052E-2</v>
      </c>
      <c r="FC28" s="128">
        <f t="shared" si="47"/>
        <v>9.3729496672602863E-4</v>
      </c>
      <c r="FD28" s="128">
        <f t="shared" si="48"/>
        <v>2.2307202039515616E-3</v>
      </c>
      <c r="FE28" s="128">
        <f t="shared" si="49"/>
        <v>4.0800615858352582E-3</v>
      </c>
      <c r="FF28" s="128">
        <f t="shared" si="50"/>
        <v>0</v>
      </c>
      <c r="FG28" s="128">
        <f t="shared" si="51"/>
        <v>2.9892915692908716E-2</v>
      </c>
      <c r="FH28" s="128">
        <f t="shared" si="52"/>
        <v>3.6805162927313596E-2</v>
      </c>
      <c r="FI28" s="128">
        <f t="shared" si="53"/>
        <v>4.0498234863118633E-2</v>
      </c>
      <c r="FJ28" s="128">
        <f t="shared" si="54"/>
        <v>1.1044863649692113E-2</v>
      </c>
      <c r="FK28" s="128">
        <f t="shared" si="55"/>
        <v>9.4386206338284692E-2</v>
      </c>
      <c r="FL28" s="128">
        <f t="shared" si="56"/>
        <v>8.2185842513259888E-2</v>
      </c>
      <c r="FM28" s="128">
        <f t="shared" si="57"/>
        <v>7.2860649988309559E-2</v>
      </c>
      <c r="FN28" s="128">
        <f t="shared" si="58"/>
        <v>7.7970627503337782E-3</v>
      </c>
      <c r="FO28" s="128">
        <f t="shared" si="59"/>
        <v>8.7176023038361722E-2</v>
      </c>
      <c r="FP28" s="128"/>
      <c r="FQ28" s="128">
        <f t="shared" si="74"/>
        <v>0.10576136699785972</v>
      </c>
      <c r="FR28" s="128">
        <f t="shared" si="75"/>
        <v>6.004070556309362E-2</v>
      </c>
      <c r="FS28" s="128">
        <f t="shared" si="76"/>
        <v>0.17782026768642448</v>
      </c>
      <c r="FT28" s="128">
        <f t="shared" si="77"/>
        <v>2.8464607277832975E-2</v>
      </c>
      <c r="FU28" s="128">
        <f t="shared" si="78"/>
        <v>3.7174880831388937E-2</v>
      </c>
      <c r="FV28" s="128">
        <f t="shared" si="79"/>
        <v>7.6211242196524295E-2</v>
      </c>
      <c r="FW28" s="128">
        <f t="shared" si="80"/>
        <v>6.2124309645134712E-2</v>
      </c>
      <c r="FX28" s="128">
        <f t="shared" si="81"/>
        <v>1.7493345998199215E-2</v>
      </c>
      <c r="FY28" s="128">
        <f t="shared" si="82"/>
        <v>6.5974096060442522E-2</v>
      </c>
      <c r="FZ28" s="128">
        <f t="shared" si="83"/>
        <v>3.6024348867378507E-2</v>
      </c>
      <c r="GA28" s="128">
        <f t="shared" si="84"/>
        <v>1.3996640806206511E-2</v>
      </c>
      <c r="GB28" s="128">
        <f t="shared" si="85"/>
        <v>8.0446271285965938E-3</v>
      </c>
      <c r="GC28" s="128">
        <f t="shared" si="86"/>
        <v>1.1895669854977101E-2</v>
      </c>
      <c r="GD28" s="128">
        <f t="shared" si="87"/>
        <v>6.7193087008343269E-2</v>
      </c>
      <c r="GE28" s="128">
        <f t="shared" si="88"/>
        <v>0.26038672319305139</v>
      </c>
      <c r="GF28" s="128">
        <f t="shared" si="89"/>
        <v>0.16597033963329269</v>
      </c>
      <c r="GG28" s="128">
        <f t="shared" si="90"/>
        <v>2.4594878093319991E-2</v>
      </c>
      <c r="GH28" s="128">
        <f t="shared" si="91"/>
        <v>9.1163038176739236E-2</v>
      </c>
      <c r="GI28" s="128">
        <f t="shared" si="92"/>
        <v>9.9373612289474153E-2</v>
      </c>
      <c r="GJ28" s="128">
        <f t="shared" si="93"/>
        <v>6.9853195044814867E-2</v>
      </c>
      <c r="GK28" s="128">
        <f t="shared" si="94"/>
        <v>0.14710858457686191</v>
      </c>
      <c r="GL28" s="128">
        <f t="shared" si="95"/>
        <v>1.1334738065828671E-2</v>
      </c>
      <c r="GM28" s="128">
        <f t="shared" si="96"/>
        <v>4.7996800213319112E-2</v>
      </c>
      <c r="GN28" s="128">
        <f t="shared" si="97"/>
        <v>0.10646383400361369</v>
      </c>
      <c r="GO28" s="128">
        <f t="shared" si="98"/>
        <v>0.13892546575753231</v>
      </c>
      <c r="GP28" s="128">
        <f t="shared" si="99"/>
        <v>0.10834843059775658</v>
      </c>
      <c r="GQ28" s="129">
        <f t="shared" si="100"/>
        <v>8.4516257681926041E-2</v>
      </c>
      <c r="GR28" s="129">
        <f t="shared" si="101"/>
        <v>6.3285247400961059E-2</v>
      </c>
    </row>
    <row r="29" spans="1:200" x14ac:dyDescent="0.25">
      <c r="A29" s="42">
        <v>188</v>
      </c>
      <c r="B29" s="81">
        <v>33</v>
      </c>
      <c r="C29" s="81">
        <v>54</v>
      </c>
      <c r="D29" s="81">
        <v>73</v>
      </c>
      <c r="E29" s="81">
        <v>31</v>
      </c>
      <c r="F29" s="81">
        <v>16</v>
      </c>
      <c r="G29" s="81">
        <v>22</v>
      </c>
      <c r="H29" s="81">
        <v>1</v>
      </c>
      <c r="I29" s="81">
        <v>1</v>
      </c>
      <c r="J29" s="81">
        <v>80</v>
      </c>
      <c r="K29" s="81"/>
      <c r="L29" s="81">
        <v>258</v>
      </c>
      <c r="M29" s="81">
        <v>614</v>
      </c>
      <c r="N29" s="81">
        <v>293</v>
      </c>
      <c r="O29" s="81">
        <v>14</v>
      </c>
      <c r="P29" s="81">
        <v>307</v>
      </c>
      <c r="Q29" s="81">
        <v>411</v>
      </c>
      <c r="R29" s="81">
        <v>308</v>
      </c>
      <c r="S29" s="81">
        <v>0</v>
      </c>
      <c r="T29" s="81">
        <v>458</v>
      </c>
      <c r="V29" s="81">
        <v>1300</v>
      </c>
      <c r="W29" s="81">
        <v>14</v>
      </c>
      <c r="X29" s="81">
        <v>97</v>
      </c>
      <c r="Y29" s="81">
        <v>78</v>
      </c>
      <c r="Z29" s="81">
        <v>58</v>
      </c>
      <c r="AA29" s="81">
        <v>1084</v>
      </c>
      <c r="AB29" s="81">
        <v>469</v>
      </c>
      <c r="AC29" s="81">
        <v>3245</v>
      </c>
      <c r="AD29" s="81">
        <v>130</v>
      </c>
      <c r="AE29" s="81">
        <v>18</v>
      </c>
      <c r="AF29" s="84">
        <v>29</v>
      </c>
      <c r="AG29" s="84">
        <v>596</v>
      </c>
      <c r="AH29" s="84">
        <v>6</v>
      </c>
      <c r="AI29" s="83">
        <v>259</v>
      </c>
      <c r="AJ29" s="83">
        <v>701</v>
      </c>
      <c r="AK29" s="83">
        <v>473</v>
      </c>
      <c r="AL29" s="81">
        <v>2</v>
      </c>
      <c r="AM29" s="90">
        <v>188</v>
      </c>
      <c r="AN29" s="90">
        <v>162</v>
      </c>
      <c r="AO29" s="90">
        <v>1480</v>
      </c>
      <c r="AP29" s="81">
        <v>563</v>
      </c>
      <c r="AQ29" s="81">
        <v>25</v>
      </c>
      <c r="AR29" s="81">
        <v>1860</v>
      </c>
      <c r="AS29" s="81">
        <v>971</v>
      </c>
      <c r="AT29" s="81">
        <v>201</v>
      </c>
      <c r="AU29" s="81">
        <v>464</v>
      </c>
      <c r="AV29" s="71">
        <f t="shared" si="113"/>
        <v>591.6</v>
      </c>
      <c r="AW29" s="71">
        <f t="shared" si="102"/>
        <v>8435.6932539682548</v>
      </c>
      <c r="AY29" s="42">
        <v>188</v>
      </c>
      <c r="AZ29" s="48">
        <f t="shared" si="154"/>
        <v>1.4384726036354126E-3</v>
      </c>
      <c r="BA29" s="48">
        <f t="shared" si="1"/>
        <v>2.8201378734071443E-3</v>
      </c>
      <c r="BB29" s="48">
        <f t="shared" si="2"/>
        <v>3.1909778380032347E-3</v>
      </c>
      <c r="BC29" s="48">
        <f t="shared" si="3"/>
        <v>7.2093023255813959E-2</v>
      </c>
      <c r="BD29" s="48">
        <f t="shared" si="4"/>
        <v>6.3366336633663371E-3</v>
      </c>
      <c r="BE29" s="48">
        <f t="shared" si="5"/>
        <v>1.9080659150043364E-3</v>
      </c>
      <c r="BF29" s="48">
        <f t="shared" si="6"/>
        <v>9.3729496672602863E-5</v>
      </c>
      <c r="BG29" s="48">
        <f t="shared" si="7"/>
        <v>1.0622477161674102E-4</v>
      </c>
      <c r="BH29" s="48">
        <f t="shared" si="8"/>
        <v>6.1585835257890681E-3</v>
      </c>
      <c r="BI29" s="48">
        <f t="shared" si="9"/>
        <v>0</v>
      </c>
      <c r="BJ29" s="48">
        <f t="shared" si="10"/>
        <v>8.9992675014824372E-3</v>
      </c>
      <c r="BK29" s="48">
        <f t="shared" si="11"/>
        <v>8.4669801563771255E-3</v>
      </c>
      <c r="BL29" s="48">
        <f t="shared" si="12"/>
        <v>6.5054730344812272E-3</v>
      </c>
      <c r="BM29" s="48">
        <f t="shared" si="13"/>
        <v>1.3683901866875182E-3</v>
      </c>
      <c r="BN29" s="48">
        <f t="shared" si="14"/>
        <v>1.2425628364431132E-2</v>
      </c>
      <c r="BO29" s="48">
        <f t="shared" si="15"/>
        <v>1.0480416156670747E-2</v>
      </c>
      <c r="BP29" s="48">
        <f t="shared" si="16"/>
        <v>9.0016366612111296E-3</v>
      </c>
      <c r="BQ29" s="48">
        <f t="shared" si="17"/>
        <v>0</v>
      </c>
      <c r="BR29" s="48">
        <f t="shared" si="18"/>
        <v>1.6283286521847334E-2</v>
      </c>
      <c r="BS29" s="48"/>
      <c r="BT29" s="48">
        <f t="shared" si="19"/>
        <v>2.2620891263115766E-2</v>
      </c>
      <c r="BU29" s="48">
        <f t="shared" si="20"/>
        <v>4.7489823609226595E-3</v>
      </c>
      <c r="BV29" s="48">
        <f t="shared" si="21"/>
        <v>2.6495493034689975E-2</v>
      </c>
      <c r="BW29" s="48">
        <f t="shared" si="22"/>
        <v>3.2602633886504727E-3</v>
      </c>
      <c r="BX29" s="48">
        <f t="shared" si="23"/>
        <v>8.3024377675031135E-4</v>
      </c>
      <c r="BY29" s="48">
        <f t="shared" si="24"/>
        <v>1.406896909758725E-2</v>
      </c>
      <c r="BZ29" s="48">
        <f t="shared" si="25"/>
        <v>7.1552802611906142E-3</v>
      </c>
      <c r="CA29" s="48">
        <f t="shared" si="26"/>
        <v>3.2107413893753649E-2</v>
      </c>
      <c r="CB29" s="48">
        <f t="shared" si="27"/>
        <v>1.9487917491155483E-3</v>
      </c>
      <c r="CC29" s="48">
        <f t="shared" si="28"/>
        <v>1.7962279213651331E-3</v>
      </c>
      <c r="CD29" s="48">
        <f t="shared" si="29"/>
        <v>2.3194433335999359E-3</v>
      </c>
      <c r="CE29" s="48">
        <f t="shared" si="30"/>
        <v>3.4997064004697591E-2</v>
      </c>
      <c r="CF29" s="48">
        <f t="shared" si="31"/>
        <v>2.6632096690247243E-4</v>
      </c>
      <c r="CG29" s="48">
        <f t="shared" si="32"/>
        <v>6.4312673818037345E-3</v>
      </c>
      <c r="CH29" s="48">
        <f t="shared" si="33"/>
        <v>1.4496949643263365E-2</v>
      </c>
      <c r="CI29" s="48">
        <f t="shared" si="34"/>
        <v>2.4274573483780905E-2</v>
      </c>
      <c r="CJ29" s="48">
        <f t="shared" si="35"/>
        <v>1.4771698554546541E-4</v>
      </c>
      <c r="CK29" s="48">
        <f t="shared" si="36"/>
        <v>8.3359198332816041E-3</v>
      </c>
      <c r="CL29" s="48">
        <f t="shared" si="37"/>
        <v>2.9243460837229452E-3</v>
      </c>
      <c r="CM29" s="48">
        <f t="shared" si="61"/>
        <v>2.0439448134900357E-2</v>
      </c>
      <c r="CN29" s="48">
        <f t="shared" si="62"/>
        <v>9.5252597029066421E-3</v>
      </c>
      <c r="CO29" s="48">
        <f t="shared" si="63"/>
        <v>6.0548814454212984E-4</v>
      </c>
      <c r="CP29" s="48">
        <f t="shared" si="64"/>
        <v>3.0997933471101927E-2</v>
      </c>
      <c r="CQ29" s="48">
        <f t="shared" si="112"/>
        <v>1.1318995162324416E-2</v>
      </c>
      <c r="CR29" s="48">
        <f t="shared" si="65"/>
        <v>1.3102486213055551E-3</v>
      </c>
      <c r="CS29" s="48">
        <f t="shared" si="66"/>
        <v>2.2063403755533681E-3</v>
      </c>
      <c r="CT29" s="68">
        <f t="shared" si="67"/>
        <v>9.3297427333444496E-2</v>
      </c>
      <c r="CU29" s="68">
        <f t="shared" si="68"/>
        <v>7.2401447109058908E-2</v>
      </c>
      <c r="CW29" s="42">
        <v>188</v>
      </c>
      <c r="CX29" s="58">
        <f t="shared" si="128"/>
        <v>1745</v>
      </c>
      <c r="CY29" s="58">
        <f t="shared" si="129"/>
        <v>1135</v>
      </c>
      <c r="CZ29" s="58">
        <f t="shared" si="130"/>
        <v>2164</v>
      </c>
      <c r="DA29" s="58">
        <f t="shared" si="131"/>
        <v>84</v>
      </c>
      <c r="DB29" s="58">
        <f t="shared" si="132"/>
        <v>148</v>
      </c>
      <c r="DC29" s="58">
        <f t="shared" si="133"/>
        <v>400</v>
      </c>
      <c r="DD29" s="58">
        <f t="shared" si="134"/>
        <v>11</v>
      </c>
      <c r="DE29" s="58">
        <f t="shared" si="135"/>
        <v>22</v>
      </c>
      <c r="DF29" s="58">
        <f t="shared" si="136"/>
        <v>133</v>
      </c>
      <c r="DG29" s="58">
        <f t="shared" si="137"/>
        <v>0</v>
      </c>
      <c r="DH29" s="58">
        <f t="shared" si="138"/>
        <v>1115</v>
      </c>
      <c r="DI29" s="58">
        <f t="shared" si="139"/>
        <v>3283</v>
      </c>
      <c r="DJ29" s="58">
        <f t="shared" si="140"/>
        <v>2117</v>
      </c>
      <c r="DK29" s="58">
        <f t="shared" si="141"/>
        <v>127</v>
      </c>
      <c r="DL29" s="58">
        <f t="shared" si="142"/>
        <v>2639</v>
      </c>
      <c r="DM29" s="58">
        <f t="shared" si="143"/>
        <v>3634</v>
      </c>
      <c r="DN29" s="58">
        <f t="shared" si="144"/>
        <v>2801</v>
      </c>
      <c r="DO29" s="58">
        <f t="shared" si="145"/>
        <v>146</v>
      </c>
      <c r="DP29" s="58">
        <f t="shared" si="146"/>
        <v>2910</v>
      </c>
      <c r="DQ29" s="58"/>
      <c r="DR29" s="58">
        <f t="shared" si="147"/>
        <v>7378</v>
      </c>
      <c r="DS29" s="58">
        <f t="shared" si="148"/>
        <v>191</v>
      </c>
      <c r="DT29" s="58">
        <f t="shared" si="149"/>
        <v>748</v>
      </c>
      <c r="DU29" s="58">
        <f t="shared" si="150"/>
        <v>759</v>
      </c>
      <c r="DV29" s="58">
        <f t="shared" si="151"/>
        <v>2655</v>
      </c>
      <c r="DW29" s="58">
        <f t="shared" si="152"/>
        <v>6956</v>
      </c>
      <c r="DX29" s="58">
        <f t="shared" si="153"/>
        <v>4541</v>
      </c>
      <c r="DY29" s="58">
        <f t="shared" si="115"/>
        <v>5013</v>
      </c>
      <c r="DZ29" s="58">
        <f t="shared" si="116"/>
        <v>4531</v>
      </c>
      <c r="EA29" s="58">
        <f t="shared" si="117"/>
        <v>379</v>
      </c>
      <c r="EB29" s="58">
        <f t="shared" si="118"/>
        <v>204</v>
      </c>
      <c r="EC29" s="58">
        <f t="shared" si="119"/>
        <v>733</v>
      </c>
      <c r="ED29" s="58">
        <f t="shared" si="120"/>
        <v>274</v>
      </c>
      <c r="EE29" s="58">
        <f t="shared" si="121"/>
        <v>2965</v>
      </c>
      <c r="EF29" s="58">
        <f t="shared" si="122"/>
        <v>13292</v>
      </c>
      <c r="EG29" s="58">
        <f t="shared" si="123"/>
        <v>3707</v>
      </c>
      <c r="EH29" s="58">
        <f t="shared" si="124"/>
        <v>335</v>
      </c>
      <c r="EI29" s="58">
        <f t="shared" si="125"/>
        <v>2244</v>
      </c>
      <c r="EJ29" s="58">
        <f t="shared" si="126"/>
        <v>5667</v>
      </c>
      <c r="EK29" s="58">
        <f t="shared" si="127"/>
        <v>6538</v>
      </c>
      <c r="EL29" s="58">
        <f t="shared" si="105"/>
        <v>9258</v>
      </c>
      <c r="EM29" s="58">
        <f t="shared" si="106"/>
        <v>493</v>
      </c>
      <c r="EN29" s="58">
        <f t="shared" si="107"/>
        <v>4740</v>
      </c>
      <c r="EO29" s="58">
        <f t="shared" si="108"/>
        <v>10104</v>
      </c>
      <c r="EP29" s="58">
        <f t="shared" si="109"/>
        <v>21513</v>
      </c>
      <c r="EQ29" s="58">
        <f t="shared" si="110"/>
        <v>23250</v>
      </c>
      <c r="ER29" s="67">
        <f t="shared" si="72"/>
        <v>8414.2000000000007</v>
      </c>
      <c r="ES29" s="67">
        <f t="shared" si="73"/>
        <v>3852.5365853658536</v>
      </c>
      <c r="EV29" s="42">
        <v>188</v>
      </c>
      <c r="EW29" s="128">
        <f t="shared" si="41"/>
        <v>7.60646876770847E-2</v>
      </c>
      <c r="EX29" s="128">
        <f t="shared" si="42"/>
        <v>5.92751201169835E-2</v>
      </c>
      <c r="EY29" s="128">
        <f t="shared" si="43"/>
        <v>9.4592822485465758E-2</v>
      </c>
      <c r="EZ29" s="128">
        <f t="shared" si="44"/>
        <v>0.19534883720930232</v>
      </c>
      <c r="FA29" s="128">
        <f t="shared" si="45"/>
        <v>5.861386138613861E-2</v>
      </c>
      <c r="FB29" s="128">
        <f t="shared" si="46"/>
        <v>3.4692107545533389E-2</v>
      </c>
      <c r="FC29" s="128">
        <f t="shared" si="47"/>
        <v>1.0310244633986315E-3</v>
      </c>
      <c r="FD29" s="128">
        <f t="shared" si="48"/>
        <v>2.3369449755683024E-3</v>
      </c>
      <c r="FE29" s="128">
        <f t="shared" si="49"/>
        <v>1.0238645111624327E-2</v>
      </c>
      <c r="FF29" s="128">
        <f t="shared" si="50"/>
        <v>0</v>
      </c>
      <c r="FG29" s="128">
        <f t="shared" si="51"/>
        <v>3.8892183194391153E-2</v>
      </c>
      <c r="FH29" s="128">
        <f t="shared" si="52"/>
        <v>4.5272143083690722E-2</v>
      </c>
      <c r="FI29" s="128">
        <f t="shared" si="53"/>
        <v>4.7003707897599861E-2</v>
      </c>
      <c r="FJ29" s="128">
        <f t="shared" si="54"/>
        <v>1.2413253836379631E-2</v>
      </c>
      <c r="FK29" s="128">
        <f t="shared" si="55"/>
        <v>0.10681183470271582</v>
      </c>
      <c r="FL29" s="128">
        <f t="shared" si="56"/>
        <v>9.266625866993064E-2</v>
      </c>
      <c r="FM29" s="128">
        <f t="shared" si="57"/>
        <v>8.1862286649520694E-2</v>
      </c>
      <c r="FN29" s="128">
        <f t="shared" si="58"/>
        <v>7.7970627503337782E-3</v>
      </c>
      <c r="FO29" s="128">
        <f t="shared" si="59"/>
        <v>0.10345930956020905</v>
      </c>
      <c r="FP29" s="128"/>
      <c r="FQ29" s="128">
        <f t="shared" si="74"/>
        <v>0.12838225826097549</v>
      </c>
      <c r="FR29" s="128">
        <f t="shared" si="75"/>
        <v>6.4789687924016279E-2</v>
      </c>
      <c r="FS29" s="128">
        <f t="shared" si="76"/>
        <v>0.20431576072111446</v>
      </c>
      <c r="FT29" s="128">
        <f t="shared" si="77"/>
        <v>3.1724870666483447E-2</v>
      </c>
      <c r="FU29" s="128">
        <f t="shared" si="78"/>
        <v>3.8005124608139249E-2</v>
      </c>
      <c r="FV29" s="128">
        <f t="shared" si="79"/>
        <v>9.028021129411154E-2</v>
      </c>
      <c r="FW29" s="128">
        <f t="shared" si="80"/>
        <v>6.9279589906325323E-2</v>
      </c>
      <c r="FX29" s="128">
        <f t="shared" si="81"/>
        <v>4.960075989195286E-2</v>
      </c>
      <c r="FY29" s="128">
        <f t="shared" si="82"/>
        <v>6.7922887809558075E-2</v>
      </c>
      <c r="FZ29" s="128">
        <f t="shared" si="83"/>
        <v>3.7820576788743641E-2</v>
      </c>
      <c r="GA29" s="128">
        <f t="shared" si="84"/>
        <v>1.6316084139806446E-2</v>
      </c>
      <c r="GB29" s="128">
        <f t="shared" si="85"/>
        <v>4.3041691133294188E-2</v>
      </c>
      <c r="GC29" s="128">
        <f t="shared" si="86"/>
        <v>1.2161990821879574E-2</v>
      </c>
      <c r="GD29" s="128">
        <f t="shared" si="87"/>
        <v>7.3624354390147001E-2</v>
      </c>
      <c r="GE29" s="128">
        <f t="shared" si="88"/>
        <v>0.27488367283631476</v>
      </c>
      <c r="GF29" s="128">
        <f t="shared" si="89"/>
        <v>0.19024491311707362</v>
      </c>
      <c r="GG29" s="128">
        <f t="shared" si="90"/>
        <v>2.4742595078865458E-2</v>
      </c>
      <c r="GH29" s="128">
        <f t="shared" si="91"/>
        <v>9.9498958010020844E-2</v>
      </c>
      <c r="GI29" s="128">
        <f t="shared" si="92"/>
        <v>0.10229795837319711</v>
      </c>
      <c r="GJ29" s="128">
        <f t="shared" si="93"/>
        <v>9.0292643179715235E-2</v>
      </c>
      <c r="GK29" s="128">
        <f t="shared" si="94"/>
        <v>0.15663384427976856</v>
      </c>
      <c r="GL29" s="128">
        <f t="shared" si="95"/>
        <v>1.1940226210370801E-2</v>
      </c>
      <c r="GM29" s="128">
        <f t="shared" si="96"/>
        <v>7.8994733684421045E-2</v>
      </c>
      <c r="GN29" s="128">
        <f t="shared" si="97"/>
        <v>0.1177828291659381</v>
      </c>
      <c r="GO29" s="128">
        <f t="shared" si="98"/>
        <v>0.14023571437883786</v>
      </c>
      <c r="GP29" s="128">
        <f t="shared" si="99"/>
        <v>0.11055477097330994</v>
      </c>
      <c r="GQ29" s="129">
        <f t="shared" si="100"/>
        <v>9.3297427333444483E-2</v>
      </c>
      <c r="GR29" s="129">
        <f t="shared" si="101"/>
        <v>7.2401447109058908E-2</v>
      </c>
    </row>
    <row r="30" spans="1:200" x14ac:dyDescent="0.25">
      <c r="A30" s="42">
        <v>189</v>
      </c>
      <c r="B30" s="81">
        <v>61</v>
      </c>
      <c r="C30" s="81">
        <v>191</v>
      </c>
      <c r="D30" s="81">
        <v>217</v>
      </c>
      <c r="E30" s="81">
        <v>5</v>
      </c>
      <c r="F30" s="81">
        <v>3</v>
      </c>
      <c r="G30" s="81">
        <v>26</v>
      </c>
      <c r="H30" s="81">
        <v>31</v>
      </c>
      <c r="I30" s="81">
        <v>4</v>
      </c>
      <c r="J30" s="81">
        <v>182</v>
      </c>
      <c r="K30" s="81"/>
      <c r="L30" s="81">
        <v>410</v>
      </c>
      <c r="M30" s="81">
        <v>1026</v>
      </c>
      <c r="N30" s="81">
        <v>108</v>
      </c>
      <c r="O30" s="81">
        <v>25</v>
      </c>
      <c r="P30" s="81">
        <v>602</v>
      </c>
      <c r="Q30" s="81">
        <v>717</v>
      </c>
      <c r="R30" s="81">
        <v>508</v>
      </c>
      <c r="S30" s="81">
        <v>5</v>
      </c>
      <c r="T30" s="81">
        <v>554</v>
      </c>
      <c r="V30" s="81">
        <v>240</v>
      </c>
      <c r="W30" s="81">
        <v>22</v>
      </c>
      <c r="X30" s="81">
        <v>31</v>
      </c>
      <c r="Y30" s="81">
        <v>280</v>
      </c>
      <c r="Z30" s="81">
        <v>41</v>
      </c>
      <c r="AA30" s="81">
        <v>1461</v>
      </c>
      <c r="AB30" s="81">
        <v>274</v>
      </c>
      <c r="AC30" s="81">
        <v>2800</v>
      </c>
      <c r="AD30" s="81">
        <v>1791</v>
      </c>
      <c r="AE30" s="81">
        <v>227</v>
      </c>
      <c r="AF30" s="84">
        <v>23</v>
      </c>
      <c r="AG30" s="84">
        <v>976</v>
      </c>
      <c r="AH30" s="84">
        <v>22</v>
      </c>
      <c r="AI30" s="83">
        <v>356</v>
      </c>
      <c r="AJ30" s="83">
        <v>138</v>
      </c>
      <c r="AK30" s="83">
        <v>246</v>
      </c>
      <c r="AL30" s="81">
        <v>6</v>
      </c>
      <c r="AM30" s="90">
        <v>7</v>
      </c>
      <c r="AN30" s="90">
        <v>267</v>
      </c>
      <c r="AO30" s="90">
        <v>1335</v>
      </c>
      <c r="AP30" s="81">
        <v>256</v>
      </c>
      <c r="AQ30" s="81">
        <v>65</v>
      </c>
      <c r="AR30" s="81">
        <v>642</v>
      </c>
      <c r="AS30" s="81">
        <v>606</v>
      </c>
      <c r="AT30" s="81">
        <v>3328</v>
      </c>
      <c r="AU30" s="81">
        <v>225</v>
      </c>
      <c r="AV30" s="71">
        <f t="shared" si="113"/>
        <v>673.7</v>
      </c>
      <c r="AW30" s="71">
        <f t="shared" si="102"/>
        <v>9109.3932539682555</v>
      </c>
      <c r="AY30" s="42">
        <v>189</v>
      </c>
      <c r="AZ30" s="48">
        <f t="shared" si="154"/>
        <v>2.6589948127806111E-3</v>
      </c>
      <c r="BA30" s="48">
        <f t="shared" si="1"/>
        <v>9.9749321077919357E-3</v>
      </c>
      <c r="BB30" s="48">
        <f t="shared" si="2"/>
        <v>9.4855094636534503E-3</v>
      </c>
      <c r="BC30" s="48">
        <f t="shared" si="3"/>
        <v>1.1627906976744186E-2</v>
      </c>
      <c r="BD30" s="48">
        <f t="shared" si="4"/>
        <v>1.1881188118811881E-3</v>
      </c>
      <c r="BE30" s="48">
        <f t="shared" si="5"/>
        <v>2.2549869904596705E-3</v>
      </c>
      <c r="BF30" s="48">
        <f t="shared" si="6"/>
        <v>2.905614396850689E-3</v>
      </c>
      <c r="BG30" s="48">
        <f t="shared" si="7"/>
        <v>4.2489908646696408E-4</v>
      </c>
      <c r="BH30" s="48">
        <f t="shared" si="8"/>
        <v>1.4010777521170132E-2</v>
      </c>
      <c r="BI30" s="48">
        <f t="shared" si="9"/>
        <v>0</v>
      </c>
      <c r="BJ30" s="48">
        <f t="shared" si="10"/>
        <v>1.4301161533363563E-2</v>
      </c>
      <c r="BK30" s="48">
        <f t="shared" si="11"/>
        <v>1.4148406580525946E-2</v>
      </c>
      <c r="BL30" s="48">
        <f t="shared" si="12"/>
        <v>2.3979218011057086E-3</v>
      </c>
      <c r="BM30" s="48">
        <f t="shared" si="13"/>
        <v>2.4435539047991399E-3</v>
      </c>
      <c r="BN30" s="48">
        <f t="shared" si="14"/>
        <v>2.4365564414943135E-2</v>
      </c>
      <c r="BO30" s="48">
        <f t="shared" si="15"/>
        <v>1.8283353733170134E-2</v>
      </c>
      <c r="BP30" s="48">
        <f t="shared" si="16"/>
        <v>1.4846855272387187E-2</v>
      </c>
      <c r="BQ30" s="48">
        <f t="shared" si="17"/>
        <v>2.6702269692923899E-4</v>
      </c>
      <c r="BR30" s="48">
        <f t="shared" si="18"/>
        <v>1.9696377146514024E-2</v>
      </c>
      <c r="BS30" s="48"/>
      <c r="BT30" s="48">
        <f t="shared" si="19"/>
        <v>4.1761645408829109E-3</v>
      </c>
      <c r="BU30" s="48">
        <f t="shared" si="20"/>
        <v>7.462686567164179E-3</v>
      </c>
      <c r="BV30" s="48">
        <f t="shared" si="21"/>
        <v>8.4676317945916423E-3</v>
      </c>
      <c r="BW30" s="48">
        <f t="shared" si="22"/>
        <v>1.1703509600283749E-2</v>
      </c>
      <c r="BX30" s="48">
        <f t="shared" si="23"/>
        <v>5.8689646287522009E-4</v>
      </c>
      <c r="BY30" s="48">
        <f t="shared" si="24"/>
        <v>1.8961959272670637E-2</v>
      </c>
      <c r="BZ30" s="48">
        <f t="shared" si="25"/>
        <v>4.1802703444908922E-3</v>
      </c>
      <c r="CA30" s="48">
        <f t="shared" si="26"/>
        <v>2.7704394114795135E-2</v>
      </c>
      <c r="CB30" s="48">
        <f t="shared" si="27"/>
        <v>2.6848354020507285E-2</v>
      </c>
      <c r="CC30" s="48">
        <f t="shared" si="28"/>
        <v>2.2652429897215845E-2</v>
      </c>
      <c r="CD30" s="48">
        <f t="shared" si="29"/>
        <v>1.83955850595857E-3</v>
      </c>
      <c r="CE30" s="48">
        <f t="shared" si="30"/>
        <v>5.7310628302994715E-2</v>
      </c>
      <c r="CF30" s="48">
        <f t="shared" si="31"/>
        <v>9.765102119757322E-4</v>
      </c>
      <c r="CG30" s="48">
        <f t="shared" si="32"/>
        <v>8.839888756456098E-3</v>
      </c>
      <c r="CH30" s="48">
        <f t="shared" si="33"/>
        <v>2.8538930824113327E-3</v>
      </c>
      <c r="CI30" s="48">
        <f t="shared" si="34"/>
        <v>1.2624831029619667E-2</v>
      </c>
      <c r="CJ30" s="48">
        <f t="shared" si="35"/>
        <v>4.4315095663639625E-4</v>
      </c>
      <c r="CK30" s="48">
        <f t="shared" si="36"/>
        <v>3.103799937924001E-4</v>
      </c>
      <c r="CL30" s="48">
        <f t="shared" si="37"/>
        <v>4.8197555824322615E-3</v>
      </c>
      <c r="CM30" s="48">
        <f t="shared" si="61"/>
        <v>1.8436934635197282E-2</v>
      </c>
      <c r="CN30" s="48">
        <f t="shared" si="62"/>
        <v>4.3312015700605689E-3</v>
      </c>
      <c r="CO30" s="48">
        <f t="shared" si="63"/>
        <v>1.5742691758095376E-3</v>
      </c>
      <c r="CP30" s="48">
        <f t="shared" si="64"/>
        <v>1.0699286714219053E-2</v>
      </c>
      <c r="CQ30" s="48">
        <f t="shared" si="112"/>
        <v>7.064172058052107E-3</v>
      </c>
      <c r="CR30" s="48">
        <f t="shared" si="65"/>
        <v>2.169406672489994E-2</v>
      </c>
      <c r="CS30" s="48">
        <f t="shared" si="66"/>
        <v>1.0698848803868703E-3</v>
      </c>
      <c r="CT30" s="68">
        <f t="shared" si="67"/>
        <v>0.10034173756259314</v>
      </c>
      <c r="CU30" s="68">
        <f t="shared" si="68"/>
        <v>8.2625040345325904E-2</v>
      </c>
      <c r="CW30" s="42">
        <v>189</v>
      </c>
      <c r="CX30" s="58">
        <f t="shared" si="128"/>
        <v>1806</v>
      </c>
      <c r="CY30" s="58">
        <f t="shared" si="129"/>
        <v>1326</v>
      </c>
      <c r="CZ30" s="58">
        <f t="shared" si="130"/>
        <v>2381</v>
      </c>
      <c r="DA30" s="58">
        <f t="shared" si="131"/>
        <v>89</v>
      </c>
      <c r="DB30" s="58">
        <f t="shared" si="132"/>
        <v>151</v>
      </c>
      <c r="DC30" s="58">
        <f t="shared" si="133"/>
        <v>426</v>
      </c>
      <c r="DD30" s="58">
        <f t="shared" si="134"/>
        <v>42</v>
      </c>
      <c r="DE30" s="58">
        <f t="shared" si="135"/>
        <v>26</v>
      </c>
      <c r="DF30" s="58">
        <f t="shared" si="136"/>
        <v>315</v>
      </c>
      <c r="DG30" s="58">
        <f t="shared" si="137"/>
        <v>0</v>
      </c>
      <c r="DH30" s="58">
        <f t="shared" si="138"/>
        <v>1525</v>
      </c>
      <c r="DI30" s="58">
        <f t="shared" si="139"/>
        <v>4309</v>
      </c>
      <c r="DJ30" s="58">
        <f t="shared" si="140"/>
        <v>2225</v>
      </c>
      <c r="DK30" s="58">
        <f t="shared" si="141"/>
        <v>152</v>
      </c>
      <c r="DL30" s="58">
        <f t="shared" si="142"/>
        <v>3241</v>
      </c>
      <c r="DM30" s="58">
        <f t="shared" si="143"/>
        <v>4351</v>
      </c>
      <c r="DN30" s="58">
        <f t="shared" si="144"/>
        <v>3309</v>
      </c>
      <c r="DO30" s="58">
        <f t="shared" si="145"/>
        <v>151</v>
      </c>
      <c r="DP30" s="58">
        <f t="shared" si="146"/>
        <v>3464</v>
      </c>
      <c r="DQ30" s="58"/>
      <c r="DR30" s="58">
        <f t="shared" si="147"/>
        <v>7618</v>
      </c>
      <c r="DS30" s="58">
        <f t="shared" si="148"/>
        <v>213</v>
      </c>
      <c r="DT30" s="58">
        <f t="shared" si="149"/>
        <v>779</v>
      </c>
      <c r="DU30" s="58">
        <f t="shared" si="150"/>
        <v>1039</v>
      </c>
      <c r="DV30" s="58">
        <f t="shared" si="151"/>
        <v>2696</v>
      </c>
      <c r="DW30" s="58">
        <f t="shared" si="152"/>
        <v>8417</v>
      </c>
      <c r="DX30" s="58">
        <f t="shared" si="153"/>
        <v>4815</v>
      </c>
      <c r="DY30" s="58">
        <f t="shared" si="115"/>
        <v>7813</v>
      </c>
      <c r="DZ30" s="58">
        <f t="shared" si="116"/>
        <v>6322</v>
      </c>
      <c r="EA30" s="58">
        <f t="shared" si="117"/>
        <v>606</v>
      </c>
      <c r="EB30" s="58">
        <f t="shared" si="118"/>
        <v>227</v>
      </c>
      <c r="EC30" s="58">
        <f t="shared" si="119"/>
        <v>1709</v>
      </c>
      <c r="ED30" s="58">
        <f t="shared" si="120"/>
        <v>296</v>
      </c>
      <c r="EE30" s="58">
        <f t="shared" si="121"/>
        <v>3321</v>
      </c>
      <c r="EF30" s="58">
        <f t="shared" si="122"/>
        <v>13430</v>
      </c>
      <c r="EG30" s="58">
        <f t="shared" si="123"/>
        <v>3953</v>
      </c>
      <c r="EH30" s="58">
        <f t="shared" si="124"/>
        <v>341</v>
      </c>
      <c r="EI30" s="58">
        <f t="shared" si="125"/>
        <v>2251</v>
      </c>
      <c r="EJ30" s="58">
        <f t="shared" si="126"/>
        <v>5934</v>
      </c>
      <c r="EK30" s="58">
        <f t="shared" si="127"/>
        <v>7873</v>
      </c>
      <c r="EL30" s="58">
        <f t="shared" si="105"/>
        <v>9514</v>
      </c>
      <c r="EM30" s="58">
        <f t="shared" si="106"/>
        <v>558</v>
      </c>
      <c r="EN30" s="58">
        <f t="shared" si="107"/>
        <v>5382</v>
      </c>
      <c r="EO30" s="58">
        <f t="shared" si="108"/>
        <v>10710</v>
      </c>
      <c r="EP30" s="58">
        <f t="shared" si="109"/>
        <v>24841</v>
      </c>
      <c r="EQ30" s="58">
        <f t="shared" si="110"/>
        <v>23475</v>
      </c>
      <c r="ER30" s="67">
        <f t="shared" si="72"/>
        <v>9087.9</v>
      </c>
      <c r="ES30" s="67">
        <f t="shared" si="73"/>
        <v>4337.0731707317073</v>
      </c>
      <c r="EV30" s="42">
        <v>189</v>
      </c>
      <c r="EW30" s="128">
        <f t="shared" si="41"/>
        <v>7.8723682489865304E-2</v>
      </c>
      <c r="EX30" s="128">
        <f t="shared" si="42"/>
        <v>6.9250052224775427E-2</v>
      </c>
      <c r="EY30" s="128">
        <f t="shared" si="43"/>
        <v>0.1040783319491192</v>
      </c>
      <c r="EZ30" s="128">
        <f t="shared" si="44"/>
        <v>0.2069767441860465</v>
      </c>
      <c r="FA30" s="128">
        <f t="shared" si="45"/>
        <v>5.98019801980198E-2</v>
      </c>
      <c r="FB30" s="128">
        <f t="shared" si="46"/>
        <v>3.6947094535993062E-2</v>
      </c>
      <c r="FC30" s="128">
        <f t="shared" si="47"/>
        <v>3.9366388602493207E-3</v>
      </c>
      <c r="FD30" s="128">
        <f t="shared" si="48"/>
        <v>2.7618440620352665E-3</v>
      </c>
      <c r="FE30" s="128">
        <f t="shared" si="49"/>
        <v>2.4249422632794459E-2</v>
      </c>
      <c r="FF30" s="128">
        <f t="shared" si="50"/>
        <v>0</v>
      </c>
      <c r="FG30" s="128">
        <f t="shared" si="51"/>
        <v>5.3193344727754714E-2</v>
      </c>
      <c r="FH30" s="128">
        <f t="shared" si="52"/>
        <v>5.9420549664216664E-2</v>
      </c>
      <c r="FI30" s="128">
        <f t="shared" si="53"/>
        <v>4.9401629698705568E-2</v>
      </c>
      <c r="FJ30" s="128">
        <f t="shared" si="54"/>
        <v>1.4856807741178771E-2</v>
      </c>
      <c r="FK30" s="128">
        <f t="shared" si="55"/>
        <v>0.13117739911765897</v>
      </c>
      <c r="FL30" s="128">
        <f t="shared" si="56"/>
        <v>0.11094961240310078</v>
      </c>
      <c r="FM30" s="128">
        <f t="shared" si="57"/>
        <v>9.6709141921907882E-2</v>
      </c>
      <c r="FN30" s="128">
        <f t="shared" si="58"/>
        <v>8.0640854472630169E-3</v>
      </c>
      <c r="FO30" s="128">
        <f t="shared" si="59"/>
        <v>0.12315568670672308</v>
      </c>
      <c r="FP30" s="128"/>
      <c r="FQ30" s="128">
        <f t="shared" si="74"/>
        <v>0.13255842280185839</v>
      </c>
      <c r="FR30" s="128">
        <f t="shared" si="75"/>
        <v>7.2252374491180466E-2</v>
      </c>
      <c r="FS30" s="128">
        <f t="shared" si="76"/>
        <v>0.2127833925157061</v>
      </c>
      <c r="FT30" s="128">
        <f t="shared" si="77"/>
        <v>4.3428380266767194E-2</v>
      </c>
      <c r="FU30" s="128">
        <f t="shared" si="78"/>
        <v>3.8592021071014469E-2</v>
      </c>
      <c r="FV30" s="128">
        <f t="shared" si="79"/>
        <v>0.10924217056678218</v>
      </c>
      <c r="FW30" s="128">
        <f t="shared" si="80"/>
        <v>7.3459860250816217E-2</v>
      </c>
      <c r="FX30" s="128">
        <f t="shared" si="81"/>
        <v>7.7305154006747992E-2</v>
      </c>
      <c r="FY30" s="128">
        <f t="shared" si="82"/>
        <v>9.4771241830065356E-2</v>
      </c>
      <c r="FZ30" s="128">
        <f t="shared" si="83"/>
        <v>6.0473006685959486E-2</v>
      </c>
      <c r="GA30" s="128">
        <f t="shared" si="84"/>
        <v>1.8155642645765017E-2</v>
      </c>
      <c r="GB30" s="128">
        <f t="shared" si="85"/>
        <v>0.1003523194362889</v>
      </c>
      <c r="GC30" s="128">
        <f t="shared" si="86"/>
        <v>1.3138501033855306E-2</v>
      </c>
      <c r="GD30" s="128">
        <f t="shared" si="87"/>
        <v>8.2464243146603097E-2</v>
      </c>
      <c r="GE30" s="128">
        <f t="shared" si="88"/>
        <v>0.27773756591872611</v>
      </c>
      <c r="GF30" s="128">
        <f t="shared" si="89"/>
        <v>0.20286974414669326</v>
      </c>
      <c r="GG30" s="128">
        <f t="shared" si="90"/>
        <v>2.5185746035501853E-2</v>
      </c>
      <c r="GH30" s="128">
        <f t="shared" si="91"/>
        <v>9.9809338003813239E-2</v>
      </c>
      <c r="GI30" s="128">
        <f t="shared" si="92"/>
        <v>0.10711771395562937</v>
      </c>
      <c r="GJ30" s="128">
        <f t="shared" si="93"/>
        <v>0.10872957781491251</v>
      </c>
      <c r="GK30" s="128">
        <f t="shared" si="94"/>
        <v>0.16096504584982912</v>
      </c>
      <c r="GL30" s="128">
        <f t="shared" si="95"/>
        <v>1.3514495386180339E-2</v>
      </c>
      <c r="GM30" s="128">
        <f t="shared" si="96"/>
        <v>8.9694020398640092E-2</v>
      </c>
      <c r="GN30" s="128">
        <f t="shared" si="97"/>
        <v>0.12484700122399021</v>
      </c>
      <c r="GO30" s="128">
        <f t="shared" si="98"/>
        <v>0.16192978110373779</v>
      </c>
      <c r="GP30" s="128">
        <f t="shared" si="99"/>
        <v>0.11162465585369681</v>
      </c>
      <c r="GQ30" s="129">
        <f t="shared" si="100"/>
        <v>0.10034173756259313</v>
      </c>
      <c r="GR30" s="129">
        <f t="shared" si="101"/>
        <v>8.2625040345325931E-2</v>
      </c>
    </row>
    <row r="31" spans="1:200" x14ac:dyDescent="0.25">
      <c r="A31" s="42">
        <v>190</v>
      </c>
      <c r="B31" s="81">
        <v>129</v>
      </c>
      <c r="C31" s="81">
        <v>768</v>
      </c>
      <c r="D31" s="81">
        <v>404</v>
      </c>
      <c r="E31" s="81">
        <v>15</v>
      </c>
      <c r="F31" s="81">
        <v>2</v>
      </c>
      <c r="G31" s="81">
        <v>34</v>
      </c>
      <c r="H31" s="81">
        <v>20</v>
      </c>
      <c r="I31" s="81">
        <v>20</v>
      </c>
      <c r="J31" s="81">
        <v>645</v>
      </c>
      <c r="K31" s="81"/>
      <c r="L31" s="81">
        <v>327</v>
      </c>
      <c r="M31" s="81">
        <v>691</v>
      </c>
      <c r="N31" s="81">
        <v>234</v>
      </c>
      <c r="O31" s="81">
        <v>17</v>
      </c>
      <c r="P31" s="81">
        <v>1408</v>
      </c>
      <c r="Q31" s="81">
        <v>207</v>
      </c>
      <c r="R31" s="81">
        <v>591</v>
      </c>
      <c r="S31" s="81">
        <v>29</v>
      </c>
      <c r="T31" s="81">
        <v>315</v>
      </c>
      <c r="V31" s="81">
        <v>242</v>
      </c>
      <c r="W31" s="81">
        <v>13</v>
      </c>
      <c r="X31" s="81">
        <v>41</v>
      </c>
      <c r="Y31" s="81">
        <v>316</v>
      </c>
      <c r="Z31" s="81">
        <v>46</v>
      </c>
      <c r="AA31" s="81">
        <v>1048</v>
      </c>
      <c r="AB31" s="81">
        <v>86</v>
      </c>
      <c r="AC31" s="81">
        <v>307</v>
      </c>
      <c r="AD31" s="81">
        <v>519</v>
      </c>
      <c r="AE31" s="81">
        <v>99</v>
      </c>
      <c r="AF31" s="84">
        <v>412</v>
      </c>
      <c r="AG31" s="84">
        <v>673</v>
      </c>
      <c r="AH31" s="84">
        <v>1</v>
      </c>
      <c r="AI31" s="83">
        <v>38</v>
      </c>
      <c r="AJ31" s="83">
        <v>1026</v>
      </c>
      <c r="AK31" s="83">
        <v>439</v>
      </c>
      <c r="AL31" s="81">
        <v>516</v>
      </c>
      <c r="AM31" s="90">
        <v>563</v>
      </c>
      <c r="AN31" s="90">
        <v>977</v>
      </c>
      <c r="AO31" s="90">
        <v>2473</v>
      </c>
      <c r="AP31" s="81">
        <v>1394</v>
      </c>
      <c r="AQ31" s="81">
        <v>55</v>
      </c>
      <c r="AR31" s="81">
        <v>1774</v>
      </c>
      <c r="AS31" s="81">
        <v>3933</v>
      </c>
      <c r="AT31" s="81">
        <v>3860</v>
      </c>
      <c r="AU31" s="81">
        <v>3215</v>
      </c>
      <c r="AV31" s="71">
        <f t="shared" si="113"/>
        <v>1876</v>
      </c>
      <c r="AW31" s="71">
        <f t="shared" si="102"/>
        <v>10985.393253968256</v>
      </c>
      <c r="AY31" s="42">
        <v>190</v>
      </c>
      <c r="AZ31" s="48">
        <f t="shared" si="154"/>
        <v>5.623120177847522E-3</v>
      </c>
      <c r="BA31" s="48">
        <f t="shared" si="1"/>
        <v>4.0108627532901606E-2</v>
      </c>
      <c r="BB31" s="48">
        <f t="shared" si="2"/>
        <v>1.7659658171963109E-2</v>
      </c>
      <c r="BC31" s="48">
        <f t="shared" si="3"/>
        <v>3.4883720930232558E-2</v>
      </c>
      <c r="BD31" s="48">
        <f t="shared" si="4"/>
        <v>7.9207920792079213E-4</v>
      </c>
      <c r="BE31" s="48">
        <f t="shared" si="5"/>
        <v>2.9488291413703382E-3</v>
      </c>
      <c r="BF31" s="48">
        <f t="shared" si="6"/>
        <v>1.8745899334520573E-3</v>
      </c>
      <c r="BG31" s="48">
        <f t="shared" si="7"/>
        <v>2.1244954323348204E-3</v>
      </c>
      <c r="BH31" s="48">
        <f t="shared" si="8"/>
        <v>4.9653579676674366E-2</v>
      </c>
      <c r="BI31" s="48">
        <f t="shared" si="9"/>
        <v>0</v>
      </c>
      <c r="BJ31" s="48">
        <f t="shared" si="10"/>
        <v>1.1406048344902159E-2</v>
      </c>
      <c r="BK31" s="48">
        <f t="shared" si="11"/>
        <v>9.5288001434146469E-3</v>
      </c>
      <c r="BL31" s="48">
        <f t="shared" si="12"/>
        <v>5.1954972357290347E-3</v>
      </c>
      <c r="BM31" s="48">
        <f t="shared" si="13"/>
        <v>1.661616655263415E-3</v>
      </c>
      <c r="BN31" s="48">
        <f t="shared" si="14"/>
        <v>5.6987898166511515E-2</v>
      </c>
      <c r="BO31" s="48">
        <f t="shared" si="15"/>
        <v>5.2784577723378216E-3</v>
      </c>
      <c r="BP31" s="48">
        <f t="shared" si="16"/>
        <v>1.7272620996025251E-2</v>
      </c>
      <c r="BQ31" s="48">
        <f t="shared" si="17"/>
        <v>1.548731642189586E-3</v>
      </c>
      <c r="BR31" s="48">
        <f t="shared" si="18"/>
        <v>1.1199203612187578E-2</v>
      </c>
      <c r="BS31" s="48"/>
      <c r="BT31" s="48">
        <f t="shared" si="19"/>
        <v>4.2109659120569349E-3</v>
      </c>
      <c r="BU31" s="48">
        <f t="shared" si="20"/>
        <v>4.4097693351424693E-3</v>
      </c>
      <c r="BV31" s="48">
        <f t="shared" si="21"/>
        <v>1.1199125921879268E-2</v>
      </c>
      <c r="BW31" s="48">
        <f t="shared" si="22"/>
        <v>1.3208246548891659E-2</v>
      </c>
      <c r="BX31" s="48">
        <f t="shared" si="23"/>
        <v>6.5846920225024689E-4</v>
      </c>
      <c r="BY31" s="48">
        <f t="shared" si="24"/>
        <v>1.3601733961505016E-2</v>
      </c>
      <c r="BZ31" s="48">
        <f t="shared" si="25"/>
        <v>1.3120556555701339E-3</v>
      </c>
      <c r="CA31" s="48">
        <f t="shared" si="26"/>
        <v>3.0375889261578951E-3</v>
      </c>
      <c r="CB31" s="48">
        <f t="shared" si="27"/>
        <v>7.7801762906997661E-3</v>
      </c>
      <c r="CC31" s="48">
        <f t="shared" si="28"/>
        <v>9.8792535675082324E-3</v>
      </c>
      <c r="CD31" s="48">
        <f t="shared" si="29"/>
        <v>3.2952091498040473E-2</v>
      </c>
      <c r="CE31" s="48">
        <f t="shared" si="30"/>
        <v>3.951849677040517E-2</v>
      </c>
      <c r="CF31" s="48">
        <f t="shared" si="31"/>
        <v>4.4386827817078732E-5</v>
      </c>
      <c r="CG31" s="48">
        <f t="shared" si="32"/>
        <v>9.4358363130711163E-4</v>
      </c>
      <c r="CH31" s="48">
        <f t="shared" si="33"/>
        <v>2.1218074656188603E-2</v>
      </c>
      <c r="CI31" s="48">
        <f t="shared" si="34"/>
        <v>2.2529678138223715E-2</v>
      </c>
      <c r="CJ31" s="48">
        <f t="shared" si="35"/>
        <v>3.8110982270730079E-2</v>
      </c>
      <c r="CK31" s="48">
        <f t="shared" si="36"/>
        <v>2.496341950073161E-2</v>
      </c>
      <c r="CL31" s="48">
        <f t="shared" si="37"/>
        <v>1.7636334097514306E-2</v>
      </c>
      <c r="CM31" s="48">
        <f t="shared" si="61"/>
        <v>3.4153212998384176E-2</v>
      </c>
      <c r="CN31" s="48">
        <f t="shared" si="62"/>
        <v>2.3584746049470442E-2</v>
      </c>
      <c r="CO31" s="48">
        <f t="shared" si="63"/>
        <v>1.3320739179926858E-3</v>
      </c>
      <c r="CP31" s="48">
        <f t="shared" si="64"/>
        <v>2.9564695686954204E-2</v>
      </c>
      <c r="CQ31" s="48">
        <f t="shared" si="112"/>
        <v>4.5847176079734223E-2</v>
      </c>
      <c r="CR31" s="48">
        <f t="shared" si="65"/>
        <v>2.5161988448952451E-2</v>
      </c>
      <c r="CS31" s="48">
        <f t="shared" si="66"/>
        <v>1.5287466179750169E-2</v>
      </c>
      <c r="CT31" s="68">
        <f t="shared" si="67"/>
        <v>0.12590594708561459</v>
      </c>
      <c r="CU31" s="68">
        <f t="shared" si="68"/>
        <v>9.7737680346159359E-2</v>
      </c>
      <c r="CW31" s="42">
        <v>190</v>
      </c>
      <c r="CX31" s="58">
        <f t="shared" si="128"/>
        <v>1935</v>
      </c>
      <c r="CY31" s="58">
        <f t="shared" si="129"/>
        <v>2094</v>
      </c>
      <c r="CZ31" s="58">
        <f t="shared" si="130"/>
        <v>2785</v>
      </c>
      <c r="DA31" s="58">
        <f t="shared" si="131"/>
        <v>104</v>
      </c>
      <c r="DB31" s="58">
        <f t="shared" si="132"/>
        <v>153</v>
      </c>
      <c r="DC31" s="58">
        <f t="shared" si="133"/>
        <v>460</v>
      </c>
      <c r="DD31" s="58">
        <f t="shared" si="134"/>
        <v>62</v>
      </c>
      <c r="DE31" s="58">
        <f t="shared" si="135"/>
        <v>46</v>
      </c>
      <c r="DF31" s="58">
        <f t="shared" si="136"/>
        <v>960</v>
      </c>
      <c r="DG31" s="58">
        <f t="shared" si="137"/>
        <v>0</v>
      </c>
      <c r="DH31" s="58">
        <f t="shared" si="138"/>
        <v>1852</v>
      </c>
      <c r="DI31" s="58">
        <f t="shared" si="139"/>
        <v>5000</v>
      </c>
      <c r="DJ31" s="58">
        <f t="shared" si="140"/>
        <v>2459</v>
      </c>
      <c r="DK31" s="58">
        <f t="shared" si="141"/>
        <v>169</v>
      </c>
      <c r="DL31" s="58">
        <f t="shared" si="142"/>
        <v>4649</v>
      </c>
      <c r="DM31" s="58">
        <f t="shared" si="143"/>
        <v>4558</v>
      </c>
      <c r="DN31" s="58">
        <f t="shared" si="144"/>
        <v>3900</v>
      </c>
      <c r="DO31" s="58">
        <f t="shared" si="145"/>
        <v>180</v>
      </c>
      <c r="DP31" s="58">
        <f t="shared" si="146"/>
        <v>3779</v>
      </c>
      <c r="DQ31" s="58"/>
      <c r="DR31" s="58">
        <f t="shared" si="147"/>
        <v>7860</v>
      </c>
      <c r="DS31" s="58">
        <f t="shared" si="148"/>
        <v>226</v>
      </c>
      <c r="DT31" s="58">
        <f t="shared" si="149"/>
        <v>820</v>
      </c>
      <c r="DU31" s="58">
        <f t="shared" si="150"/>
        <v>1355</v>
      </c>
      <c r="DV31" s="58">
        <f t="shared" si="151"/>
        <v>2742</v>
      </c>
      <c r="DW31" s="58">
        <f t="shared" si="152"/>
        <v>9465</v>
      </c>
      <c r="DX31" s="58">
        <f t="shared" si="153"/>
        <v>4901</v>
      </c>
      <c r="DY31" s="58">
        <f t="shared" si="115"/>
        <v>8120</v>
      </c>
      <c r="DZ31" s="58">
        <f t="shared" si="116"/>
        <v>6841</v>
      </c>
      <c r="EA31" s="58">
        <f t="shared" si="117"/>
        <v>705</v>
      </c>
      <c r="EB31" s="58">
        <f t="shared" si="118"/>
        <v>639</v>
      </c>
      <c r="EC31" s="58">
        <f t="shared" si="119"/>
        <v>2382</v>
      </c>
      <c r="ED31" s="58">
        <f t="shared" si="120"/>
        <v>297</v>
      </c>
      <c r="EE31" s="58">
        <f t="shared" si="121"/>
        <v>3359</v>
      </c>
      <c r="EF31" s="58">
        <f t="shared" si="122"/>
        <v>14456</v>
      </c>
      <c r="EG31" s="58">
        <f t="shared" si="123"/>
        <v>4392</v>
      </c>
      <c r="EH31" s="58">
        <f t="shared" si="124"/>
        <v>857</v>
      </c>
      <c r="EI31" s="58">
        <f t="shared" si="125"/>
        <v>2814</v>
      </c>
      <c r="EJ31" s="58">
        <f t="shared" si="126"/>
        <v>6911</v>
      </c>
      <c r="EK31" s="58">
        <f t="shared" si="127"/>
        <v>10346</v>
      </c>
      <c r="EL31" s="58">
        <f t="shared" si="105"/>
        <v>10908</v>
      </c>
      <c r="EM31" s="58">
        <f t="shared" si="106"/>
        <v>613</v>
      </c>
      <c r="EN31" s="58">
        <f t="shared" si="107"/>
        <v>7156</v>
      </c>
      <c r="EO31" s="58">
        <f t="shared" si="108"/>
        <v>14643</v>
      </c>
      <c r="EP31" s="58">
        <f t="shared" si="109"/>
        <v>28701</v>
      </c>
      <c r="EQ31" s="58">
        <f t="shared" si="110"/>
        <v>26690</v>
      </c>
      <c r="ER31" s="67">
        <f t="shared" si="72"/>
        <v>10963.9</v>
      </c>
      <c r="ES31" s="67">
        <f t="shared" si="73"/>
        <v>5034.7804878048782</v>
      </c>
      <c r="EV31" s="42">
        <v>190</v>
      </c>
      <c r="EW31" s="128">
        <f t="shared" si="41"/>
        <v>8.4346802667712828E-2</v>
      </c>
      <c r="EX31" s="128">
        <f t="shared" si="42"/>
        <v>0.10935867975767705</v>
      </c>
      <c r="EY31" s="128">
        <f t="shared" si="43"/>
        <v>0.12173799012108232</v>
      </c>
      <c r="EZ31" s="128">
        <f t="shared" si="44"/>
        <v>0.24186046511627907</v>
      </c>
      <c r="FA31" s="128">
        <f t="shared" si="45"/>
        <v>6.0594059405940592E-2</v>
      </c>
      <c r="FB31" s="128">
        <f t="shared" si="46"/>
        <v>3.9895923677363401E-2</v>
      </c>
      <c r="FC31" s="128">
        <f t="shared" si="47"/>
        <v>5.8112287937013779E-3</v>
      </c>
      <c r="FD31" s="128">
        <f t="shared" si="48"/>
        <v>4.8863394943700874E-3</v>
      </c>
      <c r="FE31" s="128">
        <f t="shared" si="49"/>
        <v>7.3903002309468821E-2</v>
      </c>
      <c r="FF31" s="128">
        <f t="shared" si="50"/>
        <v>0</v>
      </c>
      <c r="FG31" s="128">
        <f t="shared" si="51"/>
        <v>6.4599393072656872E-2</v>
      </c>
      <c r="FH31" s="128">
        <f t="shared" si="52"/>
        <v>6.8949349807631316E-2</v>
      </c>
      <c r="FI31" s="128">
        <f t="shared" si="53"/>
        <v>5.4597126934434602E-2</v>
      </c>
      <c r="FJ31" s="128">
        <f t="shared" si="54"/>
        <v>1.6518424396442185E-2</v>
      </c>
      <c r="FK31" s="128">
        <f t="shared" si="55"/>
        <v>0.18816529728417047</v>
      </c>
      <c r="FL31" s="128">
        <f t="shared" si="56"/>
        <v>0.1162280701754386</v>
      </c>
      <c r="FM31" s="128">
        <f t="shared" si="57"/>
        <v>0.11398176291793313</v>
      </c>
      <c r="FN31" s="128">
        <f t="shared" si="58"/>
        <v>9.6128170894526042E-3</v>
      </c>
      <c r="FO31" s="128">
        <f t="shared" si="59"/>
        <v>0.13435489031891065</v>
      </c>
      <c r="FP31" s="128"/>
      <c r="FQ31" s="128">
        <f t="shared" si="74"/>
        <v>0.13676938871391534</v>
      </c>
      <c r="FR31" s="128">
        <f t="shared" si="75"/>
        <v>7.6662143826322929E-2</v>
      </c>
      <c r="FS31" s="128">
        <f t="shared" si="76"/>
        <v>0.22398251843758535</v>
      </c>
      <c r="FT31" s="128">
        <f t="shared" si="77"/>
        <v>5.6636626815658855E-2</v>
      </c>
      <c r="FU31" s="128">
        <f t="shared" si="78"/>
        <v>3.9250490273264722E-2</v>
      </c>
      <c r="FV31" s="128">
        <f t="shared" si="79"/>
        <v>0.1228439045282872</v>
      </c>
      <c r="FW31" s="128">
        <f t="shared" si="80"/>
        <v>7.4771915906386349E-2</v>
      </c>
      <c r="FX31" s="128">
        <f t="shared" si="81"/>
        <v>8.03427429329059E-2</v>
      </c>
      <c r="FY31" s="128">
        <f t="shared" si="82"/>
        <v>0.10255141812076513</v>
      </c>
      <c r="FZ31" s="128">
        <f t="shared" si="83"/>
        <v>7.0352260253467719E-2</v>
      </c>
      <c r="GA31" s="128">
        <f t="shared" si="84"/>
        <v>5.1107734143805483E-2</v>
      </c>
      <c r="GB31" s="128">
        <f t="shared" si="85"/>
        <v>0.13987081620669406</v>
      </c>
      <c r="GC31" s="128">
        <f t="shared" si="86"/>
        <v>1.3182887861672384E-2</v>
      </c>
      <c r="GD31" s="128">
        <f t="shared" si="87"/>
        <v>8.3407826777910213E-2</v>
      </c>
      <c r="GE31" s="128">
        <f t="shared" si="88"/>
        <v>0.29895564057491469</v>
      </c>
      <c r="GF31" s="128">
        <f t="shared" si="89"/>
        <v>0.22539942228491699</v>
      </c>
      <c r="GG31" s="128">
        <f t="shared" si="90"/>
        <v>6.3296728306231925E-2</v>
      </c>
      <c r="GH31" s="128">
        <f t="shared" si="91"/>
        <v>0.12477275750454485</v>
      </c>
      <c r="GI31" s="128">
        <f t="shared" si="92"/>
        <v>0.12475404805314368</v>
      </c>
      <c r="GJ31" s="128">
        <f t="shared" si="93"/>
        <v>0.14288279081329669</v>
      </c>
      <c r="GK31" s="128">
        <f t="shared" si="94"/>
        <v>0.18454979189929957</v>
      </c>
      <c r="GL31" s="128">
        <f t="shared" si="95"/>
        <v>1.4846569304173024E-2</v>
      </c>
      <c r="GM31" s="128">
        <f t="shared" si="96"/>
        <v>0.1192587160855943</v>
      </c>
      <c r="GN31" s="128">
        <f t="shared" si="97"/>
        <v>0.17069417730372444</v>
      </c>
      <c r="GO31" s="128">
        <f t="shared" si="98"/>
        <v>0.18709176955269025</v>
      </c>
      <c r="GP31" s="128">
        <f t="shared" si="99"/>
        <v>0.12691212203344698</v>
      </c>
      <c r="GQ31" s="129">
        <f t="shared" si="100"/>
        <v>0.12590594708561459</v>
      </c>
      <c r="GR31" s="129">
        <f t="shared" si="101"/>
        <v>9.7737680346159372E-2</v>
      </c>
    </row>
    <row r="32" spans="1:200" x14ac:dyDescent="0.25">
      <c r="A32" s="42">
        <v>191</v>
      </c>
      <c r="B32" s="81">
        <v>366</v>
      </c>
      <c r="C32" s="81">
        <v>361</v>
      </c>
      <c r="D32" s="81">
        <v>1289</v>
      </c>
      <c r="E32" s="81">
        <v>7</v>
      </c>
      <c r="F32" s="81">
        <v>12</v>
      </c>
      <c r="G32" s="81">
        <v>71</v>
      </c>
      <c r="H32" s="81">
        <v>3</v>
      </c>
      <c r="I32" s="81">
        <v>473</v>
      </c>
      <c r="J32" s="81">
        <v>256</v>
      </c>
      <c r="K32" s="81"/>
      <c r="L32" s="81">
        <v>52</v>
      </c>
      <c r="M32" s="81">
        <v>921</v>
      </c>
      <c r="N32" s="81">
        <v>485</v>
      </c>
      <c r="O32" s="81">
        <v>10</v>
      </c>
      <c r="P32" s="81">
        <v>246</v>
      </c>
      <c r="Q32" s="81">
        <v>218</v>
      </c>
      <c r="R32" s="81">
        <v>565</v>
      </c>
      <c r="S32" s="81">
        <v>1165</v>
      </c>
      <c r="T32" s="81">
        <v>1072</v>
      </c>
      <c r="V32" s="81">
        <v>133</v>
      </c>
      <c r="W32" s="81">
        <v>4</v>
      </c>
      <c r="X32" s="81">
        <v>123</v>
      </c>
      <c r="Y32" s="81">
        <v>80</v>
      </c>
      <c r="Z32" s="81">
        <v>911</v>
      </c>
      <c r="AA32" s="81">
        <v>269</v>
      </c>
      <c r="AB32" s="81">
        <v>150</v>
      </c>
      <c r="AC32" s="81">
        <v>633</v>
      </c>
      <c r="AD32" s="81">
        <v>702</v>
      </c>
      <c r="AE32" s="81">
        <v>138</v>
      </c>
      <c r="AF32" s="84">
        <v>332</v>
      </c>
      <c r="AG32" s="84">
        <v>300</v>
      </c>
      <c r="AH32" s="84">
        <v>34</v>
      </c>
      <c r="AI32" s="83">
        <v>122</v>
      </c>
      <c r="AJ32" s="83">
        <v>279</v>
      </c>
      <c r="AK32" s="83">
        <v>120</v>
      </c>
      <c r="AL32" s="81">
        <v>398</v>
      </c>
      <c r="AM32" s="90">
        <v>1150</v>
      </c>
      <c r="AN32" s="90">
        <v>392</v>
      </c>
      <c r="AO32" s="90">
        <v>10</v>
      </c>
      <c r="AP32" s="81">
        <v>838</v>
      </c>
      <c r="AQ32" s="81">
        <v>63</v>
      </c>
      <c r="AR32" s="81">
        <v>446</v>
      </c>
      <c r="AS32" s="81">
        <v>31</v>
      </c>
      <c r="AT32" s="81">
        <v>1813</v>
      </c>
      <c r="AU32" s="81">
        <v>3713</v>
      </c>
      <c r="AV32" s="71">
        <f t="shared" si="113"/>
        <v>885.4</v>
      </c>
      <c r="AW32" s="71">
        <f t="shared" si="102"/>
        <v>11870.793253968255</v>
      </c>
      <c r="AY32" s="42">
        <v>191</v>
      </c>
      <c r="AZ32" s="48">
        <f t="shared" si="154"/>
        <v>1.5953968876683666E-2</v>
      </c>
      <c r="BA32" s="48">
        <f t="shared" si="1"/>
        <v>1.8853143931481093E-2</v>
      </c>
      <c r="BB32" s="48">
        <f t="shared" si="2"/>
        <v>5.6344800454605062E-2</v>
      </c>
      <c r="BC32" s="48">
        <f t="shared" si="3"/>
        <v>1.627906976744186E-2</v>
      </c>
      <c r="BD32" s="48">
        <f t="shared" si="4"/>
        <v>4.7524752475247524E-3</v>
      </c>
      <c r="BE32" s="48">
        <f t="shared" si="5"/>
        <v>6.157849089332177E-3</v>
      </c>
      <c r="BF32" s="48">
        <f t="shared" si="6"/>
        <v>2.8118849001780859E-4</v>
      </c>
      <c r="BG32" s="48">
        <f t="shared" si="7"/>
        <v>5.0244316974718504E-2</v>
      </c>
      <c r="BH32" s="48">
        <f t="shared" si="8"/>
        <v>1.970746728252502E-2</v>
      </c>
      <c r="BI32" s="48">
        <f t="shared" si="9"/>
        <v>0</v>
      </c>
      <c r="BJ32" s="48">
        <f t="shared" si="10"/>
        <v>1.8138058530119642E-3</v>
      </c>
      <c r="BK32" s="48">
        <f t="shared" si="11"/>
        <v>1.2700470234565688E-2</v>
      </c>
      <c r="BL32" s="48">
        <f t="shared" si="12"/>
        <v>1.076844512533582E-2</v>
      </c>
      <c r="BM32" s="48">
        <f t="shared" si="13"/>
        <v>9.7742156191965601E-4</v>
      </c>
      <c r="BN32" s="48">
        <f t="shared" si="14"/>
        <v>9.9566924353422116E-3</v>
      </c>
      <c r="BO32" s="48">
        <f t="shared" si="15"/>
        <v>5.5589555283557732E-3</v>
      </c>
      <c r="BP32" s="48">
        <f t="shared" si="16"/>
        <v>1.6512742576572363E-2</v>
      </c>
      <c r="BQ32" s="48">
        <f t="shared" si="17"/>
        <v>6.221628838451268E-2</v>
      </c>
      <c r="BR32" s="48">
        <f t="shared" si="18"/>
        <v>3.8112845308778044E-2</v>
      </c>
      <c r="BS32" s="48"/>
      <c r="BT32" s="48">
        <f t="shared" si="19"/>
        <v>2.3142911830726131E-3</v>
      </c>
      <c r="BU32" s="48">
        <f t="shared" si="20"/>
        <v>1.3568521031207597E-3</v>
      </c>
      <c r="BV32" s="48">
        <f t="shared" si="21"/>
        <v>3.3597377765637801E-2</v>
      </c>
      <c r="BW32" s="48">
        <f t="shared" si="22"/>
        <v>3.343859885795357E-3</v>
      </c>
      <c r="BX32" s="48">
        <f t="shared" si="23"/>
        <v>1.3040553114129889E-2</v>
      </c>
      <c r="BY32" s="48">
        <f t="shared" si="24"/>
        <v>3.4912847668366882E-3</v>
      </c>
      <c r="BZ32" s="48">
        <f t="shared" si="25"/>
        <v>2.2884691666920942E-3</v>
      </c>
      <c r="CA32" s="48">
        <f t="shared" si="26"/>
        <v>6.2631719552376144E-3</v>
      </c>
      <c r="CB32" s="48">
        <f t="shared" si="27"/>
        <v>1.0523475445223961E-2</v>
      </c>
      <c r="CC32" s="48">
        <f t="shared" si="28"/>
        <v>1.3771080730466021E-2</v>
      </c>
      <c r="CD32" s="48">
        <f t="shared" si="29"/>
        <v>2.6553627129488923E-2</v>
      </c>
      <c r="CE32" s="48">
        <f t="shared" si="30"/>
        <v>1.7615971814445096E-2</v>
      </c>
      <c r="CF32" s="48">
        <f t="shared" si="31"/>
        <v>1.509152145780677E-3</v>
      </c>
      <c r="CG32" s="48">
        <f t="shared" si="32"/>
        <v>3.0294000794596743E-3</v>
      </c>
      <c r="CH32" s="48">
        <f t="shared" si="33"/>
        <v>5.7698273187881295E-3</v>
      </c>
      <c r="CI32" s="48">
        <f t="shared" si="34"/>
        <v>6.1584541607900816E-3</v>
      </c>
      <c r="CJ32" s="48">
        <f t="shared" si="35"/>
        <v>2.9395680123547617E-2</v>
      </c>
      <c r="CK32" s="48">
        <f t="shared" si="36"/>
        <v>5.0990998980180023E-2</v>
      </c>
      <c r="CL32" s="48">
        <f t="shared" si="37"/>
        <v>7.0761954618481148E-3</v>
      </c>
      <c r="CM32" s="48">
        <f t="shared" si="61"/>
        <v>1.3810437928986729E-4</v>
      </c>
      <c r="CN32" s="48">
        <f t="shared" si="62"/>
        <v>1.4177917639495144E-2</v>
      </c>
      <c r="CO32" s="48">
        <f t="shared" si="63"/>
        <v>1.5258301242461673E-3</v>
      </c>
      <c r="CP32" s="48">
        <f t="shared" si="64"/>
        <v>7.4328378108126127E-3</v>
      </c>
      <c r="CQ32" s="48">
        <f t="shared" si="112"/>
        <v>3.6136853762312759E-4</v>
      </c>
      <c r="CR32" s="48">
        <f t="shared" si="65"/>
        <v>1.1818312191178963E-2</v>
      </c>
      <c r="CS32" s="48">
        <f t="shared" si="66"/>
        <v>1.7655478048339775E-2</v>
      </c>
      <c r="CT32" s="68">
        <f t="shared" si="67"/>
        <v>0.13996321941527073</v>
      </c>
      <c r="CU32" s="68">
        <f t="shared" si="68"/>
        <v>0.11068793732552618</v>
      </c>
      <c r="CW32" s="42">
        <v>191</v>
      </c>
      <c r="CX32" s="58">
        <f t="shared" si="128"/>
        <v>2301</v>
      </c>
      <c r="CY32" s="58">
        <f t="shared" si="129"/>
        <v>2455</v>
      </c>
      <c r="CZ32" s="58">
        <f t="shared" si="130"/>
        <v>4074</v>
      </c>
      <c r="DA32" s="58">
        <f t="shared" si="131"/>
        <v>111</v>
      </c>
      <c r="DB32" s="58">
        <f t="shared" si="132"/>
        <v>165</v>
      </c>
      <c r="DC32" s="58">
        <f t="shared" si="133"/>
        <v>531</v>
      </c>
      <c r="DD32" s="58">
        <f t="shared" si="134"/>
        <v>65</v>
      </c>
      <c r="DE32" s="58">
        <f t="shared" si="135"/>
        <v>519</v>
      </c>
      <c r="DF32" s="58">
        <f t="shared" si="136"/>
        <v>1216</v>
      </c>
      <c r="DG32" s="58">
        <f t="shared" si="137"/>
        <v>0</v>
      </c>
      <c r="DH32" s="58">
        <f t="shared" si="138"/>
        <v>1904</v>
      </c>
      <c r="DI32" s="58">
        <f t="shared" si="139"/>
        <v>5921</v>
      </c>
      <c r="DJ32" s="58">
        <f t="shared" si="140"/>
        <v>2944</v>
      </c>
      <c r="DK32" s="58">
        <f t="shared" si="141"/>
        <v>179</v>
      </c>
      <c r="DL32" s="58">
        <f t="shared" si="142"/>
        <v>4895</v>
      </c>
      <c r="DM32" s="58">
        <f t="shared" si="143"/>
        <v>4776</v>
      </c>
      <c r="DN32" s="58">
        <f t="shared" si="144"/>
        <v>4465</v>
      </c>
      <c r="DO32" s="58">
        <f t="shared" si="145"/>
        <v>1345</v>
      </c>
      <c r="DP32" s="58">
        <f t="shared" si="146"/>
        <v>4851</v>
      </c>
      <c r="DQ32" s="58"/>
      <c r="DR32" s="58">
        <f t="shared" si="147"/>
        <v>7993</v>
      </c>
      <c r="DS32" s="58">
        <f t="shared" si="148"/>
        <v>230</v>
      </c>
      <c r="DT32" s="58">
        <f t="shared" si="149"/>
        <v>943</v>
      </c>
      <c r="DU32" s="58">
        <f t="shared" si="150"/>
        <v>1435</v>
      </c>
      <c r="DV32" s="58">
        <f t="shared" si="151"/>
        <v>3653</v>
      </c>
      <c r="DW32" s="58">
        <f t="shared" si="152"/>
        <v>9734</v>
      </c>
      <c r="DX32" s="58">
        <f t="shared" si="153"/>
        <v>5051</v>
      </c>
      <c r="DY32" s="58">
        <f t="shared" si="115"/>
        <v>8753</v>
      </c>
      <c r="DZ32" s="58">
        <f t="shared" si="116"/>
        <v>7543</v>
      </c>
      <c r="EA32" s="58">
        <f t="shared" si="117"/>
        <v>843</v>
      </c>
      <c r="EB32" s="58">
        <f t="shared" si="118"/>
        <v>971</v>
      </c>
      <c r="EC32" s="58">
        <f t="shared" si="119"/>
        <v>2682</v>
      </c>
      <c r="ED32" s="58">
        <f t="shared" si="120"/>
        <v>331</v>
      </c>
      <c r="EE32" s="58">
        <f t="shared" si="121"/>
        <v>3481</v>
      </c>
      <c r="EF32" s="58">
        <f t="shared" si="122"/>
        <v>14735</v>
      </c>
      <c r="EG32" s="58">
        <f t="shared" si="123"/>
        <v>4512</v>
      </c>
      <c r="EH32" s="58">
        <f t="shared" si="124"/>
        <v>1255</v>
      </c>
      <c r="EI32" s="58">
        <f t="shared" si="125"/>
        <v>3964</v>
      </c>
      <c r="EJ32" s="58">
        <f t="shared" si="126"/>
        <v>7303</v>
      </c>
      <c r="EK32" s="58">
        <f t="shared" si="127"/>
        <v>10356</v>
      </c>
      <c r="EL32" s="58">
        <f t="shared" si="105"/>
        <v>11746</v>
      </c>
      <c r="EM32" s="58">
        <f t="shared" si="106"/>
        <v>676</v>
      </c>
      <c r="EN32" s="58">
        <f t="shared" si="107"/>
        <v>7602</v>
      </c>
      <c r="EO32" s="58">
        <f t="shared" si="108"/>
        <v>14674</v>
      </c>
      <c r="EP32" s="58">
        <f t="shared" si="109"/>
        <v>30514</v>
      </c>
      <c r="EQ32" s="58">
        <f t="shared" si="110"/>
        <v>30403</v>
      </c>
      <c r="ER32" s="67">
        <f t="shared" si="72"/>
        <v>11849.3</v>
      </c>
      <c r="ES32" s="67">
        <f t="shared" si="73"/>
        <v>5491.6829268292686</v>
      </c>
      <c r="EV32" s="42">
        <v>191</v>
      </c>
      <c r="EW32" s="128">
        <f t="shared" si="41"/>
        <v>0.1003007715443965</v>
      </c>
      <c r="EX32" s="128">
        <f t="shared" si="42"/>
        <v>0.12821182368915815</v>
      </c>
      <c r="EY32" s="128">
        <f t="shared" si="43"/>
        <v>0.17808279057568738</v>
      </c>
      <c r="EZ32" s="128">
        <f t="shared" si="44"/>
        <v>0.25813953488372093</v>
      </c>
      <c r="FA32" s="128">
        <f t="shared" si="45"/>
        <v>6.5346534653465349E-2</v>
      </c>
      <c r="FB32" s="128">
        <f t="shared" si="46"/>
        <v>4.6053772766695575E-2</v>
      </c>
      <c r="FC32" s="128">
        <f t="shared" si="47"/>
        <v>6.0924172837191863E-3</v>
      </c>
      <c r="FD32" s="128">
        <f t="shared" si="48"/>
        <v>5.5130656469088594E-2</v>
      </c>
      <c r="FE32" s="128">
        <f t="shared" si="49"/>
        <v>9.3610469591993845E-2</v>
      </c>
      <c r="FF32" s="128">
        <f t="shared" si="50"/>
        <v>0</v>
      </c>
      <c r="FG32" s="128">
        <f t="shared" si="51"/>
        <v>6.641319892566884E-2</v>
      </c>
      <c r="FH32" s="128">
        <f t="shared" si="52"/>
        <v>8.1649820042197008E-2</v>
      </c>
      <c r="FI32" s="128">
        <f t="shared" si="53"/>
        <v>6.5365572059770422E-2</v>
      </c>
      <c r="FJ32" s="128">
        <f t="shared" si="54"/>
        <v>1.7495845958361841E-2</v>
      </c>
      <c r="FK32" s="128">
        <f t="shared" si="55"/>
        <v>0.1981219897195127</v>
      </c>
      <c r="FL32" s="128">
        <f t="shared" si="56"/>
        <v>0.12178702570379436</v>
      </c>
      <c r="FM32" s="128">
        <f t="shared" si="57"/>
        <v>0.1304945054945055</v>
      </c>
      <c r="FN32" s="128">
        <f t="shared" si="58"/>
        <v>7.1829105473965288E-2</v>
      </c>
      <c r="FO32" s="128">
        <f t="shared" si="59"/>
        <v>0.17246773562768869</v>
      </c>
      <c r="FP32" s="128"/>
      <c r="FQ32" s="128">
        <f t="shared" si="74"/>
        <v>0.13908367989698794</v>
      </c>
      <c r="FR32" s="128">
        <f t="shared" si="75"/>
        <v>7.8018995929443696E-2</v>
      </c>
      <c r="FS32" s="128">
        <f t="shared" si="76"/>
        <v>0.25757989620322314</v>
      </c>
      <c r="FT32" s="128">
        <f t="shared" si="77"/>
        <v>5.9980486701454214E-2</v>
      </c>
      <c r="FU32" s="128">
        <f t="shared" si="78"/>
        <v>5.2291043387394612E-2</v>
      </c>
      <c r="FV32" s="128">
        <f t="shared" si="79"/>
        <v>0.12633518929512388</v>
      </c>
      <c r="FW32" s="128">
        <f t="shared" si="80"/>
        <v>7.7060385073078455E-2</v>
      </c>
      <c r="FX32" s="128">
        <f t="shared" si="81"/>
        <v>8.6605914888143509E-2</v>
      </c>
      <c r="FY32" s="128">
        <f t="shared" si="82"/>
        <v>0.11307489356598908</v>
      </c>
      <c r="FZ32" s="128">
        <f t="shared" si="83"/>
        <v>8.4123340983933745E-2</v>
      </c>
      <c r="GA32" s="128">
        <f t="shared" si="84"/>
        <v>7.7661361273294413E-2</v>
      </c>
      <c r="GB32" s="128">
        <f t="shared" si="85"/>
        <v>0.15748678802113916</v>
      </c>
      <c r="GC32" s="128">
        <f t="shared" si="86"/>
        <v>1.4692040007453061E-2</v>
      </c>
      <c r="GD32" s="128">
        <f t="shared" si="87"/>
        <v>8.6437226857369889E-2</v>
      </c>
      <c r="GE32" s="128">
        <f t="shared" si="88"/>
        <v>0.30472546789370281</v>
      </c>
      <c r="GF32" s="128">
        <f t="shared" si="89"/>
        <v>0.23155787644570708</v>
      </c>
      <c r="GG32" s="128">
        <f t="shared" si="90"/>
        <v>9.2692408429779549E-2</v>
      </c>
      <c r="GH32" s="128">
        <f t="shared" si="91"/>
        <v>0.17576375648472486</v>
      </c>
      <c r="GI32" s="128">
        <f t="shared" si="92"/>
        <v>0.13183024351499179</v>
      </c>
      <c r="GJ32" s="128">
        <f t="shared" si="93"/>
        <v>0.14302089519258657</v>
      </c>
      <c r="GK32" s="128">
        <f t="shared" si="94"/>
        <v>0.19872770953879471</v>
      </c>
      <c r="GL32" s="128">
        <f t="shared" si="95"/>
        <v>1.6372399428419192E-2</v>
      </c>
      <c r="GM32" s="128">
        <f>EN32/EN$102</f>
        <v>0.12669155389640691</v>
      </c>
      <c r="GN32" s="128">
        <f t="shared" si="97"/>
        <v>0.17105554584134755</v>
      </c>
      <c r="GO32" s="128">
        <f t="shared" si="98"/>
        <v>0.1989100817438692</v>
      </c>
      <c r="GP32" s="128">
        <f t="shared" si="99"/>
        <v>0.14456760008178676</v>
      </c>
      <c r="GQ32" s="129">
        <f t="shared" si="100"/>
        <v>0.13996321941527073</v>
      </c>
      <c r="GR32" s="129">
        <f t="shared" si="101"/>
        <v>0.11068793732552615</v>
      </c>
    </row>
    <row r="33" spans="1:200" x14ac:dyDescent="0.25">
      <c r="A33" s="42">
        <v>192</v>
      </c>
      <c r="B33" s="81">
        <v>549</v>
      </c>
      <c r="C33" s="81">
        <v>712</v>
      </c>
      <c r="D33" s="81">
        <v>1135</v>
      </c>
      <c r="E33" s="81">
        <v>20</v>
      </c>
      <c r="F33" s="81">
        <v>36</v>
      </c>
      <c r="G33" s="81">
        <v>463</v>
      </c>
      <c r="H33" s="81">
        <v>5</v>
      </c>
      <c r="I33" s="81">
        <v>452</v>
      </c>
      <c r="J33" s="81">
        <v>63</v>
      </c>
      <c r="K33" s="81"/>
      <c r="L33" s="81">
        <v>971</v>
      </c>
      <c r="M33" s="81">
        <v>1430</v>
      </c>
      <c r="N33" s="81">
        <v>713</v>
      </c>
      <c r="O33" s="81">
        <v>16</v>
      </c>
      <c r="P33" s="81">
        <v>511</v>
      </c>
      <c r="Q33" s="81">
        <v>1080</v>
      </c>
      <c r="R33" s="81">
        <v>348</v>
      </c>
      <c r="S33" s="81">
        <v>129</v>
      </c>
      <c r="T33" s="81">
        <v>1</v>
      </c>
      <c r="V33" s="81">
        <v>196</v>
      </c>
      <c r="W33" s="81">
        <v>51</v>
      </c>
      <c r="X33" s="81">
        <v>96</v>
      </c>
      <c r="Y33" s="81">
        <v>1057</v>
      </c>
      <c r="Z33" s="81">
        <v>1981</v>
      </c>
      <c r="AA33" s="81">
        <v>87</v>
      </c>
      <c r="AB33" s="81">
        <v>218</v>
      </c>
      <c r="AC33" s="81">
        <v>157</v>
      </c>
      <c r="AD33" s="81">
        <v>1260</v>
      </c>
      <c r="AE33" s="81">
        <v>200</v>
      </c>
      <c r="AF33" s="84">
        <v>366</v>
      </c>
      <c r="AG33" s="84">
        <v>212</v>
      </c>
      <c r="AH33" s="84">
        <v>2</v>
      </c>
      <c r="AI33" s="83">
        <v>771</v>
      </c>
      <c r="AJ33" s="83">
        <v>917</v>
      </c>
      <c r="AK33" s="83">
        <v>1408</v>
      </c>
      <c r="AL33" s="81">
        <v>175</v>
      </c>
      <c r="AM33" s="90">
        <v>678</v>
      </c>
      <c r="AN33" s="90">
        <v>59</v>
      </c>
      <c r="AO33" s="90">
        <v>3005</v>
      </c>
      <c r="AP33" s="81">
        <v>1913</v>
      </c>
      <c r="AQ33" s="81">
        <v>1274</v>
      </c>
      <c r="AR33" s="81">
        <v>303</v>
      </c>
      <c r="AS33" s="81">
        <v>5540</v>
      </c>
      <c r="AT33" s="81">
        <v>769</v>
      </c>
      <c r="AU33" s="81">
        <v>14444</v>
      </c>
      <c r="AV33" s="71">
        <f t="shared" si="113"/>
        <v>2816</v>
      </c>
      <c r="AW33" s="71">
        <f t="shared" si="102"/>
        <v>14686.793253968255</v>
      </c>
      <c r="AY33" s="42">
        <v>192</v>
      </c>
      <c r="AZ33" s="48">
        <f t="shared" si="154"/>
        <v>2.39309533150255E-2</v>
      </c>
      <c r="BA33" s="48">
        <f t="shared" si="1"/>
        <v>3.7184040108627532E-2</v>
      </c>
      <c r="BB33" s="48">
        <f t="shared" si="2"/>
        <v>4.9613148577173583E-2</v>
      </c>
      <c r="BC33" s="48">
        <f t="shared" si="3"/>
        <v>4.6511627906976744E-2</v>
      </c>
      <c r="BD33" s="48">
        <f t="shared" si="4"/>
        <v>1.4257425742574258E-2</v>
      </c>
      <c r="BE33" s="48">
        <f t="shared" si="5"/>
        <v>4.0156114483954904E-2</v>
      </c>
      <c r="BF33" s="48">
        <f t="shared" si="6"/>
        <v>4.6864748336301431E-4</v>
      </c>
      <c r="BG33" s="48">
        <f t="shared" si="7"/>
        <v>4.8013596770766942E-2</v>
      </c>
      <c r="BH33" s="48">
        <f t="shared" si="8"/>
        <v>4.8498845265588916E-3</v>
      </c>
      <c r="BI33" s="48">
        <f t="shared" si="9"/>
        <v>0</v>
      </c>
      <c r="BJ33" s="48">
        <f t="shared" si="10"/>
        <v>3.3869336216819562E-2</v>
      </c>
      <c r="BK33" s="48">
        <f t="shared" si="11"/>
        <v>1.9719514044982556E-2</v>
      </c>
      <c r="BL33" s="48">
        <f t="shared" si="12"/>
        <v>1.5830724483225648E-2</v>
      </c>
      <c r="BM33" s="48">
        <f t="shared" si="13"/>
        <v>1.5638744990714496E-3</v>
      </c>
      <c r="BN33" s="48">
        <f t="shared" si="14"/>
        <v>2.0682397701056381E-2</v>
      </c>
      <c r="BO33" s="48">
        <f t="shared" si="15"/>
        <v>2.7539779681762546E-2</v>
      </c>
      <c r="BP33" s="48">
        <f t="shared" si="16"/>
        <v>1.017068038344634E-2</v>
      </c>
      <c r="BQ33" s="48">
        <f t="shared" si="17"/>
        <v>6.889185580774366E-3</v>
      </c>
      <c r="BR33" s="48">
        <f t="shared" si="18"/>
        <v>3.5553027340278028E-5</v>
      </c>
      <c r="BS33" s="48"/>
      <c r="BT33" s="48">
        <f t="shared" si="19"/>
        <v>3.4105343750543771E-3</v>
      </c>
      <c r="BU33" s="48">
        <f t="shared" si="20"/>
        <v>1.7299864314789689E-2</v>
      </c>
      <c r="BV33" s="48">
        <f t="shared" si="21"/>
        <v>2.6222343621961214E-2</v>
      </c>
      <c r="BW33" s="48">
        <f t="shared" si="22"/>
        <v>4.4180748741071155E-2</v>
      </c>
      <c r="BX33" s="48">
        <f t="shared" si="23"/>
        <v>2.8357119340385633E-2</v>
      </c>
      <c r="BY33" s="48">
        <f t="shared" si="24"/>
        <v>1.1291515788653974E-3</v>
      </c>
      <c r="BZ33" s="48">
        <f t="shared" si="25"/>
        <v>3.3259085222591767E-3</v>
      </c>
      <c r="CA33" s="48">
        <f t="shared" si="26"/>
        <v>1.5534249557224416E-3</v>
      </c>
      <c r="CB33" s="48">
        <f t="shared" si="27"/>
        <v>1.8888289260658393E-2</v>
      </c>
      <c r="CC33" s="48">
        <f t="shared" si="28"/>
        <v>1.9958088015168147E-2</v>
      </c>
      <c r="CD33" s="48">
        <f t="shared" si="29"/>
        <v>2.9272974486123329E-2</v>
      </c>
      <c r="CE33" s="48">
        <f t="shared" si="30"/>
        <v>1.2448620082207868E-2</v>
      </c>
      <c r="CF33" s="48">
        <f t="shared" si="31"/>
        <v>8.8773655634157464E-5</v>
      </c>
      <c r="CG33" s="48">
        <f t="shared" si="32"/>
        <v>1.9144815256257448E-2</v>
      </c>
      <c r="CH33" s="48">
        <f t="shared" si="33"/>
        <v>1.8963912728776754E-2</v>
      </c>
      <c r="CI33" s="48">
        <f t="shared" si="34"/>
        <v>7.2259195486603631E-2</v>
      </c>
      <c r="CJ33" s="48">
        <f t="shared" si="35"/>
        <v>1.2925236235228224E-2</v>
      </c>
      <c r="CK33" s="48">
        <f t="shared" si="36"/>
        <v>3.0062519398749613E-2</v>
      </c>
      <c r="CL33" s="48">
        <f t="shared" si="37"/>
        <v>1.0650396230842826E-3</v>
      </c>
      <c r="CM33" s="48">
        <f t="shared" si="61"/>
        <v>4.1500365976605121E-2</v>
      </c>
      <c r="CN33" s="48">
        <f t="shared" si="62"/>
        <v>3.2365580482522922E-2</v>
      </c>
      <c r="CO33" s="48">
        <f t="shared" si="63"/>
        <v>3.0855675845866938E-2</v>
      </c>
      <c r="CP33" s="48">
        <f t="shared" si="64"/>
        <v>5.0496633557762819E-3</v>
      </c>
      <c r="CQ33" s="48">
        <f t="shared" si="112"/>
        <v>6.4580054788133126E-2</v>
      </c>
      <c r="CR33" s="48">
        <f t="shared" si="65"/>
        <v>5.0128417402187661E-3</v>
      </c>
      <c r="CS33" s="48">
        <f t="shared" si="66"/>
        <v>6.8681854276924248E-2</v>
      </c>
      <c r="CT33" s="68">
        <f t="shared" si="67"/>
        <v>0.1691731025875817</v>
      </c>
      <c r="CU33" s="68">
        <f t="shared" si="68"/>
        <v>0.13148426197846141</v>
      </c>
      <c r="CW33" s="42">
        <v>192</v>
      </c>
      <c r="CX33" s="58">
        <f t="shared" si="128"/>
        <v>2850</v>
      </c>
      <c r="CY33" s="58">
        <f t="shared" si="129"/>
        <v>3167</v>
      </c>
      <c r="CZ33" s="58">
        <f t="shared" si="130"/>
        <v>5209</v>
      </c>
      <c r="DA33" s="58">
        <f t="shared" si="131"/>
        <v>131</v>
      </c>
      <c r="DB33" s="58">
        <f t="shared" si="132"/>
        <v>201</v>
      </c>
      <c r="DC33" s="58">
        <f t="shared" si="133"/>
        <v>994</v>
      </c>
      <c r="DD33" s="58">
        <f t="shared" si="134"/>
        <v>70</v>
      </c>
      <c r="DE33" s="58">
        <f t="shared" si="135"/>
        <v>971</v>
      </c>
      <c r="DF33" s="58">
        <f t="shared" si="136"/>
        <v>1279</v>
      </c>
      <c r="DG33" s="58">
        <f t="shared" si="137"/>
        <v>0</v>
      </c>
      <c r="DH33" s="58">
        <f t="shared" si="138"/>
        <v>2875</v>
      </c>
      <c r="DI33" s="58">
        <f t="shared" si="139"/>
        <v>7351</v>
      </c>
      <c r="DJ33" s="58">
        <f t="shared" si="140"/>
        <v>3657</v>
      </c>
      <c r="DK33" s="58">
        <f t="shared" si="141"/>
        <v>195</v>
      </c>
      <c r="DL33" s="58">
        <f t="shared" si="142"/>
        <v>5406</v>
      </c>
      <c r="DM33" s="58">
        <f t="shared" si="143"/>
        <v>5856</v>
      </c>
      <c r="DN33" s="58">
        <f t="shared" si="144"/>
        <v>4813</v>
      </c>
      <c r="DO33" s="58">
        <f t="shared" si="145"/>
        <v>1474</v>
      </c>
      <c r="DP33" s="58">
        <f t="shared" si="146"/>
        <v>4852</v>
      </c>
      <c r="DQ33" s="58"/>
      <c r="DR33" s="58">
        <f t="shared" si="147"/>
        <v>8189</v>
      </c>
      <c r="DS33" s="58">
        <f t="shared" si="148"/>
        <v>281</v>
      </c>
      <c r="DT33" s="58">
        <f t="shared" si="149"/>
        <v>1039</v>
      </c>
      <c r="DU33" s="58">
        <f t="shared" si="150"/>
        <v>2492</v>
      </c>
      <c r="DV33" s="58">
        <f t="shared" si="151"/>
        <v>5634</v>
      </c>
      <c r="DW33" s="58">
        <f t="shared" si="152"/>
        <v>9821</v>
      </c>
      <c r="DX33" s="58">
        <f t="shared" si="153"/>
        <v>5269</v>
      </c>
      <c r="DY33" s="58">
        <f t="shared" si="115"/>
        <v>8910</v>
      </c>
      <c r="DZ33" s="58">
        <f t="shared" si="116"/>
        <v>8803</v>
      </c>
      <c r="EA33" s="58">
        <f t="shared" si="117"/>
        <v>1043</v>
      </c>
      <c r="EB33" s="58">
        <f t="shared" si="118"/>
        <v>1337</v>
      </c>
      <c r="EC33" s="58">
        <f t="shared" si="119"/>
        <v>2894</v>
      </c>
      <c r="ED33" s="58">
        <f t="shared" si="120"/>
        <v>333</v>
      </c>
      <c r="EE33" s="58">
        <f t="shared" si="121"/>
        <v>4252</v>
      </c>
      <c r="EF33" s="58">
        <f t="shared" si="122"/>
        <v>15652</v>
      </c>
      <c r="EG33" s="58">
        <f t="shared" si="123"/>
        <v>5920</v>
      </c>
      <c r="EH33" s="58">
        <f t="shared" si="124"/>
        <v>1430</v>
      </c>
      <c r="EI33" s="58">
        <f t="shared" si="125"/>
        <v>4642</v>
      </c>
      <c r="EJ33" s="58">
        <f t="shared" si="126"/>
        <v>7362</v>
      </c>
      <c r="EK33" s="58">
        <f t="shared" si="127"/>
        <v>13361</v>
      </c>
      <c r="EL33" s="58">
        <f t="shared" si="105"/>
        <v>13659</v>
      </c>
      <c r="EM33" s="58">
        <f t="shared" si="106"/>
        <v>1950</v>
      </c>
      <c r="EN33" s="58">
        <f t="shared" si="107"/>
        <v>7905</v>
      </c>
      <c r="EO33" s="58">
        <f t="shared" si="108"/>
        <v>20214</v>
      </c>
      <c r="EP33" s="58">
        <f t="shared" si="109"/>
        <v>31283</v>
      </c>
      <c r="EQ33" s="58">
        <f t="shared" si="110"/>
        <v>44847</v>
      </c>
      <c r="ER33" s="67">
        <f t="shared" si="72"/>
        <v>14665.3</v>
      </c>
      <c r="ES33" s="67">
        <f t="shared" si="73"/>
        <v>6549.1707317073169</v>
      </c>
      <c r="EV33" s="42">
        <v>192</v>
      </c>
      <c r="EW33" s="128">
        <f t="shared" si="41"/>
        <v>0.12423172485942199</v>
      </c>
      <c r="EX33" s="128">
        <f t="shared" si="42"/>
        <v>0.16539586379778567</v>
      </c>
      <c r="EY33" s="128">
        <f t="shared" si="43"/>
        <v>0.22769593915286096</v>
      </c>
      <c r="EZ33" s="128">
        <f t="shared" si="44"/>
        <v>0.30465116279069765</v>
      </c>
      <c r="FA33" s="128">
        <f t="shared" si="45"/>
        <v>7.9603960396039605E-2</v>
      </c>
      <c r="FB33" s="128">
        <f t="shared" si="46"/>
        <v>8.6209887250650472E-2</v>
      </c>
      <c r="FC33" s="128">
        <f t="shared" si="47"/>
        <v>6.5610647670822008E-3</v>
      </c>
      <c r="FD33" s="128">
        <f t="shared" si="48"/>
        <v>0.10314425323985553</v>
      </c>
      <c r="FE33" s="128">
        <f t="shared" si="49"/>
        <v>9.8460354118552737E-2</v>
      </c>
      <c r="FF33" s="128">
        <f t="shared" si="50"/>
        <v>0</v>
      </c>
      <c r="FG33" s="128">
        <f t="shared" si="51"/>
        <v>0.1002825351424884</v>
      </c>
      <c r="FH33" s="128">
        <f t="shared" si="52"/>
        <v>0.10136933408717956</v>
      </c>
      <c r="FI33" s="128">
        <f t="shared" si="53"/>
        <v>8.1196296542996066E-2</v>
      </c>
      <c r="FJ33" s="128">
        <f t="shared" si="54"/>
        <v>1.9059720457433291E-2</v>
      </c>
      <c r="FK33" s="128">
        <f t="shared" si="55"/>
        <v>0.21880438742056907</v>
      </c>
      <c r="FL33" s="128">
        <f t="shared" si="56"/>
        <v>0.14932680538555693</v>
      </c>
      <c r="FM33" s="128">
        <f t="shared" si="57"/>
        <v>0.14066518587795185</v>
      </c>
      <c r="FN33" s="128">
        <f t="shared" si="58"/>
        <v>7.8718291054739653E-2</v>
      </c>
      <c r="FO33" s="128">
        <f t="shared" si="59"/>
        <v>0.17250328865502898</v>
      </c>
      <c r="FP33" s="128"/>
      <c r="FQ33" s="128">
        <f t="shared" si="74"/>
        <v>0.14249421427204231</v>
      </c>
      <c r="FR33" s="128">
        <f t="shared" si="75"/>
        <v>9.5318860244233375E-2</v>
      </c>
      <c r="FS33" s="128">
        <f t="shared" si="76"/>
        <v>0.28380223982518438</v>
      </c>
      <c r="FT33" s="128">
        <f t="shared" si="77"/>
        <v>0.10416123544252537</v>
      </c>
      <c r="FU33" s="128">
        <f t="shared" si="78"/>
        <v>8.0648162727780248E-2</v>
      </c>
      <c r="FV33" s="128">
        <f t="shared" si="79"/>
        <v>0.12746434087398928</v>
      </c>
      <c r="FW33" s="128">
        <f t="shared" si="80"/>
        <v>8.0386293595337624E-2</v>
      </c>
      <c r="FX33" s="128">
        <f t="shared" si="81"/>
        <v>8.8159339843865953E-2</v>
      </c>
      <c r="FY33" s="128">
        <f t="shared" si="82"/>
        <v>0.13196318282664748</v>
      </c>
      <c r="FZ33" s="128">
        <f t="shared" si="83"/>
        <v>0.10408142899910189</v>
      </c>
      <c r="GA33" s="128">
        <f t="shared" si="84"/>
        <v>0.10693433575941774</v>
      </c>
      <c r="GB33" s="128">
        <f t="shared" si="85"/>
        <v>0.16993540810334704</v>
      </c>
      <c r="GC33" s="128">
        <f t="shared" si="86"/>
        <v>1.4780813663087219E-2</v>
      </c>
      <c r="GD33" s="128">
        <f t="shared" si="87"/>
        <v>0.10558204211362733</v>
      </c>
      <c r="GE33" s="128">
        <f t="shared" si="88"/>
        <v>0.32368938062247959</v>
      </c>
      <c r="GF33" s="128">
        <f t="shared" si="89"/>
        <v>0.30381707193231067</v>
      </c>
      <c r="GG33" s="128">
        <f t="shared" si="90"/>
        <v>0.10561764466500777</v>
      </c>
      <c r="GH33" s="128">
        <f t="shared" si="91"/>
        <v>0.20582627588347449</v>
      </c>
      <c r="GI33" s="128">
        <f t="shared" si="92"/>
        <v>0.13289528313807608</v>
      </c>
      <c r="GJ33" s="128">
        <f t="shared" si="93"/>
        <v>0.18452126116919168</v>
      </c>
      <c r="GK33" s="128">
        <f t="shared" si="94"/>
        <v>0.23109329002131762</v>
      </c>
      <c r="GL33" s="128">
        <f t="shared" si="95"/>
        <v>4.722807527428613E-2</v>
      </c>
      <c r="GM33" s="128">
        <f t="shared" si="96"/>
        <v>0.13174121725218318</v>
      </c>
      <c r="GN33" s="128">
        <f>EO33/EO$102</f>
        <v>0.23563560062948069</v>
      </c>
      <c r="GO33" s="128">
        <f t="shared" si="98"/>
        <v>0.20392292348408797</v>
      </c>
      <c r="GP33" s="128">
        <f t="shared" si="99"/>
        <v>0.21324945435871101</v>
      </c>
      <c r="GQ33" s="129">
        <f t="shared" si="100"/>
        <v>0.16917310258758164</v>
      </c>
      <c r="GR33" s="129">
        <f t="shared" si="101"/>
        <v>0.13148426197846141</v>
      </c>
    </row>
    <row r="34" spans="1:200" x14ac:dyDescent="0.25">
      <c r="A34" s="42">
        <v>193</v>
      </c>
      <c r="B34" s="81">
        <v>426</v>
      </c>
      <c r="C34" s="81">
        <v>116</v>
      </c>
      <c r="D34" s="81">
        <v>1814</v>
      </c>
      <c r="E34" s="81">
        <v>7</v>
      </c>
      <c r="F34" s="81">
        <v>50</v>
      </c>
      <c r="G34" s="81">
        <v>251</v>
      </c>
      <c r="H34" s="81">
        <v>539</v>
      </c>
      <c r="I34" s="81">
        <v>76</v>
      </c>
      <c r="J34" s="81">
        <v>144</v>
      </c>
      <c r="K34" s="81"/>
      <c r="L34" s="81">
        <v>455</v>
      </c>
      <c r="M34" s="81">
        <v>162</v>
      </c>
      <c r="N34" s="81">
        <v>573</v>
      </c>
      <c r="O34" s="81">
        <v>37</v>
      </c>
      <c r="P34" s="81">
        <v>390</v>
      </c>
      <c r="Q34" s="81">
        <v>34</v>
      </c>
      <c r="R34" s="81">
        <v>301</v>
      </c>
      <c r="S34" s="81">
        <v>53</v>
      </c>
      <c r="T34" s="81">
        <v>234</v>
      </c>
      <c r="V34" s="81">
        <v>2680</v>
      </c>
      <c r="W34" s="81">
        <v>58</v>
      </c>
      <c r="X34" s="81">
        <v>50</v>
      </c>
      <c r="Y34" s="81">
        <v>1735</v>
      </c>
      <c r="Z34" s="81">
        <v>153</v>
      </c>
      <c r="AA34" s="81">
        <v>580</v>
      </c>
      <c r="AB34" s="81">
        <v>293</v>
      </c>
      <c r="AC34" s="81">
        <v>425</v>
      </c>
      <c r="AD34" s="81">
        <v>1562</v>
      </c>
      <c r="AE34" s="81">
        <v>77</v>
      </c>
      <c r="AF34" s="84">
        <v>1355</v>
      </c>
      <c r="AG34" s="84">
        <v>183</v>
      </c>
      <c r="AH34" s="84">
        <v>134</v>
      </c>
      <c r="AI34" s="83">
        <v>498</v>
      </c>
      <c r="AJ34" s="83">
        <v>744</v>
      </c>
      <c r="AK34" s="83">
        <v>772</v>
      </c>
      <c r="AL34" s="81">
        <v>255</v>
      </c>
      <c r="AM34" s="90">
        <v>282</v>
      </c>
      <c r="AN34" s="90">
        <v>857</v>
      </c>
      <c r="AO34" s="90">
        <v>546</v>
      </c>
      <c r="AP34" s="81">
        <v>1543</v>
      </c>
      <c r="AQ34" s="81">
        <v>678</v>
      </c>
      <c r="AR34" s="81">
        <v>729</v>
      </c>
      <c r="AS34" s="81">
        <v>6310</v>
      </c>
      <c r="AT34" s="81">
        <v>70</v>
      </c>
      <c r="AU34" s="81">
        <v>3497</v>
      </c>
      <c r="AV34" s="71">
        <f t="shared" si="113"/>
        <v>1476.7</v>
      </c>
      <c r="AW34" s="71">
        <f t="shared" si="102"/>
        <v>16163.493253968256</v>
      </c>
      <c r="AY34" s="42">
        <v>193</v>
      </c>
      <c r="AZ34" s="48">
        <f t="shared" si="154"/>
        <v>1.8569373610566237E-2</v>
      </c>
      <c r="BA34" s="48">
        <f t="shared" si="1"/>
        <v>6.0580739502820134E-3</v>
      </c>
      <c r="BB34" s="48">
        <f t="shared" si="2"/>
        <v>7.9293613673121474E-2</v>
      </c>
      <c r="BC34" s="48">
        <f t="shared" si="3"/>
        <v>1.627906976744186E-2</v>
      </c>
      <c r="BD34" s="48">
        <f t="shared" si="4"/>
        <v>1.9801980198019802E-2</v>
      </c>
      <c r="BE34" s="48">
        <f t="shared" si="5"/>
        <v>2.1769297484822203E-2</v>
      </c>
      <c r="BF34" s="48">
        <f t="shared" si="6"/>
        <v>5.0520198706532946E-2</v>
      </c>
      <c r="BG34" s="48">
        <f t="shared" si="7"/>
        <v>8.0730826428723184E-3</v>
      </c>
      <c r="BH34" s="48">
        <f t="shared" si="8"/>
        <v>1.1085450346420323E-2</v>
      </c>
      <c r="BI34" s="48">
        <f t="shared" si="9"/>
        <v>0</v>
      </c>
      <c r="BJ34" s="48">
        <f t="shared" si="10"/>
        <v>1.5870801213854688E-2</v>
      </c>
      <c r="BK34" s="48">
        <f t="shared" si="11"/>
        <v>2.2339589337672548E-3</v>
      </c>
      <c r="BL34" s="48">
        <f t="shared" si="12"/>
        <v>1.2722307333644175E-2</v>
      </c>
      <c r="BM34" s="48">
        <f t="shared" si="13"/>
        <v>3.616459779102727E-3</v>
      </c>
      <c r="BN34" s="48">
        <f t="shared" si="14"/>
        <v>1.5785000202371797E-2</v>
      </c>
      <c r="BO34" s="48">
        <f t="shared" si="15"/>
        <v>8.6699306405548752E-4</v>
      </c>
      <c r="BP34" s="48">
        <f t="shared" si="16"/>
        <v>8.7970540098199681E-3</v>
      </c>
      <c r="BQ34" s="48">
        <f t="shared" si="17"/>
        <v>2.8304405874499334E-3</v>
      </c>
      <c r="BR34" s="48">
        <f t="shared" si="18"/>
        <v>8.3194083976250582E-3</v>
      </c>
      <c r="BS34" s="48"/>
      <c r="BT34" s="48">
        <f t="shared" si="19"/>
        <v>4.6633837373192502E-2</v>
      </c>
      <c r="BU34" s="48">
        <f t="shared" si="20"/>
        <v>1.9674355495251018E-2</v>
      </c>
      <c r="BV34" s="48">
        <f t="shared" si="21"/>
        <v>1.3657470636438131E-2</v>
      </c>
      <c r="BW34" s="48">
        <f t="shared" si="22"/>
        <v>7.25199612731868E-2</v>
      </c>
      <c r="BX34" s="48">
        <f t="shared" si="23"/>
        <v>2.1901258248758211E-3</v>
      </c>
      <c r="BY34" s="48">
        <f t="shared" si="24"/>
        <v>7.5276771924359821E-3</v>
      </c>
      <c r="BZ34" s="48">
        <f t="shared" si="25"/>
        <v>4.4701431056052236E-3</v>
      </c>
      <c r="CA34" s="48">
        <f t="shared" si="26"/>
        <v>4.2051312495671187E-3</v>
      </c>
      <c r="CB34" s="48">
        <f t="shared" si="27"/>
        <v>2.3415482400911434E-2</v>
      </c>
      <c r="CC34" s="48">
        <f t="shared" si="28"/>
        <v>7.6838638858397366E-3</v>
      </c>
      <c r="CD34" s="48">
        <f t="shared" si="29"/>
        <v>0.10837399024234184</v>
      </c>
      <c r="CE34" s="48">
        <f t="shared" si="30"/>
        <v>1.0745742806811509E-2</v>
      </c>
      <c r="CF34" s="48">
        <f t="shared" si="31"/>
        <v>5.9478349274885503E-3</v>
      </c>
      <c r="CG34" s="48">
        <f t="shared" si="32"/>
        <v>1.2365911799761622E-2</v>
      </c>
      <c r="CH34" s="48">
        <f t="shared" si="33"/>
        <v>1.5386206183435011E-2</v>
      </c>
      <c r="CI34" s="48">
        <f t="shared" si="34"/>
        <v>3.9619388434416189E-2</v>
      </c>
      <c r="CJ34" s="48">
        <f t="shared" si="35"/>
        <v>1.883391565704684E-2</v>
      </c>
      <c r="CK34" s="48">
        <f t="shared" si="36"/>
        <v>1.2503879749922404E-2</v>
      </c>
      <c r="CL34" s="48">
        <f t="shared" si="37"/>
        <v>1.5470151813275088E-2</v>
      </c>
      <c r="CM34" s="48">
        <f t="shared" si="61"/>
        <v>7.5404991092267535E-3</v>
      </c>
      <c r="CN34" s="48">
        <f t="shared" si="62"/>
        <v>2.6105640713294759E-2</v>
      </c>
      <c r="CO34" s="48">
        <f t="shared" si="63"/>
        <v>1.6420838479982561E-2</v>
      </c>
      <c r="CP34" s="48">
        <f t="shared" si="64"/>
        <v>1.21491900539964E-2</v>
      </c>
      <c r="CQ34" s="48">
        <f t="shared" si="112"/>
        <v>7.3555982980707577E-2</v>
      </c>
      <c r="CR34" s="48">
        <f t="shared" si="65"/>
        <v>4.5630549000690978E-4</v>
      </c>
      <c r="CS34" s="48">
        <f t="shared" si="66"/>
        <v>1.6628388563168381E-2</v>
      </c>
      <c r="CT34" s="68">
        <f t="shared" si="67"/>
        <v>0.18913958184864446</v>
      </c>
      <c r="CU34" s="68">
        <f t="shared" si="68"/>
        <v>0.15042022169413324</v>
      </c>
      <c r="CW34" s="42">
        <v>193</v>
      </c>
      <c r="CX34" s="58">
        <f t="shared" si="128"/>
        <v>3276</v>
      </c>
      <c r="CY34" s="58">
        <f t="shared" si="129"/>
        <v>3283</v>
      </c>
      <c r="CZ34" s="58">
        <f t="shared" si="130"/>
        <v>7023</v>
      </c>
      <c r="DA34" s="58">
        <f t="shared" si="131"/>
        <v>138</v>
      </c>
      <c r="DB34" s="58">
        <f t="shared" si="132"/>
        <v>251</v>
      </c>
      <c r="DC34" s="58">
        <f t="shared" si="133"/>
        <v>1245</v>
      </c>
      <c r="DD34" s="58">
        <f t="shared" si="134"/>
        <v>609</v>
      </c>
      <c r="DE34" s="58">
        <f t="shared" si="135"/>
        <v>1047</v>
      </c>
      <c r="DF34" s="58">
        <f t="shared" si="136"/>
        <v>1423</v>
      </c>
      <c r="DG34" s="58">
        <f t="shared" si="137"/>
        <v>0</v>
      </c>
      <c r="DH34" s="58">
        <f t="shared" si="138"/>
        <v>3330</v>
      </c>
      <c r="DI34" s="58">
        <f t="shared" si="139"/>
        <v>7513</v>
      </c>
      <c r="DJ34" s="58">
        <f t="shared" si="140"/>
        <v>4230</v>
      </c>
      <c r="DK34" s="58">
        <f t="shared" si="141"/>
        <v>232</v>
      </c>
      <c r="DL34" s="58">
        <f t="shared" si="142"/>
        <v>5796</v>
      </c>
      <c r="DM34" s="58">
        <f t="shared" si="143"/>
        <v>5890</v>
      </c>
      <c r="DN34" s="58">
        <f t="shared" si="144"/>
        <v>5114</v>
      </c>
      <c r="DO34" s="58">
        <f t="shared" si="145"/>
        <v>1527</v>
      </c>
      <c r="DP34" s="58">
        <f t="shared" si="146"/>
        <v>5086</v>
      </c>
      <c r="DQ34" s="58"/>
      <c r="DR34" s="58">
        <f t="shared" si="147"/>
        <v>10869</v>
      </c>
      <c r="DS34" s="58">
        <f t="shared" si="148"/>
        <v>339</v>
      </c>
      <c r="DT34" s="58">
        <f t="shared" si="149"/>
        <v>1089</v>
      </c>
      <c r="DU34" s="58">
        <f t="shared" si="150"/>
        <v>4227</v>
      </c>
      <c r="DV34" s="58">
        <f t="shared" si="151"/>
        <v>5787</v>
      </c>
      <c r="DW34" s="58">
        <f t="shared" si="152"/>
        <v>10401</v>
      </c>
      <c r="DX34" s="58">
        <f t="shared" si="153"/>
        <v>5562</v>
      </c>
      <c r="DY34" s="58">
        <f t="shared" si="115"/>
        <v>9335</v>
      </c>
      <c r="DZ34" s="58">
        <f t="shared" si="116"/>
        <v>10365</v>
      </c>
      <c r="EA34" s="58">
        <f t="shared" si="117"/>
        <v>1120</v>
      </c>
      <c r="EB34" s="58">
        <f t="shared" si="118"/>
        <v>2692</v>
      </c>
      <c r="EC34" s="58">
        <f t="shared" si="119"/>
        <v>3077</v>
      </c>
      <c r="ED34" s="58">
        <f t="shared" si="120"/>
        <v>467</v>
      </c>
      <c r="EE34" s="58">
        <f t="shared" si="121"/>
        <v>4750</v>
      </c>
      <c r="EF34" s="58">
        <f t="shared" si="122"/>
        <v>16396</v>
      </c>
      <c r="EG34" s="58">
        <f t="shared" si="123"/>
        <v>6692</v>
      </c>
      <c r="EH34" s="58">
        <f t="shared" si="124"/>
        <v>1685</v>
      </c>
      <c r="EI34" s="58">
        <f t="shared" si="125"/>
        <v>4924</v>
      </c>
      <c r="EJ34" s="58">
        <f t="shared" si="126"/>
        <v>8219</v>
      </c>
      <c r="EK34" s="58">
        <f t="shared" si="127"/>
        <v>13907</v>
      </c>
      <c r="EL34" s="58">
        <f t="shared" si="105"/>
        <v>15202</v>
      </c>
      <c r="EM34" s="58">
        <f t="shared" si="106"/>
        <v>2628</v>
      </c>
      <c r="EN34" s="58">
        <f t="shared" si="107"/>
        <v>8634</v>
      </c>
      <c r="EO34" s="58">
        <f>EO33+AS34</f>
        <v>26524</v>
      </c>
      <c r="EP34" s="58">
        <f t="shared" si="109"/>
        <v>31353</v>
      </c>
      <c r="EQ34" s="58">
        <f t="shared" si="110"/>
        <v>48344</v>
      </c>
      <c r="ER34" s="67">
        <f>AVERAGE(EH34:EQ34)</f>
        <v>16142</v>
      </c>
      <c r="ES34" s="67">
        <f t="shared" si="73"/>
        <v>7265.3902439024387</v>
      </c>
      <c r="EV34" s="42">
        <v>193</v>
      </c>
      <c r="EW34" s="128">
        <f t="shared" si="41"/>
        <v>0.14280109846998823</v>
      </c>
      <c r="EX34" s="128">
        <f t="shared" si="42"/>
        <v>0.17145393774806769</v>
      </c>
      <c r="EY34" s="128">
        <f t="shared" si="43"/>
        <v>0.30698955282598245</v>
      </c>
      <c r="EZ34" s="128">
        <f t="shared" si="44"/>
        <v>0.32093023255813952</v>
      </c>
      <c r="FA34" s="128">
        <f t="shared" si="45"/>
        <v>9.9405940594059411E-2</v>
      </c>
      <c r="FB34" s="128">
        <f t="shared" si="46"/>
        <v>0.10797918473547267</v>
      </c>
      <c r="FC34" s="128">
        <f t="shared" si="47"/>
        <v>5.7081263473615147E-2</v>
      </c>
      <c r="FD34" s="128">
        <f t="shared" si="48"/>
        <v>0.11121733588272785</v>
      </c>
      <c r="FE34" s="128">
        <f t="shared" si="49"/>
        <v>0.10954580446497306</v>
      </c>
      <c r="FF34" s="128">
        <f t="shared" si="50"/>
        <v>0</v>
      </c>
      <c r="FG34" s="128">
        <f t="shared" si="51"/>
        <v>0.11615333635634309</v>
      </c>
      <c r="FH34" s="128">
        <f t="shared" si="52"/>
        <v>0.10360329302094681</v>
      </c>
      <c r="FI34" s="128">
        <f t="shared" si="53"/>
        <v>9.391860387664025E-2</v>
      </c>
      <c r="FJ34" s="128">
        <f t="shared" si="54"/>
        <v>2.2676180236536017E-2</v>
      </c>
      <c r="FK34" s="128">
        <f t="shared" si="55"/>
        <v>0.23458938762294088</v>
      </c>
      <c r="FL34" s="128">
        <f t="shared" si="56"/>
        <v>0.15019379844961239</v>
      </c>
      <c r="FM34" s="128">
        <f t="shared" si="57"/>
        <v>0.1494622398877718</v>
      </c>
      <c r="FN34" s="128">
        <f t="shared" si="58"/>
        <v>8.1548731642189592E-2</v>
      </c>
      <c r="FO34" s="128">
        <f t="shared" si="59"/>
        <v>0.18082269705265402</v>
      </c>
      <c r="FP34" s="128"/>
      <c r="FQ34" s="128">
        <f t="shared" si="74"/>
        <v>0.18912805164523483</v>
      </c>
      <c r="FR34" s="128">
        <f t="shared" si="75"/>
        <v>0.1149932157394844</v>
      </c>
      <c r="FS34" s="128">
        <f t="shared" si="76"/>
        <v>0.29745971046162251</v>
      </c>
      <c r="FT34" s="128">
        <f t="shared" si="77"/>
        <v>0.17668119671571217</v>
      </c>
      <c r="FU34" s="128">
        <f t="shared" si="78"/>
        <v>8.283828855265607E-2</v>
      </c>
      <c r="FV34" s="128">
        <f t="shared" si="79"/>
        <v>0.13499201806642527</v>
      </c>
      <c r="FW34" s="128">
        <f t="shared" si="80"/>
        <v>8.4856436700942853E-2</v>
      </c>
      <c r="FX34" s="128">
        <f t="shared" si="81"/>
        <v>9.236447109343307E-2</v>
      </c>
      <c r="FY34" s="128">
        <f t="shared" si="82"/>
        <v>0.15537866522755892</v>
      </c>
      <c r="FZ34" s="128">
        <f t="shared" si="83"/>
        <v>0.11176529288494162</v>
      </c>
      <c r="GA34" s="128">
        <f t="shared" si="84"/>
        <v>0.21530832600175959</v>
      </c>
      <c r="GB34" s="128">
        <f t="shared" si="85"/>
        <v>0.18068115091015854</v>
      </c>
      <c r="GC34" s="128">
        <f t="shared" si="86"/>
        <v>2.0728648590575768E-2</v>
      </c>
      <c r="GD34" s="128">
        <f t="shared" si="87"/>
        <v>0.11794795391338896</v>
      </c>
      <c r="GE34" s="128">
        <f t="shared" si="88"/>
        <v>0.3390755868059146</v>
      </c>
      <c r="GF34" s="128">
        <f t="shared" si="89"/>
        <v>0.34343646036672687</v>
      </c>
      <c r="GG34" s="128">
        <f t="shared" si="90"/>
        <v>0.12445156032205461</v>
      </c>
      <c r="GH34" s="128">
        <f t="shared" si="91"/>
        <v>0.21833015563339689</v>
      </c>
      <c r="GI34" s="128">
        <f t="shared" si="92"/>
        <v>0.14836543495135116</v>
      </c>
      <c r="GJ34" s="128">
        <f t="shared" si="93"/>
        <v>0.19206176027841843</v>
      </c>
      <c r="GK34" s="128">
        <f t="shared" si="94"/>
        <v>0.25719893073461242</v>
      </c>
      <c r="GL34" s="128">
        <f t="shared" si="95"/>
        <v>6.3648913754268691E-2</v>
      </c>
      <c r="GM34" s="128">
        <f t="shared" si="96"/>
        <v>0.14389040730617958</v>
      </c>
      <c r="GN34" s="128">
        <f t="shared" si="97"/>
        <v>0.30919158361018828</v>
      </c>
      <c r="GO34" s="128">
        <f t="shared" si="98"/>
        <v>0.20437922897409488</v>
      </c>
      <c r="GP34" s="128">
        <f t="shared" si="99"/>
        <v>0.22987784292187938</v>
      </c>
      <c r="GQ34" s="129">
        <f t="shared" si="100"/>
        <v>0.18913958184864441</v>
      </c>
      <c r="GR34" s="129">
        <f t="shared" si="101"/>
        <v>0.15042022169413324</v>
      </c>
    </row>
    <row r="35" spans="1:200" x14ac:dyDescent="0.25">
      <c r="A35" s="42">
        <v>194</v>
      </c>
      <c r="B35" s="81">
        <v>361</v>
      </c>
      <c r="C35" s="81">
        <v>508</v>
      </c>
      <c r="D35" s="81">
        <v>666</v>
      </c>
      <c r="E35" s="81">
        <v>1</v>
      </c>
      <c r="F35" s="81">
        <v>7</v>
      </c>
      <c r="G35" s="81">
        <v>116</v>
      </c>
      <c r="H35" s="81">
        <v>353</v>
      </c>
      <c r="I35" s="81">
        <v>998</v>
      </c>
      <c r="J35" s="81">
        <v>211</v>
      </c>
      <c r="K35" s="81"/>
      <c r="L35" s="81">
        <v>898</v>
      </c>
      <c r="M35" s="81">
        <v>1059</v>
      </c>
      <c r="N35" s="81">
        <v>630</v>
      </c>
      <c r="O35" s="81">
        <v>235</v>
      </c>
      <c r="P35" s="81">
        <v>61</v>
      </c>
      <c r="Q35" s="81">
        <v>328</v>
      </c>
      <c r="R35" s="81">
        <v>475</v>
      </c>
      <c r="S35" s="81">
        <v>772</v>
      </c>
      <c r="T35" s="81">
        <v>1307</v>
      </c>
      <c r="V35" s="81">
        <v>1167</v>
      </c>
      <c r="W35" s="81">
        <v>41</v>
      </c>
      <c r="X35" s="81">
        <v>67</v>
      </c>
      <c r="Y35" s="81">
        <v>768</v>
      </c>
      <c r="Z35" s="81">
        <v>625</v>
      </c>
      <c r="AA35" s="81">
        <v>1209</v>
      </c>
      <c r="AB35" s="81">
        <v>1451</v>
      </c>
      <c r="AC35" s="81">
        <v>229</v>
      </c>
      <c r="AD35" s="81">
        <v>1978</v>
      </c>
      <c r="AE35" s="81">
        <v>11</v>
      </c>
      <c r="AF35" s="84">
        <v>415</v>
      </c>
      <c r="AG35" s="84">
        <v>123</v>
      </c>
      <c r="AH35" s="84">
        <v>119</v>
      </c>
      <c r="AI35" s="83">
        <v>904</v>
      </c>
      <c r="AJ35" s="83">
        <v>1146</v>
      </c>
      <c r="AK35" s="83">
        <v>152</v>
      </c>
      <c r="AL35" s="81">
        <v>157</v>
      </c>
      <c r="AM35" s="90">
        <v>580</v>
      </c>
      <c r="AN35" s="90">
        <v>684</v>
      </c>
      <c r="AO35" s="90">
        <v>1258</v>
      </c>
      <c r="AP35" s="81">
        <v>257</v>
      </c>
      <c r="AQ35" s="81">
        <v>105</v>
      </c>
      <c r="AR35" s="81">
        <v>1424</v>
      </c>
      <c r="AS35" s="81">
        <v>504</v>
      </c>
      <c r="AT35" s="81">
        <v>297</v>
      </c>
      <c r="AU35" s="81">
        <v>9331</v>
      </c>
      <c r="AV35" s="71">
        <f t="shared" si="113"/>
        <v>1459.7</v>
      </c>
      <c r="AW35" s="71">
        <f t="shared" si="102"/>
        <v>17623.193253968257</v>
      </c>
      <c r="AY35" s="42">
        <v>194</v>
      </c>
      <c r="AZ35" s="48">
        <f t="shared" si="154"/>
        <v>1.5736018482193453E-2</v>
      </c>
      <c r="BA35" s="48">
        <f t="shared" si="1"/>
        <v>2.6530185920200542E-2</v>
      </c>
      <c r="BB35" s="48">
        <f t="shared" si="2"/>
        <v>2.9112208768632252E-2</v>
      </c>
      <c r="BC35" s="48">
        <f t="shared" si="3"/>
        <v>2.3255813953488372E-3</v>
      </c>
      <c r="BD35" s="48">
        <f t="shared" si="4"/>
        <v>2.7722772277227721E-3</v>
      </c>
      <c r="BE35" s="48">
        <f t="shared" si="5"/>
        <v>1.0060711188204683E-2</v>
      </c>
      <c r="BF35" s="48">
        <f t="shared" si="6"/>
        <v>3.3086512325428814E-2</v>
      </c>
      <c r="BG35" s="48">
        <f t="shared" si="7"/>
        <v>0.10601232207350754</v>
      </c>
      <c r="BH35" s="48">
        <f t="shared" si="8"/>
        <v>1.6243264049268669E-2</v>
      </c>
      <c r="BI35" s="48">
        <f t="shared" si="9"/>
        <v>0</v>
      </c>
      <c r="BJ35" s="48">
        <f t="shared" si="10"/>
        <v>3.1323031846245075E-2</v>
      </c>
      <c r="BK35" s="48">
        <f t="shared" si="11"/>
        <v>1.4603472289256313E-2</v>
      </c>
      <c r="BL35" s="48">
        <f t="shared" si="12"/>
        <v>1.3987877173116631E-2</v>
      </c>
      <c r="BM35" s="48">
        <f t="shared" si="13"/>
        <v>2.2969406705111915E-2</v>
      </c>
      <c r="BN35" s="48">
        <f t="shared" si="14"/>
        <v>2.4689359290889223E-3</v>
      </c>
      <c r="BO35" s="48">
        <f t="shared" si="15"/>
        <v>8.3639330885352924E-3</v>
      </c>
      <c r="BP35" s="48">
        <f t="shared" si="16"/>
        <v>1.3882394201543137E-2</v>
      </c>
      <c r="BQ35" s="48">
        <f t="shared" si="17"/>
        <v>4.1228304405874501E-2</v>
      </c>
      <c r="BR35" s="48">
        <f t="shared" si="18"/>
        <v>4.6467806733743379E-2</v>
      </c>
      <c r="BS35" s="48"/>
      <c r="BT35" s="48">
        <f t="shared" si="19"/>
        <v>2.0306600080043154E-2</v>
      </c>
      <c r="BU35" s="48">
        <f t="shared" si="20"/>
        <v>1.3907734056987787E-2</v>
      </c>
      <c r="BV35" s="48">
        <f t="shared" si="21"/>
        <v>1.8301010652827097E-2</v>
      </c>
      <c r="BW35" s="48">
        <f t="shared" si="22"/>
        <v>3.2101054903635427E-2</v>
      </c>
      <c r="BX35" s="48">
        <f t="shared" si="23"/>
        <v>8.9465924218783549E-3</v>
      </c>
      <c r="BY35" s="48">
        <f t="shared" si="24"/>
        <v>1.5691313320095004E-2</v>
      </c>
      <c r="BZ35" s="48">
        <f t="shared" si="25"/>
        <v>2.2137125072468192E-2</v>
      </c>
      <c r="CA35" s="48">
        <f t="shared" si="26"/>
        <v>2.2658236615314595E-3</v>
      </c>
      <c r="CB35" s="48">
        <f t="shared" si="27"/>
        <v>2.965161599808119E-2</v>
      </c>
      <c r="CC35" s="48">
        <f t="shared" si="28"/>
        <v>1.0976948408342481E-3</v>
      </c>
      <c r="CD35" s="48">
        <f t="shared" si="29"/>
        <v>3.3192033911861152E-2</v>
      </c>
      <c r="CE35" s="48">
        <f t="shared" si="30"/>
        <v>7.2225484439224896E-3</v>
      </c>
      <c r="CF35" s="48">
        <f t="shared" si="31"/>
        <v>5.2820325102323692E-3</v>
      </c>
      <c r="CG35" s="48">
        <f t="shared" si="32"/>
        <v>2.2447357965832339E-2</v>
      </c>
      <c r="CH35" s="48">
        <f t="shared" si="33"/>
        <v>2.3699720814807156E-2</v>
      </c>
      <c r="CI35" s="48">
        <f t="shared" si="34"/>
        <v>7.8007086036674363E-3</v>
      </c>
      <c r="CJ35" s="48">
        <f t="shared" si="35"/>
        <v>1.1595783365319036E-2</v>
      </c>
      <c r="CK35" s="48">
        <f t="shared" si="36"/>
        <v>2.5717199485656012E-2</v>
      </c>
      <c r="CL35" s="48">
        <f t="shared" si="37"/>
        <v>1.2347239020163547E-2</v>
      </c>
      <c r="CM35" s="48">
        <f t="shared" si="61"/>
        <v>1.7373530914665303E-2</v>
      </c>
      <c r="CN35" s="48">
        <f t="shared" si="62"/>
        <v>4.3481203261936186E-3</v>
      </c>
      <c r="CO35" s="48">
        <f t="shared" si="63"/>
        <v>2.5430502070769453E-3</v>
      </c>
      <c r="CP35" s="48">
        <f t="shared" si="64"/>
        <v>2.3731751216585561E-2</v>
      </c>
      <c r="CQ35" s="48">
        <f t="shared" si="112"/>
        <v>5.8751529987760096E-3</v>
      </c>
      <c r="CR35" s="48">
        <f t="shared" si="65"/>
        <v>1.9360390076007456E-3</v>
      </c>
      <c r="CS35" s="48">
        <f t="shared" si="66"/>
        <v>4.4369314750621724E-2</v>
      </c>
      <c r="CT35" s="68">
        <f t="shared" si="67"/>
        <v>0.20412329997791032</v>
      </c>
      <c r="CU35" s="68">
        <f t="shared" si="68"/>
        <v>0.16938018261579205</v>
      </c>
      <c r="CW35" s="42">
        <v>194</v>
      </c>
      <c r="CX35" s="58">
        <f t="shared" si="128"/>
        <v>3637</v>
      </c>
      <c r="CY35" s="58">
        <f t="shared" si="129"/>
        <v>3791</v>
      </c>
      <c r="CZ35" s="58">
        <f t="shared" si="130"/>
        <v>7689</v>
      </c>
      <c r="DA35" s="58">
        <f t="shared" si="131"/>
        <v>139</v>
      </c>
      <c r="DB35" s="58">
        <f t="shared" si="132"/>
        <v>258</v>
      </c>
      <c r="DC35" s="58">
        <f t="shared" si="133"/>
        <v>1361</v>
      </c>
      <c r="DD35" s="58">
        <f t="shared" si="134"/>
        <v>962</v>
      </c>
      <c r="DE35" s="58">
        <f t="shared" si="135"/>
        <v>2045</v>
      </c>
      <c r="DF35" s="58">
        <f t="shared" si="136"/>
        <v>1634</v>
      </c>
      <c r="DG35" s="58">
        <f t="shared" si="137"/>
        <v>0</v>
      </c>
      <c r="DH35" s="58">
        <f t="shared" si="138"/>
        <v>4228</v>
      </c>
      <c r="DI35" s="58">
        <f t="shared" si="139"/>
        <v>8572</v>
      </c>
      <c r="DJ35" s="58">
        <f t="shared" si="140"/>
        <v>4860</v>
      </c>
      <c r="DK35" s="58">
        <f t="shared" si="141"/>
        <v>467</v>
      </c>
      <c r="DL35" s="58">
        <f t="shared" si="142"/>
        <v>5857</v>
      </c>
      <c r="DM35" s="58">
        <f t="shared" si="143"/>
        <v>6218</v>
      </c>
      <c r="DN35" s="58">
        <f t="shared" si="144"/>
        <v>5589</v>
      </c>
      <c r="DO35" s="58">
        <f t="shared" si="145"/>
        <v>2299</v>
      </c>
      <c r="DP35" s="58">
        <f t="shared" si="146"/>
        <v>6393</v>
      </c>
      <c r="DQ35" s="58"/>
      <c r="DR35" s="58">
        <f t="shared" si="147"/>
        <v>12036</v>
      </c>
      <c r="DS35" s="58">
        <f t="shared" si="148"/>
        <v>380</v>
      </c>
      <c r="DT35" s="58">
        <f t="shared" si="149"/>
        <v>1156</v>
      </c>
      <c r="DU35" s="58">
        <f t="shared" si="150"/>
        <v>4995</v>
      </c>
      <c r="DV35" s="58">
        <f t="shared" si="151"/>
        <v>6412</v>
      </c>
      <c r="DW35" s="58">
        <f t="shared" si="152"/>
        <v>11610</v>
      </c>
      <c r="DX35" s="58">
        <f t="shared" si="153"/>
        <v>7013</v>
      </c>
      <c r="DY35" s="58">
        <f t="shared" si="115"/>
        <v>9564</v>
      </c>
      <c r="DZ35" s="58">
        <f t="shared" si="116"/>
        <v>12343</v>
      </c>
      <c r="EA35" s="58">
        <f t="shared" si="117"/>
        <v>1131</v>
      </c>
      <c r="EB35" s="58">
        <f t="shared" si="118"/>
        <v>3107</v>
      </c>
      <c r="EC35" s="58">
        <f t="shared" si="119"/>
        <v>3200</v>
      </c>
      <c r="ED35" s="58">
        <f t="shared" si="120"/>
        <v>586</v>
      </c>
      <c r="EE35" s="58">
        <f t="shared" si="121"/>
        <v>5654</v>
      </c>
      <c r="EF35" s="58">
        <f t="shared" si="122"/>
        <v>17542</v>
      </c>
      <c r="EG35" s="58">
        <f t="shared" si="123"/>
        <v>6844</v>
      </c>
      <c r="EH35" s="58">
        <f t="shared" si="124"/>
        <v>1842</v>
      </c>
      <c r="EI35" s="58">
        <f t="shared" si="125"/>
        <v>5504</v>
      </c>
      <c r="EJ35" s="58">
        <f t="shared" si="126"/>
        <v>8903</v>
      </c>
      <c r="EK35" s="58">
        <f t="shared" si="127"/>
        <v>15165</v>
      </c>
      <c r="EL35" s="58">
        <f t="shared" si="105"/>
        <v>15459</v>
      </c>
      <c r="EM35" s="58">
        <f t="shared" si="106"/>
        <v>2733</v>
      </c>
      <c r="EN35" s="58">
        <f t="shared" si="107"/>
        <v>10058</v>
      </c>
      <c r="EO35" s="58">
        <f t="shared" si="108"/>
        <v>27028</v>
      </c>
      <c r="EP35" s="58">
        <f t="shared" si="109"/>
        <v>31650</v>
      </c>
      <c r="EQ35" s="58">
        <f t="shared" si="110"/>
        <v>57675</v>
      </c>
      <c r="ER35" s="67">
        <f t="shared" si="72"/>
        <v>17601.7</v>
      </c>
      <c r="ES35" s="67">
        <f t="shared" si="73"/>
        <v>8056.9024390243903</v>
      </c>
      <c r="EV35" s="42">
        <v>194</v>
      </c>
      <c r="EW35" s="128">
        <f t="shared" si="41"/>
        <v>0.15853711695218167</v>
      </c>
      <c r="EX35" s="128">
        <f t="shared" si="42"/>
        <v>0.19798412366826823</v>
      </c>
      <c r="EY35" s="128">
        <f t="shared" si="43"/>
        <v>0.33610176159461469</v>
      </c>
      <c r="EZ35" s="128">
        <f t="shared" si="44"/>
        <v>0.32325581395348835</v>
      </c>
      <c r="FA35" s="128">
        <f t="shared" si="45"/>
        <v>0.10217821782178217</v>
      </c>
      <c r="FB35" s="128">
        <f t="shared" si="46"/>
        <v>0.11803989592367736</v>
      </c>
      <c r="FC35" s="128">
        <f t="shared" si="47"/>
        <v>9.0167775799043962E-2</v>
      </c>
      <c r="FD35" s="128">
        <f t="shared" si="48"/>
        <v>0.21722965795623539</v>
      </c>
      <c r="FE35" s="128">
        <f t="shared" si="49"/>
        <v>0.12578906851424174</v>
      </c>
      <c r="FF35" s="128">
        <f t="shared" si="50"/>
        <v>0</v>
      </c>
      <c r="FG35" s="128">
        <f t="shared" si="51"/>
        <v>0.14747636820258817</v>
      </c>
      <c r="FH35" s="128">
        <f t="shared" si="52"/>
        <v>0.11820676531020312</v>
      </c>
      <c r="FI35" s="128">
        <f t="shared" si="53"/>
        <v>0.10790648104975688</v>
      </c>
      <c r="FJ35" s="128">
        <f t="shared" si="54"/>
        <v>4.5645586941647935E-2</v>
      </c>
      <c r="FK35" s="128">
        <f t="shared" si="55"/>
        <v>0.2370583235520298</v>
      </c>
      <c r="FL35" s="128">
        <f t="shared" si="56"/>
        <v>0.1585577315381477</v>
      </c>
      <c r="FM35" s="128">
        <f t="shared" si="57"/>
        <v>0.16334463408931493</v>
      </c>
      <c r="FN35" s="128">
        <f t="shared" si="58"/>
        <v>0.12277703604806409</v>
      </c>
      <c r="FO35" s="128">
        <f t="shared" si="59"/>
        <v>0.22729050378639742</v>
      </c>
      <c r="FP35" s="128"/>
      <c r="FQ35" s="128">
        <f t="shared" si="74"/>
        <v>0.20943465172527798</v>
      </c>
      <c r="FR35" s="128">
        <f t="shared" si="75"/>
        <v>0.12890094979647218</v>
      </c>
      <c r="FS35" s="128">
        <f t="shared" si="76"/>
        <v>0.31576072111444958</v>
      </c>
      <c r="FT35" s="128">
        <f t="shared" si="77"/>
        <v>0.2087822516193476</v>
      </c>
      <c r="FU35" s="128">
        <f t="shared" si="78"/>
        <v>9.1784880974534425E-2</v>
      </c>
      <c r="FV35" s="128">
        <f t="shared" si="79"/>
        <v>0.15068333138652026</v>
      </c>
      <c r="FW35" s="128">
        <f t="shared" si="80"/>
        <v>0.10699356177341104</v>
      </c>
      <c r="FX35" s="128">
        <f t="shared" si="81"/>
        <v>9.4630294754964525E-2</v>
      </c>
      <c r="FY35" s="128">
        <f t="shared" si="82"/>
        <v>0.18503028122564011</v>
      </c>
      <c r="FZ35" s="128">
        <f t="shared" si="83"/>
        <v>0.11286298772577587</v>
      </c>
      <c r="GA35" s="128">
        <f t="shared" si="84"/>
        <v>0.24850035991362074</v>
      </c>
      <c r="GB35" s="128">
        <f t="shared" si="85"/>
        <v>0.18790369935408102</v>
      </c>
      <c r="GC35" s="128">
        <f t="shared" si="86"/>
        <v>2.601068110080814E-2</v>
      </c>
      <c r="GD35" s="128">
        <f t="shared" si="87"/>
        <v>0.1403953118792213</v>
      </c>
      <c r="GE35" s="128">
        <f t="shared" si="88"/>
        <v>0.36277530762072174</v>
      </c>
      <c r="GF35" s="128">
        <f t="shared" si="89"/>
        <v>0.35123716897039431</v>
      </c>
      <c r="GG35" s="128">
        <f t="shared" si="90"/>
        <v>0.13604734368737365</v>
      </c>
      <c r="GH35" s="128">
        <f t="shared" si="91"/>
        <v>0.2440473551190529</v>
      </c>
      <c r="GI35" s="128">
        <f t="shared" si="92"/>
        <v>0.1607126739715147</v>
      </c>
      <c r="GJ35" s="128">
        <f t="shared" si="93"/>
        <v>0.20943529119308374</v>
      </c>
      <c r="GK35" s="128">
        <f t="shared" si="94"/>
        <v>0.261547051060806</v>
      </c>
      <c r="GL35" s="128">
        <f t="shared" si="95"/>
        <v>6.6191963961345635E-2</v>
      </c>
      <c r="GM35" s="128">
        <f t="shared" si="96"/>
        <v>0.16762215852276516</v>
      </c>
      <c r="GN35" s="128">
        <f t="shared" si="97"/>
        <v>0.31506673660896428</v>
      </c>
      <c r="GO35" s="128">
        <f t="shared" si="98"/>
        <v>0.20631526798169564</v>
      </c>
      <c r="GP35" s="128">
        <f t="shared" si="99"/>
        <v>0.27424715767250113</v>
      </c>
      <c r="GQ35" s="129">
        <f t="shared" si="100"/>
        <v>0.20412329997791029</v>
      </c>
      <c r="GR35" s="129">
        <f t="shared" si="101"/>
        <v>0.16938018261579199</v>
      </c>
    </row>
    <row r="36" spans="1:200" x14ac:dyDescent="0.25">
      <c r="A36" s="42">
        <v>195</v>
      </c>
      <c r="B36" s="81">
        <v>592</v>
      </c>
      <c r="C36" s="81">
        <v>994</v>
      </c>
      <c r="D36" s="81">
        <v>684</v>
      </c>
      <c r="E36" s="81">
        <v>1</v>
      </c>
      <c r="F36" s="81">
        <v>97</v>
      </c>
      <c r="G36" s="81">
        <v>205</v>
      </c>
      <c r="H36" s="81">
        <v>58</v>
      </c>
      <c r="I36" s="81">
        <v>134</v>
      </c>
      <c r="J36" s="81">
        <v>250</v>
      </c>
      <c r="K36" s="81"/>
      <c r="L36" s="81">
        <v>605</v>
      </c>
      <c r="M36" s="81">
        <v>702</v>
      </c>
      <c r="N36" s="81">
        <v>223</v>
      </c>
      <c r="O36" s="81">
        <v>87</v>
      </c>
      <c r="P36" s="81">
        <v>1312</v>
      </c>
      <c r="Q36" s="81">
        <v>406</v>
      </c>
      <c r="R36" s="81">
        <v>507</v>
      </c>
      <c r="S36" s="81">
        <v>7</v>
      </c>
      <c r="T36" s="81">
        <v>417</v>
      </c>
      <c r="V36" s="81">
        <v>1659</v>
      </c>
      <c r="W36" s="81">
        <v>65</v>
      </c>
      <c r="X36" s="81">
        <v>56</v>
      </c>
      <c r="Y36" s="81">
        <v>204</v>
      </c>
      <c r="Z36" s="81">
        <v>1063</v>
      </c>
      <c r="AA36" s="81">
        <v>3878</v>
      </c>
      <c r="AB36" s="81">
        <v>497</v>
      </c>
      <c r="AC36" s="81">
        <v>536</v>
      </c>
      <c r="AD36" s="81">
        <v>447</v>
      </c>
      <c r="AE36" s="81">
        <v>45</v>
      </c>
      <c r="AF36" s="84">
        <v>197</v>
      </c>
      <c r="AG36" s="84">
        <v>290</v>
      </c>
      <c r="AH36" s="84">
        <v>267</v>
      </c>
      <c r="AI36" s="83">
        <v>2015</v>
      </c>
      <c r="AJ36" s="83">
        <v>792</v>
      </c>
      <c r="AK36" s="83">
        <v>48</v>
      </c>
      <c r="AL36" s="81">
        <v>301</v>
      </c>
      <c r="AM36" s="90">
        <v>1361</v>
      </c>
      <c r="AN36" s="90">
        <v>1137</v>
      </c>
      <c r="AO36" s="90">
        <v>3697</v>
      </c>
      <c r="AP36" s="81">
        <v>859</v>
      </c>
      <c r="AQ36" s="81">
        <v>219</v>
      </c>
      <c r="AR36" s="81">
        <v>388</v>
      </c>
      <c r="AS36" s="81">
        <v>1781</v>
      </c>
      <c r="AT36" s="81">
        <v>200</v>
      </c>
      <c r="AU36" s="81">
        <v>9138</v>
      </c>
      <c r="AV36" s="71">
        <f t="shared" si="113"/>
        <v>1908.1</v>
      </c>
      <c r="AW36" s="71">
        <f t="shared" si="102"/>
        <v>19531.293253968255</v>
      </c>
      <c r="AY36" s="42">
        <v>195</v>
      </c>
      <c r="AZ36" s="48">
        <f t="shared" si="154"/>
        <v>2.5805326707641341E-2</v>
      </c>
      <c r="BA36" s="48">
        <f t="shared" si="1"/>
        <v>5.1911426780864842E-2</v>
      </c>
      <c r="BB36" s="48">
        <f t="shared" si="2"/>
        <v>2.9899025221838529E-2</v>
      </c>
      <c r="BC36" s="48">
        <f t="shared" si="3"/>
        <v>2.3255813953488372E-3</v>
      </c>
      <c r="BD36" s="48">
        <f t="shared" si="4"/>
        <v>3.8415841584158415E-2</v>
      </c>
      <c r="BE36" s="48">
        <f t="shared" si="5"/>
        <v>1.7779705117085862E-2</v>
      </c>
      <c r="BF36" s="48">
        <f t="shared" si="6"/>
        <v>5.4363108070109665E-3</v>
      </c>
      <c r="BG36" s="48">
        <f t="shared" si="7"/>
        <v>1.4234119396643298E-2</v>
      </c>
      <c r="BH36" s="48">
        <f t="shared" si="8"/>
        <v>1.924557351809084E-2</v>
      </c>
      <c r="BI36" s="48">
        <f t="shared" si="9"/>
        <v>0</v>
      </c>
      <c r="BJ36" s="48">
        <f t="shared" si="10"/>
        <v>2.1102933482158429E-2</v>
      </c>
      <c r="BK36" s="48">
        <f t="shared" si="11"/>
        <v>9.680488712991436E-3</v>
      </c>
      <c r="BL36" s="48">
        <f t="shared" si="12"/>
        <v>4.9512644596904909E-3</v>
      </c>
      <c r="BM36" s="48">
        <f t="shared" si="13"/>
        <v>8.5035675887010064E-3</v>
      </c>
      <c r="BN36" s="48">
        <f t="shared" si="14"/>
        <v>5.3102359655158457E-2</v>
      </c>
      <c r="BO36" s="48">
        <f t="shared" si="15"/>
        <v>1.0352917176662587E-2</v>
      </c>
      <c r="BP36" s="48">
        <f t="shared" si="16"/>
        <v>1.4817629179331307E-2</v>
      </c>
      <c r="BQ36" s="48">
        <f t="shared" si="17"/>
        <v>3.7383177570093456E-4</v>
      </c>
      <c r="BR36" s="48">
        <f t="shared" si="18"/>
        <v>1.4825612400895936E-2</v>
      </c>
      <c r="BS36" s="48"/>
      <c r="BT36" s="48">
        <f t="shared" si="19"/>
        <v>2.8867737388853121E-2</v>
      </c>
      <c r="BU36" s="48">
        <f t="shared" si="20"/>
        <v>2.2048846675712348E-2</v>
      </c>
      <c r="BV36" s="48">
        <f t="shared" si="21"/>
        <v>1.5296367112810707E-2</v>
      </c>
      <c r="BW36" s="48">
        <f t="shared" si="22"/>
        <v>8.5268427087781592E-3</v>
      </c>
      <c r="BX36" s="48">
        <f t="shared" si="23"/>
        <v>1.5216364391130706E-2</v>
      </c>
      <c r="BY36" s="48">
        <f t="shared" si="24"/>
        <v>5.0331607159080582E-2</v>
      </c>
      <c r="BZ36" s="48">
        <f t="shared" si="25"/>
        <v>7.5824611723064716E-3</v>
      </c>
      <c r="CA36" s="48">
        <f t="shared" si="26"/>
        <v>5.3034125876893542E-3</v>
      </c>
      <c r="CB36" s="48">
        <f t="shared" si="27"/>
        <v>6.7008454758050008E-3</v>
      </c>
      <c r="CC36" s="48">
        <f t="shared" si="28"/>
        <v>4.4905698034128335E-3</v>
      </c>
      <c r="CD36" s="48">
        <f t="shared" si="29"/>
        <v>1.5756218507558185E-2</v>
      </c>
      <c r="CE36" s="48">
        <f t="shared" si="30"/>
        <v>1.7028772753963594E-2</v>
      </c>
      <c r="CF36" s="48">
        <f t="shared" si="31"/>
        <v>1.1851283027160021E-2</v>
      </c>
      <c r="CG36" s="48">
        <f t="shared" si="32"/>
        <v>5.003476360746921E-2</v>
      </c>
      <c r="CH36" s="48">
        <f t="shared" si="33"/>
        <v>1.6378864646882433E-2</v>
      </c>
      <c r="CI36" s="48">
        <f t="shared" si="34"/>
        <v>2.4633816643160325E-3</v>
      </c>
      <c r="CJ36" s="48">
        <f t="shared" si="35"/>
        <v>2.2231406324592546E-2</v>
      </c>
      <c r="CK36" s="48">
        <f t="shared" si="36"/>
        <v>6.0346738793065222E-2</v>
      </c>
      <c r="CL36" s="48">
        <f t="shared" si="37"/>
        <v>2.0524577143166599E-2</v>
      </c>
      <c r="CM36" s="48">
        <f t="shared" si="61"/>
        <v>5.1057189023463935E-2</v>
      </c>
      <c r="CN36" s="48">
        <f t="shared" si="62"/>
        <v>1.4533211518289176E-2</v>
      </c>
      <c r="CO36" s="48">
        <f t="shared" si="63"/>
        <v>5.3040761461890578E-3</v>
      </c>
      <c r="CP36" s="48">
        <f t="shared" si="64"/>
        <v>6.4662355842943801E-3</v>
      </c>
      <c r="CQ36" s="48">
        <f t="shared" si="112"/>
        <v>2.0761205338928716E-2</v>
      </c>
      <c r="CR36" s="48">
        <f t="shared" si="65"/>
        <v>1.3037299714483137E-3</v>
      </c>
      <c r="CS36" s="48">
        <f t="shared" si="66"/>
        <v>4.3451591275445428E-2</v>
      </c>
      <c r="CT36" s="68">
        <f t="shared" si="67"/>
        <v>0.22872129608979866</v>
      </c>
      <c r="CU36" s="68">
        <f t="shared" si="68"/>
        <v>0.18783580346106257</v>
      </c>
      <c r="CW36" s="42">
        <v>195</v>
      </c>
      <c r="CX36" s="58">
        <f t="shared" si="128"/>
        <v>4229</v>
      </c>
      <c r="CY36" s="58">
        <f t="shared" si="129"/>
        <v>4785</v>
      </c>
      <c r="CZ36" s="58">
        <f t="shared" si="130"/>
        <v>8373</v>
      </c>
      <c r="DA36" s="58">
        <f t="shared" si="131"/>
        <v>140</v>
      </c>
      <c r="DB36" s="58">
        <f t="shared" si="132"/>
        <v>355</v>
      </c>
      <c r="DC36" s="58">
        <f t="shared" si="133"/>
        <v>1566</v>
      </c>
      <c r="DD36" s="58">
        <f t="shared" si="134"/>
        <v>1020</v>
      </c>
      <c r="DE36" s="58">
        <f t="shared" si="135"/>
        <v>2179</v>
      </c>
      <c r="DF36" s="58">
        <f t="shared" si="136"/>
        <v>1884</v>
      </c>
      <c r="DG36" s="58">
        <f t="shared" si="137"/>
        <v>0</v>
      </c>
      <c r="DH36" s="58">
        <f t="shared" si="138"/>
        <v>4833</v>
      </c>
      <c r="DI36" s="58">
        <f t="shared" si="139"/>
        <v>9274</v>
      </c>
      <c r="DJ36" s="58">
        <f t="shared" si="140"/>
        <v>5083</v>
      </c>
      <c r="DK36" s="58">
        <f t="shared" si="141"/>
        <v>554</v>
      </c>
      <c r="DL36" s="58">
        <f t="shared" si="142"/>
        <v>7169</v>
      </c>
      <c r="DM36" s="58">
        <f t="shared" si="143"/>
        <v>6624</v>
      </c>
      <c r="DN36" s="58">
        <f t="shared" si="144"/>
        <v>6096</v>
      </c>
      <c r="DO36" s="58">
        <f t="shared" si="145"/>
        <v>2306</v>
      </c>
      <c r="DP36" s="58">
        <f t="shared" si="146"/>
        <v>6810</v>
      </c>
      <c r="DQ36" s="58"/>
      <c r="DR36" s="58">
        <f t="shared" si="147"/>
        <v>13695</v>
      </c>
      <c r="DS36" s="58">
        <f t="shared" si="148"/>
        <v>445</v>
      </c>
      <c r="DT36" s="58">
        <f t="shared" si="149"/>
        <v>1212</v>
      </c>
      <c r="DU36" s="58">
        <f t="shared" si="150"/>
        <v>5199</v>
      </c>
      <c r="DV36" s="58">
        <f t="shared" si="151"/>
        <v>7475</v>
      </c>
      <c r="DW36" s="58">
        <f t="shared" si="152"/>
        <v>15488</v>
      </c>
      <c r="DX36" s="58">
        <f t="shared" si="153"/>
        <v>7510</v>
      </c>
      <c r="DY36" s="58">
        <f t="shared" si="115"/>
        <v>10100</v>
      </c>
      <c r="DZ36" s="58">
        <f t="shared" si="116"/>
        <v>12790</v>
      </c>
      <c r="EA36" s="58">
        <f t="shared" si="117"/>
        <v>1176</v>
      </c>
      <c r="EB36" s="58">
        <f t="shared" si="118"/>
        <v>3304</v>
      </c>
      <c r="EC36" s="58">
        <f t="shared" si="119"/>
        <v>3490</v>
      </c>
      <c r="ED36" s="58">
        <f t="shared" si="120"/>
        <v>853</v>
      </c>
      <c r="EE36" s="58">
        <f t="shared" si="121"/>
        <v>7669</v>
      </c>
      <c r="EF36" s="58">
        <f t="shared" si="122"/>
        <v>18334</v>
      </c>
      <c r="EG36" s="58">
        <f t="shared" si="123"/>
        <v>6892</v>
      </c>
      <c r="EH36" s="58">
        <f t="shared" si="124"/>
        <v>2143</v>
      </c>
      <c r="EI36" s="58">
        <f t="shared" si="125"/>
        <v>6865</v>
      </c>
      <c r="EJ36" s="58">
        <f t="shared" si="126"/>
        <v>10040</v>
      </c>
      <c r="EK36" s="58">
        <f t="shared" si="127"/>
        <v>18862</v>
      </c>
      <c r="EL36" s="58">
        <f t="shared" si="105"/>
        <v>16318</v>
      </c>
      <c r="EM36" s="58">
        <f t="shared" si="106"/>
        <v>2952</v>
      </c>
      <c r="EN36" s="58">
        <f t="shared" si="107"/>
        <v>10446</v>
      </c>
      <c r="EO36" s="58">
        <f t="shared" si="108"/>
        <v>28809</v>
      </c>
      <c r="EP36" s="58">
        <f t="shared" si="109"/>
        <v>31850</v>
      </c>
      <c r="EQ36" s="58">
        <f t="shared" si="110"/>
        <v>66813</v>
      </c>
      <c r="ER36" s="67">
        <f t="shared" si="72"/>
        <v>19509.8</v>
      </c>
      <c r="ES36" s="67">
        <f t="shared" si="73"/>
        <v>8938.6097560975613</v>
      </c>
      <c r="EV36" s="42">
        <v>195</v>
      </c>
      <c r="EW36" s="128">
        <f t="shared" si="41"/>
        <v>0.18434244365982302</v>
      </c>
      <c r="EX36" s="128">
        <f t="shared" si="42"/>
        <v>0.24989555044913306</v>
      </c>
      <c r="EY36" s="128">
        <f t="shared" si="43"/>
        <v>0.36600078681645321</v>
      </c>
      <c r="EZ36" s="128">
        <f t="shared" si="44"/>
        <v>0.32558139534883723</v>
      </c>
      <c r="FA36" s="128">
        <f t="shared" si="45"/>
        <v>0.14059405940594061</v>
      </c>
      <c r="FB36" s="128">
        <f t="shared" si="46"/>
        <v>0.13581960104076324</v>
      </c>
      <c r="FC36" s="128">
        <f t="shared" si="47"/>
        <v>9.5604086606054919E-2</v>
      </c>
      <c r="FD36" s="128">
        <f t="shared" si="48"/>
        <v>0.23146377735287868</v>
      </c>
      <c r="FE36" s="128">
        <f t="shared" si="49"/>
        <v>0.14503464203233257</v>
      </c>
      <c r="FF36" s="128">
        <f t="shared" si="50"/>
        <v>0</v>
      </c>
      <c r="FG36" s="128">
        <f t="shared" si="51"/>
        <v>0.16857930168474658</v>
      </c>
      <c r="FH36" s="128">
        <f t="shared" si="52"/>
        <v>0.12788725402319456</v>
      </c>
      <c r="FI36" s="128">
        <f t="shared" si="53"/>
        <v>0.11285774550944737</v>
      </c>
      <c r="FJ36" s="128">
        <f t="shared" si="54"/>
        <v>5.4149154530348936E-2</v>
      </c>
      <c r="FK36" s="128">
        <f t="shared" si="55"/>
        <v>0.29016068320718824</v>
      </c>
      <c r="FL36" s="128">
        <f t="shared" si="56"/>
        <v>0.16891064871481029</v>
      </c>
      <c r="FM36" s="128">
        <f t="shared" si="57"/>
        <v>0.17816226326864626</v>
      </c>
      <c r="FN36" s="128">
        <f t="shared" si="58"/>
        <v>0.12315086782376503</v>
      </c>
      <c r="FO36" s="128">
        <f t="shared" si="59"/>
        <v>0.24211611618729334</v>
      </c>
      <c r="FP36" s="128"/>
      <c r="FQ36" s="128">
        <f t="shared" si="74"/>
        <v>0.2383023891141311</v>
      </c>
      <c r="FR36" s="128">
        <f t="shared" si="75"/>
        <v>0.15094979647218454</v>
      </c>
      <c r="FS36" s="128">
        <f t="shared" si="76"/>
        <v>0.33105708822726032</v>
      </c>
      <c r="FT36" s="128">
        <f t="shared" si="77"/>
        <v>0.21730909432812576</v>
      </c>
      <c r="FU36" s="128">
        <f t="shared" si="78"/>
        <v>0.10700124536566513</v>
      </c>
      <c r="FV36" s="128">
        <f t="shared" si="79"/>
        <v>0.20101493854560085</v>
      </c>
      <c r="FW36" s="128">
        <f t="shared" si="80"/>
        <v>0.11457602294571752</v>
      </c>
      <c r="FX36" s="128">
        <f t="shared" si="81"/>
        <v>9.9933707342653888E-2</v>
      </c>
      <c r="FY36" s="128">
        <f t="shared" si="82"/>
        <v>0.1917311267014451</v>
      </c>
      <c r="FZ36" s="128">
        <f t="shared" si="83"/>
        <v>0.1173535575291887</v>
      </c>
      <c r="GA36" s="128">
        <f t="shared" si="84"/>
        <v>0.26425657842117889</v>
      </c>
      <c r="GB36" s="128">
        <f t="shared" si="85"/>
        <v>0.20493247210804463</v>
      </c>
      <c r="GC36" s="128">
        <f t="shared" si="86"/>
        <v>3.7861964127968162E-2</v>
      </c>
      <c r="GD36" s="128">
        <f t="shared" si="87"/>
        <v>0.1904300754866905</v>
      </c>
      <c r="GE36" s="128">
        <f t="shared" si="88"/>
        <v>0.37915417226760417</v>
      </c>
      <c r="GF36" s="128">
        <f t="shared" si="89"/>
        <v>0.35370055063471034</v>
      </c>
      <c r="GG36" s="128">
        <f t="shared" si="90"/>
        <v>0.1582787500119662</v>
      </c>
      <c r="GH36" s="128">
        <f t="shared" si="91"/>
        <v>0.30439409391211814</v>
      </c>
      <c r="GI36" s="128">
        <f t="shared" si="92"/>
        <v>0.18123725111468131</v>
      </c>
      <c r="GJ36" s="128">
        <f t="shared" si="93"/>
        <v>0.26049248021654764</v>
      </c>
      <c r="GK36" s="128">
        <f t="shared" si="94"/>
        <v>0.27608026257909518</v>
      </c>
      <c r="GL36" s="128">
        <f t="shared" si="95"/>
        <v>7.14960401075347E-2</v>
      </c>
      <c r="GM36" s="128">
        <f t="shared" si="96"/>
        <v>0.17408839410705954</v>
      </c>
      <c r="GN36" s="128">
        <f t="shared" si="97"/>
        <v>0.33582794194789301</v>
      </c>
      <c r="GO36" s="128">
        <f t="shared" si="98"/>
        <v>0.20761899795314395</v>
      </c>
      <c r="GP36" s="128">
        <f t="shared" si="99"/>
        <v>0.31769874894794653</v>
      </c>
      <c r="GQ36" s="129">
        <f t="shared" si="100"/>
        <v>0.22872129608979863</v>
      </c>
      <c r="GR36" s="129">
        <f t="shared" si="101"/>
        <v>0.1878358034610626</v>
      </c>
    </row>
    <row r="37" spans="1:200" x14ac:dyDescent="0.25">
      <c r="A37" s="42">
        <v>196</v>
      </c>
      <c r="B37" s="81">
        <v>715</v>
      </c>
      <c r="C37" s="81">
        <v>308</v>
      </c>
      <c r="D37" s="81">
        <v>1229</v>
      </c>
      <c r="E37" s="81">
        <v>3</v>
      </c>
      <c r="F37" s="81">
        <v>12</v>
      </c>
      <c r="G37" s="81">
        <v>530</v>
      </c>
      <c r="H37" s="81">
        <v>17</v>
      </c>
      <c r="I37" s="81">
        <v>8</v>
      </c>
      <c r="J37" s="81">
        <v>359</v>
      </c>
      <c r="K37" s="81"/>
      <c r="L37" s="81">
        <v>231</v>
      </c>
      <c r="M37" s="81">
        <v>1083</v>
      </c>
      <c r="N37" s="81">
        <v>1085</v>
      </c>
      <c r="O37" s="81">
        <v>44</v>
      </c>
      <c r="P37" s="81">
        <v>1734</v>
      </c>
      <c r="Q37" s="81">
        <v>847</v>
      </c>
      <c r="R37" s="81">
        <v>24</v>
      </c>
      <c r="S37" s="81">
        <v>313</v>
      </c>
      <c r="T37" s="81">
        <v>1254</v>
      </c>
      <c r="V37" s="81">
        <v>680</v>
      </c>
      <c r="W37" s="81">
        <v>53</v>
      </c>
      <c r="X37" s="81">
        <v>50</v>
      </c>
      <c r="Y37" s="81">
        <v>124</v>
      </c>
      <c r="Z37" s="81">
        <v>1443</v>
      </c>
      <c r="AA37" s="81">
        <v>1939</v>
      </c>
      <c r="AB37" s="81">
        <v>2027</v>
      </c>
      <c r="AC37" s="81">
        <v>2256</v>
      </c>
      <c r="AD37" s="81">
        <v>2429</v>
      </c>
      <c r="AE37" s="81">
        <v>27</v>
      </c>
      <c r="AF37" s="84">
        <v>583</v>
      </c>
      <c r="AG37" s="84">
        <v>467</v>
      </c>
      <c r="AH37" s="84">
        <v>213</v>
      </c>
      <c r="AI37" s="83">
        <v>923</v>
      </c>
      <c r="AJ37" s="83">
        <v>266</v>
      </c>
      <c r="AK37" s="83">
        <v>443</v>
      </c>
      <c r="AL37" s="81">
        <v>52</v>
      </c>
      <c r="AM37" s="90">
        <v>6</v>
      </c>
      <c r="AN37" s="90">
        <v>495</v>
      </c>
      <c r="AO37" s="90">
        <v>130</v>
      </c>
      <c r="AP37" s="81">
        <v>34</v>
      </c>
      <c r="AQ37" s="81">
        <v>1758</v>
      </c>
      <c r="AR37" s="81">
        <v>97</v>
      </c>
      <c r="AS37" s="81">
        <v>703</v>
      </c>
      <c r="AT37" s="81">
        <v>3610</v>
      </c>
      <c r="AU37" s="81">
        <v>10195</v>
      </c>
      <c r="AV37" s="71">
        <f t="shared" si="113"/>
        <v>1708</v>
      </c>
      <c r="AW37" s="71">
        <f t="shared" si="102"/>
        <v>21239.293253968255</v>
      </c>
      <c r="AY37" s="42">
        <v>196</v>
      </c>
      <c r="AZ37" s="48">
        <f t="shared" si="154"/>
        <v>3.1166906412100605E-2</v>
      </c>
      <c r="BA37" s="48">
        <f t="shared" si="1"/>
        <v>1.6085230833507415E-2</v>
      </c>
      <c r="BB37" s="48">
        <f t="shared" si="2"/>
        <v>5.3722078943917471E-2</v>
      </c>
      <c r="BC37" s="48">
        <f t="shared" si="3"/>
        <v>6.9767441860465115E-3</v>
      </c>
      <c r="BD37" s="48">
        <f t="shared" si="4"/>
        <v>4.7524752475247524E-3</v>
      </c>
      <c r="BE37" s="48">
        <f t="shared" si="5"/>
        <v>4.5967042497831741E-2</v>
      </c>
      <c r="BF37" s="48">
        <f t="shared" si="6"/>
        <v>1.5934014434342487E-3</v>
      </c>
      <c r="BG37" s="48">
        <f t="shared" si="7"/>
        <v>8.4979817293392816E-4</v>
      </c>
      <c r="BH37" s="48">
        <f t="shared" si="8"/>
        <v>2.7636643571978446E-2</v>
      </c>
      <c r="BI37" s="48">
        <f t="shared" si="9"/>
        <v>0</v>
      </c>
      <c r="BJ37" s="48">
        <f t="shared" si="10"/>
        <v>8.0574836931877631E-3</v>
      </c>
      <c r="BK37" s="48">
        <f t="shared" si="11"/>
        <v>1.4934429168332942E-2</v>
      </c>
      <c r="BL37" s="48">
        <f t="shared" si="12"/>
        <v>2.4090232909256423E-2</v>
      </c>
      <c r="BM37" s="48">
        <f t="shared" si="13"/>
        <v>4.3006548724464858E-3</v>
      </c>
      <c r="BN37" s="48">
        <f t="shared" si="14"/>
        <v>7.0182539361314605E-2</v>
      </c>
      <c r="BO37" s="48">
        <f t="shared" si="15"/>
        <v>2.1598327213382292E-2</v>
      </c>
      <c r="BP37" s="48">
        <f t="shared" si="16"/>
        <v>7.0142623334112691E-4</v>
      </c>
      <c r="BQ37" s="48">
        <f t="shared" si="17"/>
        <v>1.671562082777036E-2</v>
      </c>
      <c r="BR37" s="48">
        <f t="shared" si="18"/>
        <v>4.4583496284708646E-2</v>
      </c>
      <c r="BS37" s="48"/>
      <c r="BT37" s="48">
        <f t="shared" si="19"/>
        <v>1.1832466199168248E-2</v>
      </c>
      <c r="BU37" s="48">
        <f t="shared" si="20"/>
        <v>1.7978290366350069E-2</v>
      </c>
      <c r="BV37" s="48">
        <f t="shared" si="21"/>
        <v>1.3657470636438131E-2</v>
      </c>
      <c r="BW37" s="48">
        <f t="shared" si="22"/>
        <v>5.1829828229828035E-3</v>
      </c>
      <c r="BX37" s="48">
        <f t="shared" si="23"/>
        <v>2.0655892583632745E-2</v>
      </c>
      <c r="BY37" s="48">
        <f t="shared" si="24"/>
        <v>2.5165803579540291E-2</v>
      </c>
      <c r="BZ37" s="48">
        <f t="shared" si="25"/>
        <v>3.0924846672565832E-2</v>
      </c>
      <c r="CA37" s="48">
        <f t="shared" si="26"/>
        <v>2.2321826115349223E-2</v>
      </c>
      <c r="CB37" s="48">
        <f t="shared" si="27"/>
        <v>3.6412424296935898E-2</v>
      </c>
      <c r="CC37" s="48">
        <f t="shared" si="28"/>
        <v>2.6943418820476999E-3</v>
      </c>
      <c r="CD37" s="48">
        <f t="shared" si="29"/>
        <v>4.66288090858194E-2</v>
      </c>
      <c r="CE37" s="48">
        <f t="shared" si="30"/>
        <v>2.7422196124486202E-2</v>
      </c>
      <c r="CF37" s="48">
        <f t="shared" si="31"/>
        <v>9.4543943250377706E-3</v>
      </c>
      <c r="CG37" s="48">
        <f t="shared" si="32"/>
        <v>2.2919149781485897E-2</v>
      </c>
      <c r="CH37" s="48">
        <f t="shared" si="33"/>
        <v>5.5009823182711201E-3</v>
      </c>
      <c r="CI37" s="48">
        <f t="shared" si="34"/>
        <v>2.2734959943583384E-2</v>
      </c>
      <c r="CJ37" s="48">
        <f t="shared" si="35"/>
        <v>3.8406416241821006E-3</v>
      </c>
      <c r="CK37" s="48">
        <f t="shared" si="36"/>
        <v>2.660399946792001E-4</v>
      </c>
      <c r="CL37" s="48">
        <f t="shared" si="37"/>
        <v>8.9355019224867764E-3</v>
      </c>
      <c r="CM37" s="48">
        <f t="shared" si="61"/>
        <v>1.7953569307682746E-3</v>
      </c>
      <c r="CN37" s="48">
        <f t="shared" si="62"/>
        <v>5.7523770852366935E-4</v>
      </c>
      <c r="CO37" s="48">
        <f t="shared" si="63"/>
        <v>4.257792632420257E-2</v>
      </c>
      <c r="CP37" s="48">
        <f t="shared" si="64"/>
        <v>1.616558896073595E-3</v>
      </c>
      <c r="CQ37" s="48">
        <f>AS37/AS$104</f>
        <v>8.1949058693244741E-3</v>
      </c>
      <c r="CR37" s="48">
        <f t="shared" si="65"/>
        <v>2.3532325984642062E-2</v>
      </c>
      <c r="CS37" s="48">
        <f t="shared" si="66"/>
        <v>4.8477672691307302E-2</v>
      </c>
      <c r="CT37" s="68">
        <f t="shared" si="67"/>
        <v>0.24270251288441766</v>
      </c>
      <c r="CU37" s="68">
        <f t="shared" si="68"/>
        <v>0.20606171995319253</v>
      </c>
      <c r="CW37" s="42">
        <v>196</v>
      </c>
      <c r="CX37" s="58">
        <f t="shared" si="128"/>
        <v>4944</v>
      </c>
      <c r="CY37" s="58">
        <f t="shared" si="129"/>
        <v>5093</v>
      </c>
      <c r="CZ37" s="58">
        <f t="shared" si="130"/>
        <v>9602</v>
      </c>
      <c r="DA37" s="58">
        <f t="shared" si="131"/>
        <v>143</v>
      </c>
      <c r="DB37" s="58">
        <f t="shared" si="132"/>
        <v>367</v>
      </c>
      <c r="DC37" s="58">
        <f t="shared" si="133"/>
        <v>2096</v>
      </c>
      <c r="DD37" s="58">
        <f t="shared" si="134"/>
        <v>1037</v>
      </c>
      <c r="DE37" s="58">
        <f t="shared" si="135"/>
        <v>2187</v>
      </c>
      <c r="DF37" s="58">
        <f t="shared" si="136"/>
        <v>2243</v>
      </c>
      <c r="DG37" s="58">
        <f t="shared" si="137"/>
        <v>0</v>
      </c>
      <c r="DH37" s="58">
        <f t="shared" si="138"/>
        <v>5064</v>
      </c>
      <c r="DI37" s="58">
        <f t="shared" si="139"/>
        <v>10357</v>
      </c>
      <c r="DJ37" s="58">
        <f t="shared" si="140"/>
        <v>6168</v>
      </c>
      <c r="DK37" s="58">
        <f t="shared" si="141"/>
        <v>598</v>
      </c>
      <c r="DL37" s="58">
        <f t="shared" si="142"/>
        <v>8903</v>
      </c>
      <c r="DM37" s="58">
        <f t="shared" si="143"/>
        <v>7471</v>
      </c>
      <c r="DN37" s="58">
        <f t="shared" si="144"/>
        <v>6120</v>
      </c>
      <c r="DO37" s="58">
        <f t="shared" si="145"/>
        <v>2619</v>
      </c>
      <c r="DP37" s="58">
        <f t="shared" si="146"/>
        <v>8064</v>
      </c>
      <c r="DQ37" s="58"/>
      <c r="DR37" s="58">
        <f t="shared" si="147"/>
        <v>14375</v>
      </c>
      <c r="DS37" s="58">
        <f t="shared" si="148"/>
        <v>498</v>
      </c>
      <c r="DT37" s="58">
        <f t="shared" si="149"/>
        <v>1262</v>
      </c>
      <c r="DU37" s="58">
        <f t="shared" si="150"/>
        <v>5323</v>
      </c>
      <c r="DV37" s="58">
        <f t="shared" si="151"/>
        <v>8918</v>
      </c>
      <c r="DW37" s="58">
        <f t="shared" si="152"/>
        <v>17427</v>
      </c>
      <c r="DX37" s="58">
        <f t="shared" si="153"/>
        <v>9537</v>
      </c>
      <c r="DY37" s="58">
        <f t="shared" si="115"/>
        <v>12356</v>
      </c>
      <c r="DZ37" s="58">
        <f t="shared" si="116"/>
        <v>15219</v>
      </c>
      <c r="EA37" s="58">
        <f t="shared" si="117"/>
        <v>1203</v>
      </c>
      <c r="EB37" s="58">
        <f t="shared" si="118"/>
        <v>3887</v>
      </c>
      <c r="EC37" s="58">
        <f t="shared" si="119"/>
        <v>3957</v>
      </c>
      <c r="ED37" s="58">
        <f t="shared" si="120"/>
        <v>1066</v>
      </c>
      <c r="EE37" s="58">
        <f t="shared" si="121"/>
        <v>8592</v>
      </c>
      <c r="EF37" s="58">
        <f t="shared" si="122"/>
        <v>18600</v>
      </c>
      <c r="EG37" s="58">
        <f t="shared" si="123"/>
        <v>7335</v>
      </c>
      <c r="EH37" s="58">
        <f t="shared" si="124"/>
        <v>2195</v>
      </c>
      <c r="EI37" s="58">
        <f t="shared" si="125"/>
        <v>6871</v>
      </c>
      <c r="EJ37" s="58">
        <f t="shared" si="126"/>
        <v>10535</v>
      </c>
      <c r="EK37" s="58">
        <f t="shared" si="127"/>
        <v>18992</v>
      </c>
      <c r="EL37" s="58">
        <f t="shared" si="105"/>
        <v>16352</v>
      </c>
      <c r="EM37" s="58">
        <f t="shared" si="106"/>
        <v>4710</v>
      </c>
      <c r="EN37" s="58">
        <f t="shared" si="107"/>
        <v>10543</v>
      </c>
      <c r="EO37" s="58">
        <f t="shared" si="108"/>
        <v>29512</v>
      </c>
      <c r="EP37" s="58">
        <f t="shared" si="109"/>
        <v>35460</v>
      </c>
      <c r="EQ37" s="58">
        <f t="shared" si="110"/>
        <v>77008</v>
      </c>
      <c r="ER37" s="67">
        <f t="shared" si="72"/>
        <v>21217.8</v>
      </c>
      <c r="ES37" s="67">
        <f t="shared" si="73"/>
        <v>9878.707317073171</v>
      </c>
      <c r="EV37" s="42">
        <v>196</v>
      </c>
      <c r="EW37" s="128">
        <f t="shared" ref="EW37:EW68" si="155">CX37/CX$102</f>
        <v>0.21550935007192362</v>
      </c>
      <c r="EX37" s="128">
        <f t="shared" ref="EX37:EX68" si="156">CY37/CY$102</f>
        <v>0.26598078128264047</v>
      </c>
      <c r="EY37" s="128">
        <f t="shared" ref="EY37:EY68" si="157">CZ37/CZ$102</f>
        <v>0.41972286576037066</v>
      </c>
      <c r="EZ37" s="128">
        <f t="shared" ref="EZ37:EZ68" si="158">DA37/DA$102</f>
        <v>0.33255813953488372</v>
      </c>
      <c r="FA37" s="128">
        <f t="shared" ref="FA37:FA68" si="159">DB37/DB$102</f>
        <v>0.14534653465346534</v>
      </c>
      <c r="FB37" s="128">
        <f t="shared" ref="FB37:FB68" si="160">DC37/DC$102</f>
        <v>0.18178664353859497</v>
      </c>
      <c r="FC37" s="128">
        <f t="shared" ref="FC37:FC68" si="161">DD37/DD$102</f>
        <v>9.7197488049489175E-2</v>
      </c>
      <c r="FD37" s="128">
        <f t="shared" ref="FD37:FD68" si="162">DE37/DE$102</f>
        <v>0.23231357552581261</v>
      </c>
      <c r="FE37" s="128">
        <f t="shared" ref="FE37:FE68" si="163">DF37/DF$102</f>
        <v>0.172671285604311</v>
      </c>
      <c r="FF37" s="128">
        <f t="shared" ref="FF37:FF68" si="164">DG37/DG$102</f>
        <v>0</v>
      </c>
      <c r="FG37" s="128">
        <f t="shared" ref="FG37:FG68" si="165">DH37/DH$102</f>
        <v>0.17663678537793434</v>
      </c>
      <c r="FH37" s="128">
        <f t="shared" ref="FH37:FH68" si="166">DI37/DI$102</f>
        <v>0.14282168319152749</v>
      </c>
      <c r="FI37" s="128">
        <f t="shared" ref="FI37:FI68" si="167">DJ37/DJ$102</f>
        <v>0.13694797841870379</v>
      </c>
      <c r="FJ37" s="128">
        <f t="shared" ref="FJ37:FJ68" si="168">DK37/DK$102</f>
        <v>5.8449809402795427E-2</v>
      </c>
      <c r="FK37" s="128">
        <f t="shared" ref="FK37:FK68" si="169">DL37/DL$102</f>
        <v>0.36034322256850287</v>
      </c>
      <c r="FL37" s="128">
        <f t="shared" ref="FL37:FL68" si="170">DM37/DM$102</f>
        <v>0.19050897592819258</v>
      </c>
      <c r="FM37" s="128">
        <f t="shared" ref="FM37:FM68" si="171">DN37/DN$102</f>
        <v>0.17886368950198736</v>
      </c>
      <c r="FN37" s="128">
        <f t="shared" ref="FN37:FN68" si="172">DO37/DO$102</f>
        <v>0.13986648865153539</v>
      </c>
      <c r="FO37" s="128">
        <f t="shared" ref="FO37:FO68" si="173">DP37/DP$102</f>
        <v>0.28669961247200199</v>
      </c>
      <c r="FP37" s="128"/>
      <c r="FQ37" s="128">
        <f t="shared" si="74"/>
        <v>0.25013485531329932</v>
      </c>
      <c r="FR37" s="128">
        <f t="shared" si="75"/>
        <v>0.16892808683853461</v>
      </c>
      <c r="FS37" s="128">
        <f t="shared" si="76"/>
        <v>0.34471455886369845</v>
      </c>
      <c r="FT37" s="128">
        <f t="shared" si="77"/>
        <v>0.22249207715110855</v>
      </c>
      <c r="FU37" s="128">
        <f t="shared" si="78"/>
        <v>0.12765713794929787</v>
      </c>
      <c r="FV37" s="128">
        <f t="shared" si="79"/>
        <v>0.22618074212514114</v>
      </c>
      <c r="FW37" s="128">
        <f t="shared" si="80"/>
        <v>0.14550086961828335</v>
      </c>
      <c r="FX37" s="128">
        <f t="shared" si="81"/>
        <v>0.12225553345800311</v>
      </c>
      <c r="FY37" s="128">
        <f t="shared" si="82"/>
        <v>0.22814355099838102</v>
      </c>
      <c r="FZ37" s="128">
        <f t="shared" si="83"/>
        <v>0.12004789941123641</v>
      </c>
      <c r="GA37" s="128">
        <f t="shared" si="84"/>
        <v>0.31088538750699835</v>
      </c>
      <c r="GB37" s="128">
        <f t="shared" si="85"/>
        <v>0.23235466823253081</v>
      </c>
      <c r="GC37" s="128">
        <f t="shared" si="86"/>
        <v>4.7316358453005934E-2</v>
      </c>
      <c r="GD37" s="128">
        <f t="shared" si="87"/>
        <v>0.2133492252681764</v>
      </c>
      <c r="GE37" s="128">
        <f t="shared" si="88"/>
        <v>0.38465515458587529</v>
      </c>
      <c r="GF37" s="128">
        <f t="shared" si="89"/>
        <v>0.37643551057829372</v>
      </c>
      <c r="GG37" s="128">
        <f t="shared" si="90"/>
        <v>0.1621193916361483</v>
      </c>
      <c r="GH37" s="128">
        <f t="shared" si="91"/>
        <v>0.3046601339067973</v>
      </c>
      <c r="GI37" s="128">
        <f t="shared" si="92"/>
        <v>0.19017275303716807</v>
      </c>
      <c r="GJ37" s="128">
        <f t="shared" si="93"/>
        <v>0.26228783714731596</v>
      </c>
      <c r="GK37" s="128">
        <f t="shared" si="94"/>
        <v>0.27665550028761887</v>
      </c>
      <c r="GL37" s="128">
        <f t="shared" si="95"/>
        <v>0.11407396643173727</v>
      </c>
      <c r="GM37" s="128">
        <f t="shared" si="96"/>
        <v>0.17570495300313313</v>
      </c>
      <c r="GN37" s="128">
        <f t="shared" si="97"/>
        <v>0.34402284781721748</v>
      </c>
      <c r="GO37" s="128">
        <f t="shared" si="98"/>
        <v>0.23115132393778601</v>
      </c>
      <c r="GP37" s="128">
        <f t="shared" si="99"/>
        <v>0.36617642163925385</v>
      </c>
      <c r="GQ37" s="129">
        <f t="shared" si="100"/>
        <v>0.24270251288441763</v>
      </c>
      <c r="GR37" s="129">
        <f t="shared" si="101"/>
        <v>0.20606171995319261</v>
      </c>
    </row>
    <row r="38" spans="1:200" x14ac:dyDescent="0.25">
      <c r="A38" s="42">
        <v>197</v>
      </c>
      <c r="B38" s="81">
        <v>751</v>
      </c>
      <c r="C38" s="81">
        <v>298</v>
      </c>
      <c r="D38" s="81">
        <v>803</v>
      </c>
      <c r="E38" s="81">
        <v>0</v>
      </c>
      <c r="F38" s="81">
        <v>0</v>
      </c>
      <c r="G38" s="81">
        <v>433</v>
      </c>
      <c r="H38" s="81">
        <v>92</v>
      </c>
      <c r="I38" s="81">
        <v>1</v>
      </c>
      <c r="J38" s="81">
        <v>143</v>
      </c>
      <c r="K38" s="81"/>
      <c r="L38" s="81">
        <v>1847</v>
      </c>
      <c r="M38" s="81">
        <v>295</v>
      </c>
      <c r="N38" s="81">
        <v>1093</v>
      </c>
      <c r="O38" s="81">
        <v>18</v>
      </c>
      <c r="P38" s="81">
        <v>268</v>
      </c>
      <c r="Q38" s="81">
        <v>657</v>
      </c>
      <c r="R38" s="81">
        <v>1598</v>
      </c>
      <c r="S38" s="81">
        <v>537</v>
      </c>
      <c r="T38" s="81">
        <v>683</v>
      </c>
      <c r="V38" s="81">
        <v>153</v>
      </c>
      <c r="W38" s="81">
        <v>84</v>
      </c>
      <c r="X38" s="81">
        <v>105</v>
      </c>
      <c r="Y38" s="81">
        <v>839</v>
      </c>
      <c r="Z38" s="81">
        <v>1723</v>
      </c>
      <c r="AA38" s="81">
        <v>409</v>
      </c>
      <c r="AB38" s="81">
        <v>502</v>
      </c>
      <c r="AC38" s="81">
        <v>1828</v>
      </c>
      <c r="AD38" s="81">
        <v>990</v>
      </c>
      <c r="AE38" s="81">
        <v>65</v>
      </c>
      <c r="AF38" s="84">
        <v>264</v>
      </c>
      <c r="AG38" s="84">
        <v>351</v>
      </c>
      <c r="AH38" s="84">
        <v>136</v>
      </c>
      <c r="AI38" s="83">
        <v>660</v>
      </c>
      <c r="AJ38" s="83">
        <v>346</v>
      </c>
      <c r="AK38" s="83">
        <v>388</v>
      </c>
      <c r="AL38" s="81">
        <v>243</v>
      </c>
      <c r="AM38" s="90">
        <v>930</v>
      </c>
      <c r="AN38" s="90">
        <v>853</v>
      </c>
      <c r="AO38" s="90">
        <v>2517</v>
      </c>
      <c r="AP38" s="81">
        <v>255</v>
      </c>
      <c r="AQ38" s="81">
        <v>1958</v>
      </c>
      <c r="AR38" s="81">
        <v>1313</v>
      </c>
      <c r="AS38" s="81">
        <v>607</v>
      </c>
      <c r="AT38" s="81">
        <v>4445</v>
      </c>
      <c r="AU38" s="81">
        <v>6338</v>
      </c>
      <c r="AV38" s="71">
        <f t="shared" si="113"/>
        <v>1945.9</v>
      </c>
      <c r="AW38" s="71">
        <f t="shared" si="102"/>
        <v>23185.193253968257</v>
      </c>
      <c r="AY38" s="42">
        <v>197</v>
      </c>
      <c r="AZ38" s="48">
        <f t="shared" si="154"/>
        <v>3.2736149252430145E-2</v>
      </c>
      <c r="BA38" s="48">
        <f t="shared" si="1"/>
        <v>1.5562983079172759E-2</v>
      </c>
      <c r="BB38" s="48">
        <f t="shared" si="2"/>
        <v>3.5100756218035579E-2</v>
      </c>
      <c r="BC38" s="48">
        <f t="shared" si="3"/>
        <v>0</v>
      </c>
      <c r="BD38" s="48">
        <f t="shared" si="4"/>
        <v>0</v>
      </c>
      <c r="BE38" s="48">
        <f t="shared" si="5"/>
        <v>3.7554206418039894E-2</v>
      </c>
      <c r="BF38" s="48">
        <f t="shared" si="6"/>
        <v>8.6231136938794643E-3</v>
      </c>
      <c r="BG38" s="48">
        <f t="shared" si="7"/>
        <v>1.0622477161674102E-4</v>
      </c>
      <c r="BH38" s="48">
        <f t="shared" si="8"/>
        <v>1.100846805234796E-2</v>
      </c>
      <c r="BI38" s="48">
        <f t="shared" si="9"/>
        <v>0</v>
      </c>
      <c r="BJ38" s="48">
        <f t="shared" si="10"/>
        <v>6.442498866371342E-2</v>
      </c>
      <c r="BK38" s="48">
        <f t="shared" si="11"/>
        <v>4.0680116386502471E-3</v>
      </c>
      <c r="BL38" s="48">
        <f t="shared" si="12"/>
        <v>2.4267856746375365E-2</v>
      </c>
      <c r="BM38" s="48">
        <f t="shared" si="13"/>
        <v>1.7593588114553807E-3</v>
      </c>
      <c r="BN38" s="48">
        <f t="shared" si="14"/>
        <v>1.0847128344193954E-2</v>
      </c>
      <c r="BO38" s="48">
        <f t="shared" si="15"/>
        <v>1.6753365973072216E-2</v>
      </c>
      <c r="BP38" s="48">
        <f t="shared" si="16"/>
        <v>4.6703296703296704E-2</v>
      </c>
      <c r="BQ38" s="48">
        <f t="shared" si="17"/>
        <v>2.8678237650200267E-2</v>
      </c>
      <c r="BR38" s="48">
        <f t="shared" si="18"/>
        <v>2.4282717673409889E-2</v>
      </c>
      <c r="BS38" s="48"/>
      <c r="BT38" s="48">
        <f t="shared" si="19"/>
        <v>2.6623048948128556E-3</v>
      </c>
      <c r="BU38" s="48">
        <f t="shared" si="20"/>
        <v>2.8493894165535955E-2</v>
      </c>
      <c r="BV38" s="48">
        <f t="shared" si="21"/>
        <v>2.8680688336520075E-2</v>
      </c>
      <c r="BW38" s="48">
        <f t="shared" si="22"/>
        <v>3.5068730552278805E-2</v>
      </c>
      <c r="BX38" s="48">
        <f t="shared" si="23"/>
        <v>2.466396598863425E-2</v>
      </c>
      <c r="BY38" s="48">
        <f t="shared" si="24"/>
        <v>5.3083102960453741E-3</v>
      </c>
      <c r="BZ38" s="48">
        <f t="shared" si="25"/>
        <v>7.6587434778628751E-3</v>
      </c>
      <c r="CA38" s="48">
        <f t="shared" si="26"/>
        <v>1.8087011586373394E-2</v>
      </c>
      <c r="CB38" s="48">
        <f t="shared" si="27"/>
        <v>1.4840798704803022E-2</v>
      </c>
      <c r="CC38" s="48">
        <f t="shared" si="28"/>
        <v>6.4863786049296481E-3</v>
      </c>
      <c r="CD38" s="48">
        <f t="shared" si="29"/>
        <v>2.1114932416220106E-2</v>
      </c>
      <c r="CE38" s="48">
        <f t="shared" si="30"/>
        <v>2.0610687022900764E-2</v>
      </c>
      <c r="CF38" s="48">
        <f t="shared" si="31"/>
        <v>6.0366085831227078E-3</v>
      </c>
      <c r="CG38" s="48">
        <f t="shared" si="32"/>
        <v>1.6388557806912993E-2</v>
      </c>
      <c r="CH38" s="48">
        <f t="shared" si="33"/>
        <v>7.155413090683487E-3</v>
      </c>
      <c r="CI38" s="48">
        <f t="shared" si="34"/>
        <v>1.9912335119887929E-2</v>
      </c>
      <c r="CJ38" s="48">
        <f t="shared" si="35"/>
        <v>1.7947613743774047E-2</v>
      </c>
      <c r="CK38" s="48">
        <f t="shared" si="36"/>
        <v>4.1236199175276017E-2</v>
      </c>
      <c r="CL38" s="48">
        <f t="shared" si="37"/>
        <v>1.5397945737133779E-2</v>
      </c>
      <c r="CM38" s="48">
        <f t="shared" si="61"/>
        <v>3.4760872267259595E-2</v>
      </c>
      <c r="CN38" s="48">
        <f t="shared" si="62"/>
        <v>4.31428281392752E-3</v>
      </c>
      <c r="CO38" s="48">
        <f t="shared" ref="CO38:CO69" si="174">AQ38/AQ$104</f>
        <v>4.7421831480539613E-2</v>
      </c>
      <c r="CP38" s="48">
        <f t="shared" si="64"/>
        <v>2.1881874541697221E-2</v>
      </c>
      <c r="CQ38" s="48">
        <f t="shared" si="112"/>
        <v>7.0758291076528533E-3</v>
      </c>
      <c r="CR38" s="48">
        <f t="shared" si="65"/>
        <v>2.8975398615438769E-2</v>
      </c>
      <c r="CS38" s="48">
        <f t="shared" si="66"/>
        <v>3.0137468319519932E-2</v>
      </c>
      <c r="CT38" s="68">
        <f t="shared" si="67"/>
        <v>0.26761744446463959</v>
      </c>
      <c r="CU38" s="68">
        <f t="shared" si="68"/>
        <v>0.22536405291880215</v>
      </c>
      <c r="CW38" s="42">
        <v>197</v>
      </c>
      <c r="CX38" s="58">
        <f t="shared" si="128"/>
        <v>5695</v>
      </c>
      <c r="CY38" s="58">
        <f t="shared" si="129"/>
        <v>5391</v>
      </c>
      <c r="CZ38" s="58">
        <f t="shared" si="130"/>
        <v>10405</v>
      </c>
      <c r="DA38" s="58">
        <f t="shared" si="131"/>
        <v>143</v>
      </c>
      <c r="DB38" s="58">
        <f t="shared" si="132"/>
        <v>367</v>
      </c>
      <c r="DC38" s="58">
        <f t="shared" si="133"/>
        <v>2529</v>
      </c>
      <c r="DD38" s="58">
        <f t="shared" si="134"/>
        <v>1129</v>
      </c>
      <c r="DE38" s="58">
        <f t="shared" si="135"/>
        <v>2188</v>
      </c>
      <c r="DF38" s="58">
        <f t="shared" si="136"/>
        <v>2386</v>
      </c>
      <c r="DG38" s="58">
        <f t="shared" si="137"/>
        <v>0</v>
      </c>
      <c r="DH38" s="58">
        <f t="shared" si="138"/>
        <v>6911</v>
      </c>
      <c r="DI38" s="58">
        <f t="shared" si="139"/>
        <v>10652</v>
      </c>
      <c r="DJ38" s="58">
        <f t="shared" si="140"/>
        <v>7261</v>
      </c>
      <c r="DK38" s="58">
        <f t="shared" si="141"/>
        <v>616</v>
      </c>
      <c r="DL38" s="58">
        <f t="shared" si="142"/>
        <v>9171</v>
      </c>
      <c r="DM38" s="58">
        <f t="shared" si="143"/>
        <v>8128</v>
      </c>
      <c r="DN38" s="58">
        <f t="shared" si="144"/>
        <v>7718</v>
      </c>
      <c r="DO38" s="58">
        <f t="shared" si="145"/>
        <v>3156</v>
      </c>
      <c r="DP38" s="58">
        <f t="shared" si="146"/>
        <v>8747</v>
      </c>
      <c r="DQ38" s="58"/>
      <c r="DR38" s="58">
        <f t="shared" si="147"/>
        <v>14528</v>
      </c>
      <c r="DS38" s="58">
        <f t="shared" si="148"/>
        <v>582</v>
      </c>
      <c r="DT38" s="58">
        <f t="shared" si="149"/>
        <v>1367</v>
      </c>
      <c r="DU38" s="58">
        <f t="shared" si="150"/>
        <v>6162</v>
      </c>
      <c r="DV38" s="58">
        <f t="shared" si="151"/>
        <v>10641</v>
      </c>
      <c r="DW38" s="58">
        <f t="shared" si="152"/>
        <v>17836</v>
      </c>
      <c r="DX38" s="58">
        <f t="shared" si="153"/>
        <v>10039</v>
      </c>
      <c r="DY38" s="58">
        <f t="shared" si="115"/>
        <v>14184</v>
      </c>
      <c r="DZ38" s="58">
        <f t="shared" si="116"/>
        <v>16209</v>
      </c>
      <c r="EA38" s="58">
        <f t="shared" si="117"/>
        <v>1268</v>
      </c>
      <c r="EB38" s="58">
        <f t="shared" si="118"/>
        <v>4151</v>
      </c>
      <c r="EC38" s="58">
        <f t="shared" si="119"/>
        <v>4308</v>
      </c>
      <c r="ED38" s="58">
        <f t="shared" si="120"/>
        <v>1202</v>
      </c>
      <c r="EE38" s="58">
        <f t="shared" si="121"/>
        <v>9252</v>
      </c>
      <c r="EF38" s="58">
        <f t="shared" si="122"/>
        <v>18946</v>
      </c>
      <c r="EG38" s="58">
        <f t="shared" si="123"/>
        <v>7723</v>
      </c>
      <c r="EH38" s="58">
        <f t="shared" si="124"/>
        <v>2438</v>
      </c>
      <c r="EI38" s="58">
        <f t="shared" si="125"/>
        <v>7801</v>
      </c>
      <c r="EJ38" s="58">
        <f t="shared" si="126"/>
        <v>11388</v>
      </c>
      <c r="EK38" s="58">
        <f t="shared" si="127"/>
        <v>21509</v>
      </c>
      <c r="EL38" s="58">
        <f t="shared" si="105"/>
        <v>16607</v>
      </c>
      <c r="EM38" s="58">
        <f t="shared" si="106"/>
        <v>6668</v>
      </c>
      <c r="EN38" s="58">
        <f t="shared" si="107"/>
        <v>11856</v>
      </c>
      <c r="EO38" s="58">
        <f t="shared" si="108"/>
        <v>30119</v>
      </c>
      <c r="EP38" s="58">
        <f t="shared" si="109"/>
        <v>39905</v>
      </c>
      <c r="EQ38" s="58">
        <f t="shared" si="110"/>
        <v>83346</v>
      </c>
      <c r="ER38" s="67">
        <f t="shared" si="72"/>
        <v>23163.7</v>
      </c>
      <c r="ES38" s="67">
        <f t="shared" si="73"/>
        <v>10755.951219512195</v>
      </c>
      <c r="EV38" s="42">
        <v>197</v>
      </c>
      <c r="EW38" s="128">
        <f t="shared" si="155"/>
        <v>0.24824549932435377</v>
      </c>
      <c r="EX38" s="128">
        <f t="shared" si="156"/>
        <v>0.28154376436181322</v>
      </c>
      <c r="EY38" s="128">
        <f t="shared" si="157"/>
        <v>0.45482362197840626</v>
      </c>
      <c r="EZ38" s="128">
        <f t="shared" si="158"/>
        <v>0.33255813953488372</v>
      </c>
      <c r="FA38" s="128">
        <f t="shared" si="159"/>
        <v>0.14534653465346534</v>
      </c>
      <c r="FB38" s="128">
        <f t="shared" si="160"/>
        <v>0.21934084995663486</v>
      </c>
      <c r="FC38" s="128">
        <f t="shared" si="161"/>
        <v>0.10582060174336864</v>
      </c>
      <c r="FD38" s="128">
        <f t="shared" si="162"/>
        <v>0.23241980029742937</v>
      </c>
      <c r="FE38" s="128">
        <f t="shared" si="163"/>
        <v>0.18367975365665898</v>
      </c>
      <c r="FF38" s="128">
        <f t="shared" si="164"/>
        <v>0</v>
      </c>
      <c r="FG38" s="128">
        <f t="shared" si="165"/>
        <v>0.24106177404164778</v>
      </c>
      <c r="FH38" s="128">
        <f t="shared" si="166"/>
        <v>0.14688969483017775</v>
      </c>
      <c r="FI38" s="128">
        <f t="shared" si="167"/>
        <v>0.16121583516507915</v>
      </c>
      <c r="FJ38" s="128">
        <f t="shared" si="168"/>
        <v>6.0209168214250805E-2</v>
      </c>
      <c r="FK38" s="128">
        <f t="shared" si="169"/>
        <v>0.37119035091269681</v>
      </c>
      <c r="FL38" s="128">
        <f t="shared" si="170"/>
        <v>0.2072623419012648</v>
      </c>
      <c r="FM38" s="128">
        <f t="shared" si="171"/>
        <v>0.22556698620528406</v>
      </c>
      <c r="FN38" s="128">
        <f t="shared" si="172"/>
        <v>0.16854472630173564</v>
      </c>
      <c r="FO38" s="128">
        <f t="shared" si="173"/>
        <v>0.31098233014541188</v>
      </c>
      <c r="FP38" s="128"/>
      <c r="FQ38" s="128">
        <f t="shared" ref="FQ38:FQ69" si="175">DR38/DR$102</f>
        <v>0.25279716020811221</v>
      </c>
      <c r="FR38" s="128">
        <f t="shared" ref="FR38:FR69" si="176">DS38/DS$102</f>
        <v>0.19742198100407055</v>
      </c>
      <c r="FS38" s="128">
        <f t="shared" ref="FS38:FS69" si="177">DT38/DT$102</f>
        <v>0.37339524720021849</v>
      </c>
      <c r="FT38" s="128">
        <f t="shared" ref="FT38:FT69" si="178">DU38/DU$102</f>
        <v>0.25756080770338735</v>
      </c>
      <c r="FU38" s="128">
        <f t="shared" ref="FU38:FU69" si="179">DV38/DV$102</f>
        <v>0.15232110393793213</v>
      </c>
      <c r="FV38" s="128">
        <f t="shared" ref="FV38:FV69" si="180">DW38/DW$102</f>
        <v>0.23148905242118653</v>
      </c>
      <c r="FW38" s="128">
        <f t="shared" ref="FW38:FW69" si="181">DX38/DX$102</f>
        <v>0.15315961309614623</v>
      </c>
      <c r="FX38" s="128">
        <f t="shared" ref="FX38:FX69" si="182">DY38/DY$102</f>
        <v>0.14034254504437652</v>
      </c>
      <c r="FY38" s="128">
        <f t="shared" ref="FY38:FY69" si="183">DZ38/DZ$102</f>
        <v>0.24298434970318403</v>
      </c>
      <c r="FZ38" s="128">
        <f t="shared" ref="FZ38:FZ69" si="184">EA38/EA$102</f>
        <v>0.12653427801616604</v>
      </c>
      <c r="GA38" s="128">
        <f t="shared" ref="GA38:GA69" si="185">EB38/EB$102</f>
        <v>0.33200031992321843</v>
      </c>
      <c r="GB38" s="128">
        <f t="shared" ref="GB38:GB69" si="186">EC38/EC$102</f>
        <v>0.25296535525543157</v>
      </c>
      <c r="GC38" s="128">
        <f t="shared" ref="GC38:GC69" si="187">ED38/ED$102</f>
        <v>5.3352967036128636E-2</v>
      </c>
      <c r="GD38" s="128">
        <f t="shared" ref="GD38:GD69" si="188">EE38/EE$102</f>
        <v>0.22973778307508938</v>
      </c>
      <c r="GE38" s="128">
        <f t="shared" ref="GE38:GE69" si="189">EF38/EF$102</f>
        <v>0.39181056767655881</v>
      </c>
      <c r="GF38" s="128">
        <f t="shared" ref="GF38:GF69" si="190">EG38/EG$102</f>
        <v>0.39634784569818166</v>
      </c>
      <c r="GG38" s="128">
        <f t="shared" ref="GG38:GG69" si="191">EH38/EH$102</f>
        <v>0.18006700537992235</v>
      </c>
      <c r="GH38" s="128">
        <f t="shared" ref="GH38:GH69" si="192">EI38/EI$102</f>
        <v>0.34589633308207335</v>
      </c>
      <c r="GI38" s="128">
        <f t="shared" ref="GI38:GI69" si="193">EJ38/EJ$102</f>
        <v>0.20557069877430187</v>
      </c>
      <c r="GJ38" s="128">
        <f t="shared" ref="GJ38:GJ69" si="194">EK38/EK$102</f>
        <v>0.29704870941457556</v>
      </c>
      <c r="GK38" s="128">
        <f t="shared" ref="GK38:GK69" si="195">EL38/EL$102</f>
        <v>0.28096978310154636</v>
      </c>
      <c r="GL38" s="128">
        <f t="shared" ref="GL38:GL69" si="196">EM38/EM$102</f>
        <v>0.16149579791227689</v>
      </c>
      <c r="GM38" s="128">
        <f t="shared" ref="GM38:GM69" si="197">EN38/EN$102</f>
        <v>0.19758682754483034</v>
      </c>
      <c r="GN38" s="128">
        <f t="shared" si="97"/>
        <v>0.35109867692487029</v>
      </c>
      <c r="GO38" s="128">
        <f t="shared" si="98"/>
        <v>0.26012672255322478</v>
      </c>
      <c r="GP38" s="128">
        <f t="shared" si="99"/>
        <v>0.39631388995877376</v>
      </c>
      <c r="GQ38" s="129">
        <f t="shared" si="100"/>
        <v>0.26761744446463959</v>
      </c>
      <c r="GR38" s="129">
        <f t="shared" si="101"/>
        <v>0.22536405291880218</v>
      </c>
    </row>
    <row r="39" spans="1:200" x14ac:dyDescent="0.25">
      <c r="A39" s="42">
        <v>198</v>
      </c>
      <c r="B39" s="81">
        <v>798</v>
      </c>
      <c r="C39" s="81">
        <v>351</v>
      </c>
      <c r="D39" s="81">
        <v>736</v>
      </c>
      <c r="E39" s="81">
        <v>4</v>
      </c>
      <c r="F39" s="81">
        <v>0</v>
      </c>
      <c r="G39" s="81">
        <v>456</v>
      </c>
      <c r="H39" s="81">
        <v>14</v>
      </c>
      <c r="I39" s="81">
        <v>115</v>
      </c>
      <c r="J39" s="81">
        <v>26</v>
      </c>
      <c r="K39" s="81"/>
      <c r="L39" s="81">
        <v>1321</v>
      </c>
      <c r="M39" s="81">
        <v>1019</v>
      </c>
      <c r="N39" s="81">
        <v>437</v>
      </c>
      <c r="O39" s="81">
        <v>20</v>
      </c>
      <c r="P39" s="81">
        <v>347</v>
      </c>
      <c r="Q39" s="81">
        <v>1173</v>
      </c>
      <c r="R39" s="81">
        <v>44</v>
      </c>
      <c r="S39" s="81">
        <v>320</v>
      </c>
      <c r="T39" s="81">
        <v>215</v>
      </c>
      <c r="V39" s="81">
        <v>40</v>
      </c>
      <c r="W39" s="81">
        <v>69</v>
      </c>
      <c r="X39" s="81">
        <v>61</v>
      </c>
      <c r="Y39" s="81">
        <v>276</v>
      </c>
      <c r="Z39" s="81">
        <v>889</v>
      </c>
      <c r="AA39" s="81">
        <v>3981</v>
      </c>
      <c r="AB39" s="81">
        <v>363</v>
      </c>
      <c r="AC39" s="81">
        <v>919</v>
      </c>
      <c r="AD39" s="81">
        <v>751</v>
      </c>
      <c r="AE39" s="81">
        <v>40</v>
      </c>
      <c r="AF39" s="84">
        <v>4</v>
      </c>
      <c r="AG39" s="84">
        <v>171</v>
      </c>
      <c r="AH39" s="84">
        <v>400</v>
      </c>
      <c r="AI39" s="83">
        <v>1523</v>
      </c>
      <c r="AJ39" s="83">
        <v>189</v>
      </c>
      <c r="AK39" s="83">
        <v>598</v>
      </c>
      <c r="AL39" s="81">
        <v>312</v>
      </c>
      <c r="AM39" s="90">
        <v>422</v>
      </c>
      <c r="AN39" s="90">
        <v>372</v>
      </c>
      <c r="AO39" s="90">
        <v>1861</v>
      </c>
      <c r="AP39" s="81">
        <v>1170</v>
      </c>
      <c r="AQ39" s="81">
        <v>143</v>
      </c>
      <c r="AR39" s="81">
        <v>806</v>
      </c>
      <c r="AS39" s="81">
        <v>1064</v>
      </c>
      <c r="AT39" s="81">
        <v>2240</v>
      </c>
      <c r="AU39" s="81">
        <v>1379</v>
      </c>
      <c r="AV39" s="71">
        <f t="shared" si="113"/>
        <v>976.9</v>
      </c>
      <c r="AW39" s="71">
        <f t="shared" si="102"/>
        <v>24162.093253968258</v>
      </c>
      <c r="AY39" s="42">
        <v>198</v>
      </c>
      <c r="AZ39" s="48">
        <f t="shared" si="154"/>
        <v>3.4784882960638155E-2</v>
      </c>
      <c r="BA39" s="48">
        <f t="shared" si="1"/>
        <v>1.8330896177146439E-2</v>
      </c>
      <c r="BB39" s="48">
        <f t="shared" si="2"/>
        <v>3.2172050531101108E-2</v>
      </c>
      <c r="BC39" s="48">
        <f t="shared" si="3"/>
        <v>9.3023255813953487E-3</v>
      </c>
      <c r="BD39" s="48">
        <f t="shared" si="4"/>
        <v>0</v>
      </c>
      <c r="BE39" s="48">
        <f t="shared" si="5"/>
        <v>3.9549002601908065E-2</v>
      </c>
      <c r="BF39" s="48">
        <f t="shared" si="6"/>
        <v>1.3122129534164401E-3</v>
      </c>
      <c r="BG39" s="48">
        <f t="shared" si="7"/>
        <v>1.2215848735925218E-2</v>
      </c>
      <c r="BH39" s="48">
        <f t="shared" si="8"/>
        <v>2.0015396458814474E-3</v>
      </c>
      <c r="BI39" s="48">
        <f t="shared" si="9"/>
        <v>0</v>
      </c>
      <c r="BJ39" s="48">
        <f t="shared" si="10"/>
        <v>4.6077644842861629E-2</v>
      </c>
      <c r="BK39" s="48">
        <f t="shared" si="11"/>
        <v>1.4051877490795261E-2</v>
      </c>
      <c r="BL39" s="48">
        <f t="shared" si="12"/>
        <v>9.7027021026221717E-3</v>
      </c>
      <c r="BM39" s="48">
        <f t="shared" si="13"/>
        <v>1.954843123839312E-3</v>
      </c>
      <c r="BN39" s="48">
        <f t="shared" si="14"/>
        <v>1.4044602744161574E-2</v>
      </c>
      <c r="BO39" s="48">
        <f t="shared" si="15"/>
        <v>2.991126070991432E-2</v>
      </c>
      <c r="BP39" s="48">
        <f t="shared" si="16"/>
        <v>1.2859480944587328E-3</v>
      </c>
      <c r="BQ39" s="48">
        <f t="shared" si="17"/>
        <v>1.7089452603471295E-2</v>
      </c>
      <c r="BR39" s="48">
        <f t="shared" si="18"/>
        <v>7.6439008781597753E-3</v>
      </c>
      <c r="BS39" s="48"/>
      <c r="BT39" s="48">
        <f t="shared" si="19"/>
        <v>6.9602742348048516E-4</v>
      </c>
      <c r="BU39" s="48">
        <f t="shared" si="20"/>
        <v>2.3405698778833108E-2</v>
      </c>
      <c r="BV39" s="48">
        <f t="shared" si="21"/>
        <v>1.666211417645452E-2</v>
      </c>
      <c r="BW39" s="48">
        <f t="shared" si="22"/>
        <v>1.153631660599398E-2</v>
      </c>
      <c r="BX39" s="48">
        <f t="shared" si="23"/>
        <v>1.2725633060879772E-2</v>
      </c>
      <c r="BY39" s="48">
        <f t="shared" si="24"/>
        <v>5.1668418798426978E-2</v>
      </c>
      <c r="BZ39" s="48">
        <f t="shared" si="25"/>
        <v>5.5380953833948678E-3</v>
      </c>
      <c r="CA39" s="48">
        <f t="shared" si="26"/>
        <v>9.0929779255345469E-3</v>
      </c>
      <c r="CB39" s="48">
        <f t="shared" si="27"/>
        <v>1.1258020027582898E-2</v>
      </c>
      <c r="CC39" s="48">
        <f t="shared" si="28"/>
        <v>3.9916176030336294E-3</v>
      </c>
      <c r="CD39" s="48">
        <f t="shared" si="29"/>
        <v>3.1992321842757736E-4</v>
      </c>
      <c r="CE39" s="48">
        <f t="shared" si="30"/>
        <v>1.0041103934233705E-2</v>
      </c>
      <c r="CF39" s="48">
        <f t="shared" si="31"/>
        <v>1.7754731126831493E-2</v>
      </c>
      <c r="CG39" s="48">
        <f t="shared" si="32"/>
        <v>3.7817838696861346E-2</v>
      </c>
      <c r="CH39" s="48">
        <f t="shared" si="33"/>
        <v>3.9085926998242166E-3</v>
      </c>
      <c r="CI39" s="48">
        <f t="shared" si="34"/>
        <v>3.0689629901270575E-2</v>
      </c>
      <c r="CJ39" s="48">
        <f t="shared" si="35"/>
        <v>2.3043849745092604E-2</v>
      </c>
      <c r="CK39" s="48">
        <f t="shared" si="36"/>
        <v>1.8711479625770407E-2</v>
      </c>
      <c r="CL39" s="48">
        <f t="shared" si="37"/>
        <v>6.7151650811415782E-3</v>
      </c>
      <c r="CM39" s="48">
        <f t="shared" si="61"/>
        <v>2.57012249858443E-2</v>
      </c>
      <c r="CN39" s="48">
        <f t="shared" si="62"/>
        <v>1.9794944675667444E-2</v>
      </c>
      <c r="CO39" s="48">
        <f t="shared" si="174"/>
        <v>3.4633921867809826E-3</v>
      </c>
      <c r="CP39" s="48">
        <f t="shared" si="64"/>
        <v>1.3432437837477501E-2</v>
      </c>
      <c r="CQ39" s="48">
        <f t="shared" si="112"/>
        <v>1.2403100775193798E-2</v>
      </c>
      <c r="CR39" s="48">
        <f t="shared" si="65"/>
        <v>1.4601775680221113E-2</v>
      </c>
      <c r="CS39" s="48">
        <f t="shared" si="66"/>
        <v>6.5572055557933081E-3</v>
      </c>
      <c r="CT39" s="68">
        <f t="shared" si="67"/>
        <v>0.28205990207953791</v>
      </c>
      <c r="CU39" s="68">
        <f t="shared" si="68"/>
        <v>0.2397145932123988</v>
      </c>
      <c r="CW39" s="42">
        <v>198</v>
      </c>
      <c r="CX39" s="58">
        <f t="shared" si="128"/>
        <v>6493</v>
      </c>
      <c r="CY39" s="58">
        <f t="shared" si="129"/>
        <v>5742</v>
      </c>
      <c r="CZ39" s="58">
        <f t="shared" si="130"/>
        <v>11141</v>
      </c>
      <c r="DA39" s="58">
        <f t="shared" si="131"/>
        <v>147</v>
      </c>
      <c r="DB39" s="58">
        <f t="shared" si="132"/>
        <v>367</v>
      </c>
      <c r="DC39" s="58">
        <f t="shared" si="133"/>
        <v>2985</v>
      </c>
      <c r="DD39" s="58">
        <f t="shared" si="134"/>
        <v>1143</v>
      </c>
      <c r="DE39" s="58">
        <f t="shared" si="135"/>
        <v>2303</v>
      </c>
      <c r="DF39" s="58">
        <f t="shared" si="136"/>
        <v>2412</v>
      </c>
      <c r="DG39" s="58">
        <f t="shared" si="137"/>
        <v>0</v>
      </c>
      <c r="DH39" s="58">
        <f t="shared" si="138"/>
        <v>8232</v>
      </c>
      <c r="DI39" s="58">
        <f t="shared" si="139"/>
        <v>11671</v>
      </c>
      <c r="DJ39" s="58">
        <f t="shared" si="140"/>
        <v>7698</v>
      </c>
      <c r="DK39" s="58">
        <f t="shared" si="141"/>
        <v>636</v>
      </c>
      <c r="DL39" s="58">
        <f t="shared" si="142"/>
        <v>9518</v>
      </c>
      <c r="DM39" s="58">
        <f t="shared" si="143"/>
        <v>9301</v>
      </c>
      <c r="DN39" s="58">
        <f t="shared" si="144"/>
        <v>7762</v>
      </c>
      <c r="DO39" s="58">
        <f t="shared" si="145"/>
        <v>3476</v>
      </c>
      <c r="DP39" s="58">
        <f t="shared" si="146"/>
        <v>8962</v>
      </c>
      <c r="DQ39" s="58"/>
      <c r="DR39" s="58">
        <f t="shared" si="147"/>
        <v>14568</v>
      </c>
      <c r="DS39" s="58">
        <f t="shared" si="148"/>
        <v>651</v>
      </c>
      <c r="DT39" s="58">
        <f t="shared" si="149"/>
        <v>1428</v>
      </c>
      <c r="DU39" s="58">
        <f t="shared" si="150"/>
        <v>6438</v>
      </c>
      <c r="DV39" s="58">
        <f t="shared" si="151"/>
        <v>11530</v>
      </c>
      <c r="DW39" s="58">
        <f t="shared" si="152"/>
        <v>21817</v>
      </c>
      <c r="DX39" s="58">
        <f t="shared" si="153"/>
        <v>10402</v>
      </c>
      <c r="DY39" s="58">
        <f t="shared" si="115"/>
        <v>15103</v>
      </c>
      <c r="DZ39" s="58">
        <f t="shared" si="116"/>
        <v>16960</v>
      </c>
      <c r="EA39" s="58">
        <f t="shared" si="117"/>
        <v>1308</v>
      </c>
      <c r="EB39" s="58">
        <f t="shared" si="118"/>
        <v>4155</v>
      </c>
      <c r="EC39" s="58">
        <f t="shared" si="119"/>
        <v>4479</v>
      </c>
      <c r="ED39" s="58">
        <f t="shared" si="120"/>
        <v>1602</v>
      </c>
      <c r="EE39" s="58">
        <f t="shared" si="121"/>
        <v>10775</v>
      </c>
      <c r="EF39" s="58">
        <f t="shared" si="122"/>
        <v>19135</v>
      </c>
      <c r="EG39" s="58">
        <f t="shared" si="123"/>
        <v>8321</v>
      </c>
      <c r="EH39" s="58">
        <f t="shared" si="124"/>
        <v>2750</v>
      </c>
      <c r="EI39" s="58">
        <f t="shared" si="125"/>
        <v>8223</v>
      </c>
      <c r="EJ39" s="58">
        <f t="shared" si="126"/>
        <v>11760</v>
      </c>
      <c r="EK39" s="58">
        <f t="shared" si="127"/>
        <v>23370</v>
      </c>
      <c r="EL39" s="58">
        <f t="shared" si="105"/>
        <v>17777</v>
      </c>
      <c r="EM39" s="58">
        <f t="shared" si="106"/>
        <v>6811</v>
      </c>
      <c r="EN39" s="58">
        <f t="shared" si="107"/>
        <v>12662</v>
      </c>
      <c r="EO39" s="58">
        <f t="shared" si="108"/>
        <v>31183</v>
      </c>
      <c r="EP39" s="58">
        <f t="shared" si="109"/>
        <v>42145</v>
      </c>
      <c r="EQ39" s="58">
        <f t="shared" si="110"/>
        <v>84725</v>
      </c>
      <c r="ER39" s="67">
        <f t="shared" si="72"/>
        <v>24140.6</v>
      </c>
      <c r="ES39" s="67">
        <f t="shared" si="73"/>
        <v>11379.121951219513</v>
      </c>
      <c r="EV39" s="42">
        <v>198</v>
      </c>
      <c r="EW39" s="128">
        <f t="shared" si="155"/>
        <v>0.28303038228499194</v>
      </c>
      <c r="EX39" s="128">
        <f t="shared" si="156"/>
        <v>0.29987466053895967</v>
      </c>
      <c r="EY39" s="128">
        <f t="shared" si="157"/>
        <v>0.48699567250950737</v>
      </c>
      <c r="EZ39" s="128">
        <f t="shared" si="158"/>
        <v>0.34186046511627904</v>
      </c>
      <c r="FA39" s="128">
        <f t="shared" si="159"/>
        <v>0.14534653465346534</v>
      </c>
      <c r="FB39" s="128">
        <f t="shared" si="160"/>
        <v>0.25888985255854291</v>
      </c>
      <c r="FC39" s="128">
        <f t="shared" si="161"/>
        <v>0.10713281469678508</v>
      </c>
      <c r="FD39" s="128">
        <f t="shared" si="162"/>
        <v>0.24463564903335458</v>
      </c>
      <c r="FE39" s="128">
        <f t="shared" si="163"/>
        <v>0.18568129330254041</v>
      </c>
      <c r="FF39" s="128">
        <f t="shared" si="164"/>
        <v>0</v>
      </c>
      <c r="FG39" s="128">
        <f t="shared" si="165"/>
        <v>0.28713941888450939</v>
      </c>
      <c r="FH39" s="128">
        <f t="shared" si="166"/>
        <v>0.160941572320973</v>
      </c>
      <c r="FI39" s="128">
        <f t="shared" si="167"/>
        <v>0.17091853726770131</v>
      </c>
      <c r="FJ39" s="128">
        <f t="shared" si="168"/>
        <v>6.2164011338090117E-2</v>
      </c>
      <c r="FK39" s="128">
        <f t="shared" si="169"/>
        <v>0.38523495365685839</v>
      </c>
      <c r="FL39" s="128">
        <f t="shared" si="170"/>
        <v>0.23717360261117912</v>
      </c>
      <c r="FM39" s="128">
        <f t="shared" si="171"/>
        <v>0.22685293429974282</v>
      </c>
      <c r="FN39" s="128">
        <f t="shared" si="172"/>
        <v>0.18563417890520695</v>
      </c>
      <c r="FO39" s="128">
        <f t="shared" si="173"/>
        <v>0.31862623102357168</v>
      </c>
      <c r="FP39" s="128"/>
      <c r="FQ39" s="128">
        <f t="shared" si="175"/>
        <v>0.25349318763159268</v>
      </c>
      <c r="FR39" s="128">
        <f t="shared" si="176"/>
        <v>0.22082767978290366</v>
      </c>
      <c r="FS39" s="128">
        <f t="shared" si="177"/>
        <v>0.39005736137667302</v>
      </c>
      <c r="FT39" s="128">
        <f t="shared" si="178"/>
        <v>0.26909712430938132</v>
      </c>
      <c r="FU39" s="128">
        <f t="shared" si="179"/>
        <v>0.16504673699881189</v>
      </c>
      <c r="FV39" s="128">
        <f t="shared" si="180"/>
        <v>0.28315747121961349</v>
      </c>
      <c r="FW39" s="128">
        <f t="shared" si="181"/>
        <v>0.15869770847954109</v>
      </c>
      <c r="FX39" s="128">
        <f t="shared" si="182"/>
        <v>0.14943552296991106</v>
      </c>
      <c r="FY39" s="128">
        <f t="shared" si="183"/>
        <v>0.25424236973076692</v>
      </c>
      <c r="FZ39" s="128">
        <f t="shared" si="184"/>
        <v>0.13052589561919969</v>
      </c>
      <c r="GA39" s="128">
        <f t="shared" si="185"/>
        <v>0.33232024314164599</v>
      </c>
      <c r="GB39" s="128">
        <f t="shared" si="186"/>
        <v>0.26300645918966531</v>
      </c>
      <c r="GC39" s="128">
        <f t="shared" si="187"/>
        <v>7.1107698162960128E-2</v>
      </c>
      <c r="GD39" s="128">
        <f t="shared" si="188"/>
        <v>0.26755562177195075</v>
      </c>
      <c r="GE39" s="128">
        <f t="shared" si="189"/>
        <v>0.39571916037638299</v>
      </c>
      <c r="GF39" s="128">
        <f t="shared" si="190"/>
        <v>0.42703747559945227</v>
      </c>
      <c r="GG39" s="128">
        <f t="shared" si="191"/>
        <v>0.20311085512501495</v>
      </c>
      <c r="GH39" s="128">
        <f t="shared" si="192"/>
        <v>0.36460781270784376</v>
      </c>
      <c r="GI39" s="128">
        <f t="shared" si="193"/>
        <v>0.21228586385544343</v>
      </c>
      <c r="GJ39" s="128">
        <f t="shared" si="194"/>
        <v>0.32274993440041982</v>
      </c>
      <c r="GK39" s="128">
        <f t="shared" si="195"/>
        <v>0.3007647277772138</v>
      </c>
      <c r="GL39" s="128">
        <f t="shared" si="196"/>
        <v>0.16495919009905785</v>
      </c>
      <c r="GM39" s="128">
        <f t="shared" si="197"/>
        <v>0.21101926538230784</v>
      </c>
      <c r="GN39" s="128">
        <f t="shared" si="97"/>
        <v>0.36350177770006409</v>
      </c>
      <c r="GO39" s="128">
        <f t="shared" si="98"/>
        <v>0.27472849823344586</v>
      </c>
      <c r="GP39" s="128">
        <f t="shared" si="99"/>
        <v>0.40287109551456707</v>
      </c>
      <c r="GQ39" s="129">
        <f t="shared" si="100"/>
        <v>0.28205990207953785</v>
      </c>
      <c r="GR39" s="129">
        <f t="shared" si="101"/>
        <v>0.2397145932123988</v>
      </c>
    </row>
    <row r="40" spans="1:200" x14ac:dyDescent="0.25">
      <c r="A40" s="42">
        <v>199</v>
      </c>
      <c r="B40" s="81">
        <v>970</v>
      </c>
      <c r="C40" s="81">
        <v>665</v>
      </c>
      <c r="D40" s="81">
        <v>315</v>
      </c>
      <c r="E40" s="81">
        <v>0</v>
      </c>
      <c r="F40" s="81">
        <v>2</v>
      </c>
      <c r="G40" s="81">
        <v>131</v>
      </c>
      <c r="H40" s="81">
        <v>72</v>
      </c>
      <c r="I40" s="81">
        <v>78</v>
      </c>
      <c r="J40" s="81">
        <v>8</v>
      </c>
      <c r="K40" s="81"/>
      <c r="L40" s="81">
        <v>209</v>
      </c>
      <c r="M40" s="81">
        <v>1763</v>
      </c>
      <c r="N40" s="81">
        <v>296</v>
      </c>
      <c r="O40" s="81">
        <v>1</v>
      </c>
      <c r="P40" s="81">
        <v>425</v>
      </c>
      <c r="Q40" s="81">
        <v>1290</v>
      </c>
      <c r="R40" s="81">
        <v>13</v>
      </c>
      <c r="S40" s="81">
        <v>102</v>
      </c>
      <c r="T40" s="81">
        <v>513</v>
      </c>
      <c r="V40" s="81">
        <v>319</v>
      </c>
      <c r="W40" s="81">
        <v>38</v>
      </c>
      <c r="X40" s="81">
        <v>74</v>
      </c>
      <c r="Y40" s="81">
        <v>437</v>
      </c>
      <c r="Z40" s="81">
        <v>747</v>
      </c>
      <c r="AA40" s="81">
        <v>183</v>
      </c>
      <c r="AB40" s="81">
        <v>1067</v>
      </c>
      <c r="AC40" s="81">
        <v>1076</v>
      </c>
      <c r="AD40" s="81">
        <v>495</v>
      </c>
      <c r="AE40" s="81">
        <v>14</v>
      </c>
      <c r="AF40" s="84">
        <v>368</v>
      </c>
      <c r="AG40" s="84">
        <v>322</v>
      </c>
      <c r="AH40" s="84">
        <v>210</v>
      </c>
      <c r="AI40" s="83">
        <v>500</v>
      </c>
      <c r="AJ40" s="83">
        <v>1491</v>
      </c>
      <c r="AK40" s="83">
        <v>160</v>
      </c>
      <c r="AL40" s="81">
        <v>86</v>
      </c>
      <c r="AM40" s="90">
        <v>2</v>
      </c>
      <c r="AN40" s="90">
        <v>551</v>
      </c>
      <c r="AO40" s="90">
        <v>1901</v>
      </c>
      <c r="AP40" s="81">
        <v>266</v>
      </c>
      <c r="AQ40" s="81">
        <v>747</v>
      </c>
      <c r="AR40" s="81">
        <v>2194</v>
      </c>
      <c r="AS40" s="81">
        <v>753</v>
      </c>
      <c r="AT40" s="81">
        <v>3393</v>
      </c>
      <c r="AU40" s="81">
        <v>4226</v>
      </c>
      <c r="AV40" s="71">
        <f t="shared" si="113"/>
        <v>1411.9</v>
      </c>
      <c r="AW40" s="71">
        <f t="shared" si="102"/>
        <v>25573.99325396826</v>
      </c>
      <c r="AY40" s="42">
        <v>199</v>
      </c>
      <c r="AZ40" s="48">
        <f t="shared" si="154"/>
        <v>4.228237653110152E-2</v>
      </c>
      <c r="BA40" s="48">
        <f t="shared" si="1"/>
        <v>3.4729475663254648E-2</v>
      </c>
      <c r="BB40" s="48">
        <f t="shared" si="2"/>
        <v>1.3769287931109849E-2</v>
      </c>
      <c r="BC40" s="48">
        <f t="shared" si="3"/>
        <v>0</v>
      </c>
      <c r="BD40" s="48">
        <f t="shared" si="4"/>
        <v>7.9207920792079213E-4</v>
      </c>
      <c r="BE40" s="48">
        <f t="shared" si="5"/>
        <v>1.1361665221162186E-2</v>
      </c>
      <c r="BF40" s="48">
        <f t="shared" si="6"/>
        <v>6.7485237604274061E-3</v>
      </c>
      <c r="BG40" s="48">
        <f t="shared" si="7"/>
        <v>8.2855321861057991E-3</v>
      </c>
      <c r="BH40" s="48">
        <f t="shared" si="8"/>
        <v>6.1585835257890688E-4</v>
      </c>
      <c r="BI40" s="48">
        <f t="shared" si="9"/>
        <v>0</v>
      </c>
      <c r="BJ40" s="48">
        <f t="shared" si="10"/>
        <v>7.2901042938365484E-3</v>
      </c>
      <c r="BK40" s="48">
        <f t="shared" si="11"/>
        <v>2.43115407421708E-2</v>
      </c>
      <c r="BL40" s="48">
        <f t="shared" si="12"/>
        <v>6.57208197340083E-3</v>
      </c>
      <c r="BM40" s="48">
        <f t="shared" si="13"/>
        <v>9.7742156191965598E-5</v>
      </c>
      <c r="BN40" s="48">
        <f t="shared" si="14"/>
        <v>1.7201602784635932E-2</v>
      </c>
      <c r="BO40" s="48">
        <f t="shared" si="15"/>
        <v>3.2894736842105261E-2</v>
      </c>
      <c r="BP40" s="48">
        <f t="shared" si="16"/>
        <v>3.7993920972644377E-4</v>
      </c>
      <c r="BQ40" s="48">
        <f t="shared" si="17"/>
        <v>5.4472630173564756E-3</v>
      </c>
      <c r="BR40" s="48">
        <f t="shared" si="18"/>
        <v>1.8238703025562627E-2</v>
      </c>
      <c r="BS40" s="48"/>
      <c r="BT40" s="48">
        <f t="shared" si="19"/>
        <v>5.5508187022568689E-3</v>
      </c>
      <c r="BU40" s="48">
        <f t="shared" si="20"/>
        <v>1.2890094979647219E-2</v>
      </c>
      <c r="BV40" s="48">
        <f t="shared" si="21"/>
        <v>2.0213056541928436E-2</v>
      </c>
      <c r="BW40" s="48">
        <f t="shared" si="22"/>
        <v>1.8265834626157138E-2</v>
      </c>
      <c r="BX40" s="48">
        <f t="shared" si="23"/>
        <v>1.069296726262901E-2</v>
      </c>
      <c r="BY40" s="48">
        <f t="shared" si="24"/>
        <v>2.3751119417513532E-3</v>
      </c>
      <c r="BZ40" s="48">
        <f t="shared" si="25"/>
        <v>1.6278644005736431E-2</v>
      </c>
      <c r="CA40" s="48">
        <f t="shared" si="26"/>
        <v>1.0646402881256989E-2</v>
      </c>
      <c r="CB40" s="48">
        <f t="shared" si="27"/>
        <v>7.420399352401511E-3</v>
      </c>
      <c r="CC40" s="48">
        <f t="shared" si="28"/>
        <v>1.3970661610617702E-3</v>
      </c>
      <c r="CD40" s="48">
        <f t="shared" si="29"/>
        <v>2.943293609533712E-2</v>
      </c>
      <c r="CE40" s="48">
        <f t="shared" si="30"/>
        <v>1.8907809747504403E-2</v>
      </c>
      <c r="CF40" s="48">
        <f t="shared" si="31"/>
        <v>9.3212338415865348E-3</v>
      </c>
      <c r="CG40" s="48">
        <f t="shared" si="32"/>
        <v>1.2415574096146206E-2</v>
      </c>
      <c r="CH40" s="48">
        <f t="shared" si="33"/>
        <v>3.0834453520835487E-2</v>
      </c>
      <c r="CI40" s="48">
        <f t="shared" si="34"/>
        <v>8.2112722143867761E-3</v>
      </c>
      <c r="CJ40" s="48">
        <f t="shared" si="35"/>
        <v>6.3518303784550131E-3</v>
      </c>
      <c r="CK40" s="48">
        <f t="shared" si="36"/>
        <v>8.8679998226400041E-5</v>
      </c>
      <c r="CL40" s="48">
        <f t="shared" si="37"/>
        <v>9.9463869884650787E-3</v>
      </c>
      <c r="CM40" s="48">
        <f t="shared" si="61"/>
        <v>2.6253642503003771E-2</v>
      </c>
      <c r="CN40" s="48">
        <f t="shared" si="62"/>
        <v>4.50038913139106E-3</v>
      </c>
      <c r="CO40" s="48">
        <f t="shared" si="174"/>
        <v>1.8091985758918839E-2</v>
      </c>
      <c r="CP40" s="48">
        <f t="shared" si="64"/>
        <v>3.6564229051396571E-2</v>
      </c>
      <c r="CQ40" s="48">
        <f t="shared" si="112"/>
        <v>8.7777583493617757E-3</v>
      </c>
      <c r="CR40" s="48">
        <f t="shared" si="65"/>
        <v>2.211777896562064E-2</v>
      </c>
      <c r="CS40" s="48">
        <f t="shared" si="66"/>
        <v>2.009481557562184E-2</v>
      </c>
      <c r="CT40" s="68">
        <f t="shared" si="67"/>
        <v>0.29733865174958402</v>
      </c>
      <c r="CU40" s="68">
        <f t="shared" si="68"/>
        <v>0.25210187480860041</v>
      </c>
      <c r="CW40" s="42">
        <v>199</v>
      </c>
      <c r="CX40" s="58">
        <f t="shared" si="128"/>
        <v>7463</v>
      </c>
      <c r="CY40" s="58">
        <f t="shared" si="129"/>
        <v>6407</v>
      </c>
      <c r="CZ40" s="108">
        <f t="shared" si="130"/>
        <v>11456</v>
      </c>
      <c r="DA40" s="58">
        <f t="shared" si="131"/>
        <v>147</v>
      </c>
      <c r="DB40" s="58">
        <f t="shared" si="132"/>
        <v>369</v>
      </c>
      <c r="DC40" s="58">
        <f t="shared" si="133"/>
        <v>3116</v>
      </c>
      <c r="DD40" s="58">
        <f t="shared" si="134"/>
        <v>1215</v>
      </c>
      <c r="DE40" s="58">
        <f t="shared" si="135"/>
        <v>2381</v>
      </c>
      <c r="DF40" s="58">
        <f t="shared" si="136"/>
        <v>2420</v>
      </c>
      <c r="DG40" s="58">
        <f t="shared" si="137"/>
        <v>0</v>
      </c>
      <c r="DH40" s="58">
        <f t="shared" si="138"/>
        <v>8441</v>
      </c>
      <c r="DI40" s="58">
        <f t="shared" si="139"/>
        <v>13434</v>
      </c>
      <c r="DJ40" s="58">
        <f t="shared" si="140"/>
        <v>7994</v>
      </c>
      <c r="DK40" s="58">
        <f t="shared" si="141"/>
        <v>637</v>
      </c>
      <c r="DL40" s="58">
        <f t="shared" si="142"/>
        <v>9943</v>
      </c>
      <c r="DM40" s="58">
        <f t="shared" si="143"/>
        <v>10591</v>
      </c>
      <c r="DN40" s="58">
        <f t="shared" si="144"/>
        <v>7775</v>
      </c>
      <c r="DO40" s="58">
        <f t="shared" si="145"/>
        <v>3578</v>
      </c>
      <c r="DP40" s="58">
        <f t="shared" si="146"/>
        <v>9475</v>
      </c>
      <c r="DQ40" s="58"/>
      <c r="DR40" s="58">
        <f t="shared" si="147"/>
        <v>14887</v>
      </c>
      <c r="DS40" s="58">
        <f t="shared" si="148"/>
        <v>689</v>
      </c>
      <c r="DT40" s="58">
        <f t="shared" si="149"/>
        <v>1502</v>
      </c>
      <c r="DU40" s="58">
        <f t="shared" si="150"/>
        <v>6875</v>
      </c>
      <c r="DV40" s="58">
        <f t="shared" si="151"/>
        <v>12277</v>
      </c>
      <c r="DW40" s="58">
        <f t="shared" si="152"/>
        <v>22000</v>
      </c>
      <c r="DX40" s="58">
        <f t="shared" si="153"/>
        <v>11469</v>
      </c>
      <c r="DY40" s="58">
        <f t="shared" si="115"/>
        <v>16179</v>
      </c>
      <c r="DZ40" s="58">
        <f t="shared" si="116"/>
        <v>17455</v>
      </c>
      <c r="EA40" s="58">
        <f t="shared" si="117"/>
        <v>1322</v>
      </c>
      <c r="EB40" s="58">
        <f t="shared" si="118"/>
        <v>4523</v>
      </c>
      <c r="EC40" s="58">
        <f t="shared" si="119"/>
        <v>4801</v>
      </c>
      <c r="ED40" s="58">
        <f t="shared" si="120"/>
        <v>1812</v>
      </c>
      <c r="EE40" s="58">
        <f t="shared" si="121"/>
        <v>11275</v>
      </c>
      <c r="EF40" s="58">
        <f t="shared" si="122"/>
        <v>20626</v>
      </c>
      <c r="EG40" s="58">
        <f t="shared" si="123"/>
        <v>8481</v>
      </c>
      <c r="EH40" s="58">
        <f t="shared" si="124"/>
        <v>2836</v>
      </c>
      <c r="EI40" s="58">
        <f t="shared" si="125"/>
        <v>8225</v>
      </c>
      <c r="EJ40" s="58">
        <f t="shared" si="126"/>
        <v>12311</v>
      </c>
      <c r="EK40" s="58">
        <f t="shared" si="127"/>
        <v>25271</v>
      </c>
      <c r="EL40" s="58">
        <f t="shared" si="105"/>
        <v>18043</v>
      </c>
      <c r="EM40" s="58">
        <f t="shared" si="106"/>
        <v>7558</v>
      </c>
      <c r="EN40" s="58">
        <f t="shared" si="107"/>
        <v>14856</v>
      </c>
      <c r="EO40" s="58">
        <f t="shared" si="108"/>
        <v>31936</v>
      </c>
      <c r="EP40" s="58">
        <f t="shared" si="109"/>
        <v>45538</v>
      </c>
      <c r="EQ40" s="58">
        <f t="shared" si="110"/>
        <v>88951</v>
      </c>
      <c r="ER40" s="67">
        <f t="shared" si="72"/>
        <v>25552.5</v>
      </c>
      <c r="ES40" s="67">
        <f t="shared" si="73"/>
        <v>12026.024390243903</v>
      </c>
      <c r="EV40" s="42">
        <v>199</v>
      </c>
      <c r="EW40" s="128">
        <f t="shared" si="155"/>
        <v>0.32531275881609345</v>
      </c>
      <c r="EX40" s="128">
        <f t="shared" si="156"/>
        <v>0.33460413620221435</v>
      </c>
      <c r="EY40" s="130">
        <f t="shared" si="157"/>
        <v>0.50076496044061725</v>
      </c>
      <c r="EZ40" s="128">
        <f t="shared" si="158"/>
        <v>0.34186046511627904</v>
      </c>
      <c r="FA40" s="128">
        <f t="shared" si="159"/>
        <v>0.14613861386138613</v>
      </c>
      <c r="FB40" s="128">
        <f t="shared" si="160"/>
        <v>0.27025151777970513</v>
      </c>
      <c r="FC40" s="128">
        <f t="shared" si="161"/>
        <v>0.11388133845721249</v>
      </c>
      <c r="FD40" s="128">
        <f t="shared" si="162"/>
        <v>0.25292118121946039</v>
      </c>
      <c r="FE40" s="128">
        <f t="shared" si="163"/>
        <v>0.18629715165511931</v>
      </c>
      <c r="FF40" s="128">
        <f t="shared" si="164"/>
        <v>0</v>
      </c>
      <c r="FG40" s="128">
        <f t="shared" si="165"/>
        <v>0.29442952317834598</v>
      </c>
      <c r="FH40" s="128">
        <f t="shared" si="166"/>
        <v>0.18525311306314382</v>
      </c>
      <c r="FI40" s="128">
        <f t="shared" si="167"/>
        <v>0.17749061924110215</v>
      </c>
      <c r="FJ40" s="128">
        <f t="shared" si="168"/>
        <v>6.2261753494282084E-2</v>
      </c>
      <c r="FK40" s="128">
        <f t="shared" si="169"/>
        <v>0.40243655644149429</v>
      </c>
      <c r="FL40" s="128">
        <f t="shared" si="170"/>
        <v>0.2700683394532844</v>
      </c>
      <c r="FM40" s="128">
        <f t="shared" si="171"/>
        <v>0.22723287350946925</v>
      </c>
      <c r="FN40" s="128">
        <f t="shared" si="172"/>
        <v>0.19108144192256341</v>
      </c>
      <c r="FO40" s="128">
        <f t="shared" si="173"/>
        <v>0.33686493404913426</v>
      </c>
      <c r="FP40" s="128"/>
      <c r="FQ40" s="128">
        <f t="shared" si="175"/>
        <v>0.25904400633384955</v>
      </c>
      <c r="FR40" s="128">
        <f t="shared" si="176"/>
        <v>0.23371777476255087</v>
      </c>
      <c r="FS40" s="128">
        <f t="shared" si="177"/>
        <v>0.41027041791860147</v>
      </c>
      <c r="FT40" s="128">
        <f t="shared" si="178"/>
        <v>0.28736295893553848</v>
      </c>
      <c r="FU40" s="128">
        <f t="shared" si="179"/>
        <v>0.17573970426144089</v>
      </c>
      <c r="FV40" s="128">
        <f t="shared" si="180"/>
        <v>0.28553258316136487</v>
      </c>
      <c r="FW40" s="128">
        <f t="shared" si="181"/>
        <v>0.17497635248527751</v>
      </c>
      <c r="FX40" s="128">
        <f t="shared" si="182"/>
        <v>0.16008192585116804</v>
      </c>
      <c r="FY40" s="128">
        <f t="shared" si="183"/>
        <v>0.26166276908316843</v>
      </c>
      <c r="FZ40" s="128">
        <f t="shared" si="184"/>
        <v>0.13192296178026144</v>
      </c>
      <c r="GA40" s="128">
        <f t="shared" si="185"/>
        <v>0.36175317923698314</v>
      </c>
      <c r="GB40" s="128">
        <f t="shared" si="186"/>
        <v>0.2819142689371697</v>
      </c>
      <c r="GC40" s="128">
        <f t="shared" si="187"/>
        <v>8.0428932004546663E-2</v>
      </c>
      <c r="GD40" s="128">
        <f t="shared" si="188"/>
        <v>0.27997119586809693</v>
      </c>
      <c r="GE40" s="128">
        <f t="shared" si="189"/>
        <v>0.42655361389721846</v>
      </c>
      <c r="GF40" s="128">
        <f t="shared" si="190"/>
        <v>0.43524874781383904</v>
      </c>
      <c r="GG40" s="128">
        <f t="shared" si="191"/>
        <v>0.20946268550346997</v>
      </c>
      <c r="GH40" s="128">
        <f t="shared" si="192"/>
        <v>0.36469649270607013</v>
      </c>
      <c r="GI40" s="128">
        <f t="shared" si="193"/>
        <v>0.22223225084390852</v>
      </c>
      <c r="GJ40" s="128">
        <f t="shared" si="194"/>
        <v>0.3490035769034236</v>
      </c>
      <c r="GK40" s="128">
        <f t="shared" si="195"/>
        <v>0.30526511690860486</v>
      </c>
      <c r="GL40" s="128">
        <f t="shared" si="196"/>
        <v>0.1830511758579767</v>
      </c>
      <c r="GM40" s="128">
        <f t="shared" si="197"/>
        <v>0.24758349443370442</v>
      </c>
      <c r="GN40" s="128">
        <f t="shared" si="97"/>
        <v>0.37227953604942587</v>
      </c>
      <c r="GO40" s="128">
        <f t="shared" si="98"/>
        <v>0.29684627719906653</v>
      </c>
      <c r="GP40" s="128">
        <f t="shared" si="99"/>
        <v>0.42296591109018894</v>
      </c>
      <c r="GQ40" s="129">
        <f t="shared" si="100"/>
        <v>0.29733865174958402</v>
      </c>
      <c r="GR40" s="129">
        <f t="shared" si="101"/>
        <v>0.25210187480860047</v>
      </c>
    </row>
    <row r="41" spans="1:200" x14ac:dyDescent="0.25">
      <c r="A41" s="42">
        <v>200</v>
      </c>
      <c r="B41" s="81">
        <v>680</v>
      </c>
      <c r="C41" s="81">
        <v>845</v>
      </c>
      <c r="D41" s="81">
        <v>645</v>
      </c>
      <c r="E41" s="81">
        <v>1</v>
      </c>
      <c r="F41" s="81">
        <v>0</v>
      </c>
      <c r="G41" s="81">
        <v>97</v>
      </c>
      <c r="H41" s="81">
        <v>466</v>
      </c>
      <c r="I41" s="81">
        <v>102</v>
      </c>
      <c r="J41" s="81">
        <v>176</v>
      </c>
      <c r="K41" s="81"/>
      <c r="L41" s="81">
        <v>207</v>
      </c>
      <c r="M41" s="81">
        <v>2019</v>
      </c>
      <c r="N41" s="81">
        <v>790</v>
      </c>
      <c r="O41" s="81">
        <v>32</v>
      </c>
      <c r="P41" s="81">
        <v>338</v>
      </c>
      <c r="Q41" s="81">
        <v>128</v>
      </c>
      <c r="R41" s="81">
        <v>548</v>
      </c>
      <c r="S41" s="81">
        <v>366</v>
      </c>
      <c r="T41" s="81">
        <v>32</v>
      </c>
      <c r="V41" s="81">
        <v>238</v>
      </c>
      <c r="W41" s="81">
        <v>36</v>
      </c>
      <c r="X41" s="81">
        <v>186</v>
      </c>
      <c r="Y41" s="81">
        <v>581</v>
      </c>
      <c r="Z41" s="81">
        <v>1598</v>
      </c>
      <c r="AA41" s="81">
        <v>148</v>
      </c>
      <c r="AB41" s="81">
        <v>89</v>
      </c>
      <c r="AC41" s="81">
        <v>2889</v>
      </c>
      <c r="AD41" s="81">
        <v>641</v>
      </c>
      <c r="AE41" s="81">
        <v>24</v>
      </c>
      <c r="AF41" s="84">
        <v>35</v>
      </c>
      <c r="AG41" s="84">
        <v>183</v>
      </c>
      <c r="AH41" s="84">
        <v>1179</v>
      </c>
      <c r="AI41" s="83">
        <v>489</v>
      </c>
      <c r="AJ41" s="83">
        <v>1692</v>
      </c>
      <c r="AK41" s="83">
        <v>480</v>
      </c>
      <c r="AL41" s="81">
        <v>19</v>
      </c>
      <c r="AM41" s="90">
        <v>453</v>
      </c>
      <c r="AN41" s="90">
        <v>2239</v>
      </c>
      <c r="AO41" s="90">
        <v>4062</v>
      </c>
      <c r="AP41" s="81">
        <v>444</v>
      </c>
      <c r="AQ41" s="81">
        <v>1151</v>
      </c>
      <c r="AR41" s="81">
        <v>1532</v>
      </c>
      <c r="AS41" s="81">
        <v>1079</v>
      </c>
      <c r="AT41" s="81">
        <v>3774</v>
      </c>
      <c r="AU41" s="81">
        <v>2712</v>
      </c>
      <c r="AV41" s="71">
        <f t="shared" si="113"/>
        <v>1746.5</v>
      </c>
      <c r="AW41" s="71">
        <f t="shared" si="102"/>
        <v>27320.49325396826</v>
      </c>
      <c r="AY41" s="42">
        <v>200</v>
      </c>
      <c r="AZ41" s="48">
        <f t="shared" si="154"/>
        <v>2.9641253650669108E-2</v>
      </c>
      <c r="BA41" s="48">
        <f t="shared" si="1"/>
        <v>4.4129935241278465E-2</v>
      </c>
      <c r="BB41" s="48">
        <f t="shared" si="2"/>
        <v>2.8194256239891594E-2</v>
      </c>
      <c r="BC41" s="48">
        <f t="shared" si="3"/>
        <v>2.3255813953488372E-3</v>
      </c>
      <c r="BD41" s="48">
        <f t="shared" si="4"/>
        <v>0</v>
      </c>
      <c r="BE41" s="48">
        <f t="shared" si="5"/>
        <v>8.4128360797918467E-3</v>
      </c>
      <c r="BF41" s="48">
        <f t="shared" si="6"/>
        <v>4.3677945449432938E-2</v>
      </c>
      <c r="BG41" s="48">
        <f t="shared" si="7"/>
        <v>1.0834926704907584E-2</v>
      </c>
      <c r="BH41" s="48">
        <f t="shared" si="8"/>
        <v>1.3548883756735951E-2</v>
      </c>
      <c r="BI41" s="48">
        <f t="shared" si="9"/>
        <v>0</v>
      </c>
      <c r="BJ41" s="48">
        <f t="shared" si="10"/>
        <v>7.220342530259165E-3</v>
      </c>
      <c r="BK41" s="48">
        <f t="shared" si="11"/>
        <v>2.7841747452321524E-2</v>
      </c>
      <c r="BL41" s="48">
        <f t="shared" si="12"/>
        <v>1.7540353915495459E-2</v>
      </c>
      <c r="BM41" s="48">
        <f t="shared" si="13"/>
        <v>3.1277489981428991E-3</v>
      </c>
      <c r="BN41" s="48">
        <f t="shared" si="14"/>
        <v>1.3680333508722225E-2</v>
      </c>
      <c r="BO41" s="48">
        <f t="shared" si="15"/>
        <v>3.2639738882088943E-3</v>
      </c>
      <c r="BP41" s="48">
        <f t="shared" si="16"/>
        <v>1.6015898994622399E-2</v>
      </c>
      <c r="BQ41" s="48">
        <f t="shared" si="17"/>
        <v>1.9546061415220292E-2</v>
      </c>
      <c r="BR41" s="48">
        <f t="shared" si="18"/>
        <v>1.1376968748888969E-3</v>
      </c>
      <c r="BS41" s="48"/>
      <c r="BT41" s="48">
        <f t="shared" si="19"/>
        <v>4.1413631697088862E-3</v>
      </c>
      <c r="BU41" s="48">
        <f t="shared" si="20"/>
        <v>1.2211668928086838E-2</v>
      </c>
      <c r="BV41" s="48">
        <f t="shared" si="21"/>
        <v>5.0805790767549847E-2</v>
      </c>
      <c r="BW41" s="48">
        <f t="shared" si="22"/>
        <v>2.428478242058878E-2</v>
      </c>
      <c r="BX41" s="48">
        <f t="shared" si="23"/>
        <v>2.2874647504258577E-2</v>
      </c>
      <c r="BY41" s="48">
        <f t="shared" si="24"/>
        <v>1.9208555594491816E-3</v>
      </c>
      <c r="BZ41" s="48">
        <f t="shared" si="25"/>
        <v>1.3578250389039757E-3</v>
      </c>
      <c r="CA41" s="48">
        <f t="shared" si="26"/>
        <v>2.8584998070586839E-2</v>
      </c>
      <c r="CB41" s="48">
        <f t="shared" si="27"/>
        <v>9.6090423937158966E-3</v>
      </c>
      <c r="CC41" s="48">
        <f t="shared" si="28"/>
        <v>2.3949705618201778E-3</v>
      </c>
      <c r="CD41" s="48">
        <f t="shared" si="29"/>
        <v>2.7993281612413022E-3</v>
      </c>
      <c r="CE41" s="48">
        <f t="shared" si="30"/>
        <v>1.0745742806811509E-2</v>
      </c>
      <c r="CF41" s="48">
        <f t="shared" si="31"/>
        <v>5.2332069996335828E-2</v>
      </c>
      <c r="CG41" s="48">
        <f t="shared" si="32"/>
        <v>1.2142431466030989E-2</v>
      </c>
      <c r="CH41" s="48">
        <f t="shared" si="33"/>
        <v>3.4991210836521562E-2</v>
      </c>
      <c r="CI41" s="48">
        <f t="shared" si="34"/>
        <v>2.4633816643160326E-2</v>
      </c>
      <c r="CJ41" s="48">
        <f t="shared" si="35"/>
        <v>1.4033113626819214E-3</v>
      </c>
      <c r="CK41" s="48">
        <f t="shared" si="36"/>
        <v>2.0086019598279607E-2</v>
      </c>
      <c r="CL41" s="48">
        <f t="shared" si="37"/>
        <v>4.0417351120096756E-2</v>
      </c>
      <c r="CM41" s="48">
        <f t="shared" si="61"/>
        <v>5.6097998867544088E-2</v>
      </c>
      <c r="CN41" s="48">
        <f t="shared" si="62"/>
        <v>7.5119277230737995E-3</v>
      </c>
      <c r="CO41" s="48">
        <f t="shared" si="174"/>
        <v>2.7876674174719659E-2</v>
      </c>
      <c r="CP41" s="48">
        <f t="shared" si="64"/>
        <v>2.5531631224585027E-2</v>
      </c>
      <c r="CQ41" s="48">
        <f t="shared" si="112"/>
        <v>1.2577956519204989E-2</v>
      </c>
      <c r="CR41" s="48">
        <f t="shared" si="65"/>
        <v>2.4601384561229678E-2</v>
      </c>
      <c r="CS41" s="48">
        <f t="shared" si="66"/>
        <v>1.2895679091596411E-2</v>
      </c>
      <c r="CT41" s="68">
        <f t="shared" si="67"/>
        <v>0.32023864517388523</v>
      </c>
      <c r="CU41" s="68">
        <f t="shared" si="68"/>
        <v>0.26943551451924752</v>
      </c>
      <c r="CW41" s="42">
        <v>200</v>
      </c>
      <c r="CX41" s="58">
        <f t="shared" si="128"/>
        <v>8143</v>
      </c>
      <c r="CY41" s="58">
        <f t="shared" si="129"/>
        <v>7252</v>
      </c>
      <c r="CZ41" s="58">
        <f t="shared" si="130"/>
        <v>12101</v>
      </c>
      <c r="DA41" s="58">
        <f t="shared" si="131"/>
        <v>148</v>
      </c>
      <c r="DB41" s="58">
        <f t="shared" si="132"/>
        <v>369</v>
      </c>
      <c r="DC41" s="58">
        <f t="shared" si="133"/>
        <v>3213</v>
      </c>
      <c r="DD41" s="58">
        <f t="shared" si="134"/>
        <v>1681</v>
      </c>
      <c r="DE41" s="58">
        <f t="shared" si="135"/>
        <v>2483</v>
      </c>
      <c r="DF41" s="58">
        <f t="shared" si="136"/>
        <v>2596</v>
      </c>
      <c r="DG41" s="58">
        <f t="shared" si="137"/>
        <v>0</v>
      </c>
      <c r="DH41" s="58">
        <f t="shared" si="138"/>
        <v>8648</v>
      </c>
      <c r="DI41" s="58">
        <f t="shared" si="139"/>
        <v>15453</v>
      </c>
      <c r="DJ41" s="58">
        <f t="shared" si="140"/>
        <v>8784</v>
      </c>
      <c r="DK41" s="58">
        <f t="shared" si="141"/>
        <v>669</v>
      </c>
      <c r="DL41" s="58">
        <f t="shared" si="142"/>
        <v>10281</v>
      </c>
      <c r="DM41" s="58">
        <f t="shared" si="143"/>
        <v>10719</v>
      </c>
      <c r="DN41" s="58">
        <f t="shared" si="144"/>
        <v>8323</v>
      </c>
      <c r="DO41" s="58">
        <f t="shared" si="145"/>
        <v>3944</v>
      </c>
      <c r="DP41" s="58">
        <f t="shared" si="146"/>
        <v>9507</v>
      </c>
      <c r="DQ41" s="58"/>
      <c r="DR41" s="58">
        <f t="shared" si="147"/>
        <v>15125</v>
      </c>
      <c r="DS41" s="58">
        <f t="shared" si="148"/>
        <v>725</v>
      </c>
      <c r="DT41" s="58">
        <f t="shared" si="149"/>
        <v>1688</v>
      </c>
      <c r="DU41" s="58">
        <f t="shared" si="150"/>
        <v>7456</v>
      </c>
      <c r="DV41" s="58">
        <f t="shared" si="151"/>
        <v>13875</v>
      </c>
      <c r="DW41" s="58">
        <f t="shared" si="152"/>
        <v>22148</v>
      </c>
      <c r="DX41" s="58">
        <f t="shared" si="153"/>
        <v>11558</v>
      </c>
      <c r="DY41" s="58">
        <f t="shared" si="115"/>
        <v>19068</v>
      </c>
      <c r="DZ41" s="58">
        <f t="shared" si="116"/>
        <v>18096</v>
      </c>
      <c r="EA41" s="58">
        <f t="shared" si="117"/>
        <v>1346</v>
      </c>
      <c r="EB41" s="58">
        <f t="shared" si="118"/>
        <v>4558</v>
      </c>
      <c r="EC41" s="58">
        <f t="shared" si="119"/>
        <v>4984</v>
      </c>
      <c r="ED41" s="58">
        <f t="shared" si="120"/>
        <v>2991</v>
      </c>
      <c r="EE41" s="58">
        <f t="shared" si="121"/>
        <v>11764</v>
      </c>
      <c r="EF41" s="58">
        <f t="shared" si="122"/>
        <v>22318</v>
      </c>
      <c r="EG41" s="58">
        <f t="shared" si="123"/>
        <v>8961</v>
      </c>
      <c r="EH41" s="58">
        <f t="shared" si="124"/>
        <v>2855</v>
      </c>
      <c r="EI41" s="58">
        <f t="shared" si="125"/>
        <v>8678</v>
      </c>
      <c r="EJ41" s="58">
        <f t="shared" si="126"/>
        <v>14550</v>
      </c>
      <c r="EK41" s="58">
        <f t="shared" si="127"/>
        <v>29333</v>
      </c>
      <c r="EL41" s="58">
        <f t="shared" si="105"/>
        <v>18487</v>
      </c>
      <c r="EM41" s="58">
        <f t="shared" si="106"/>
        <v>8709</v>
      </c>
      <c r="EN41" s="58">
        <f t="shared" si="107"/>
        <v>16388</v>
      </c>
      <c r="EO41" s="58">
        <f t="shared" si="108"/>
        <v>33015</v>
      </c>
      <c r="EP41" s="58">
        <f t="shared" si="109"/>
        <v>49312</v>
      </c>
      <c r="EQ41" s="58">
        <f t="shared" si="110"/>
        <v>91663</v>
      </c>
      <c r="ER41" s="67">
        <f t="shared" si="72"/>
        <v>27299</v>
      </c>
      <c r="ES41" s="67">
        <f t="shared" si="73"/>
        <v>12837.09756097561</v>
      </c>
      <c r="EV41" s="42">
        <v>200</v>
      </c>
      <c r="EW41" s="128">
        <f t="shared" si="155"/>
        <v>0.35495401246676256</v>
      </c>
      <c r="EX41" s="128">
        <f t="shared" si="156"/>
        <v>0.3787340714434928</v>
      </c>
      <c r="EY41" s="128">
        <f t="shared" si="157"/>
        <v>0.52895921668050883</v>
      </c>
      <c r="EZ41" s="128">
        <f t="shared" si="158"/>
        <v>0.34418604651162793</v>
      </c>
      <c r="FA41" s="128">
        <f t="shared" si="159"/>
        <v>0.14613861386138613</v>
      </c>
      <c r="FB41" s="128">
        <f t="shared" si="160"/>
        <v>0.27866435385949695</v>
      </c>
      <c r="FC41" s="128">
        <f t="shared" si="161"/>
        <v>0.15755928390664542</v>
      </c>
      <c r="FD41" s="128">
        <f t="shared" si="162"/>
        <v>0.26375610792436799</v>
      </c>
      <c r="FE41" s="128">
        <f t="shared" si="163"/>
        <v>0.19984603541185528</v>
      </c>
      <c r="FF41" s="128">
        <f t="shared" si="164"/>
        <v>0</v>
      </c>
      <c r="FG41" s="128">
        <f t="shared" si="165"/>
        <v>0.30164986570860514</v>
      </c>
      <c r="FH41" s="128">
        <f t="shared" si="166"/>
        <v>0.21309486051546533</v>
      </c>
      <c r="FI41" s="128">
        <f t="shared" si="167"/>
        <v>0.19503097315659762</v>
      </c>
      <c r="FJ41" s="128">
        <f t="shared" si="168"/>
        <v>6.5389502492424978E-2</v>
      </c>
      <c r="FK41" s="128">
        <f t="shared" si="169"/>
        <v>0.41611688995021656</v>
      </c>
      <c r="FL41" s="128">
        <f t="shared" si="170"/>
        <v>0.27333231334149327</v>
      </c>
      <c r="FM41" s="128">
        <f t="shared" si="171"/>
        <v>0.24324877250409166</v>
      </c>
      <c r="FN41" s="128">
        <f t="shared" si="172"/>
        <v>0.21062750333778371</v>
      </c>
      <c r="FO41" s="128">
        <f t="shared" si="173"/>
        <v>0.33800263092402316</v>
      </c>
      <c r="FP41" s="128"/>
      <c r="FQ41" s="128">
        <f t="shared" si="175"/>
        <v>0.26318536950355842</v>
      </c>
      <c r="FR41" s="128">
        <f t="shared" si="176"/>
        <v>0.24592944369063771</v>
      </c>
      <c r="FS41" s="128">
        <f t="shared" si="177"/>
        <v>0.46107620868615135</v>
      </c>
      <c r="FT41" s="128">
        <f t="shared" si="178"/>
        <v>0.31164774135612727</v>
      </c>
      <c r="FU41" s="128">
        <f t="shared" si="179"/>
        <v>0.19861435176569947</v>
      </c>
      <c r="FV41" s="128">
        <f t="shared" si="180"/>
        <v>0.28745343872081403</v>
      </c>
      <c r="FW41" s="128">
        <f t="shared" si="181"/>
        <v>0.17633417752418148</v>
      </c>
      <c r="FX41" s="128">
        <f t="shared" si="182"/>
        <v>0.18866692392175488</v>
      </c>
      <c r="FY41" s="128">
        <f t="shared" si="183"/>
        <v>0.27127181147688434</v>
      </c>
      <c r="FZ41" s="128">
        <f t="shared" si="184"/>
        <v>0.13431793234208164</v>
      </c>
      <c r="GA41" s="128">
        <f t="shared" si="185"/>
        <v>0.36455250739822442</v>
      </c>
      <c r="GB41" s="128">
        <f t="shared" si="186"/>
        <v>0.29266001174398121</v>
      </c>
      <c r="GC41" s="128">
        <f t="shared" si="187"/>
        <v>0.13276100200088251</v>
      </c>
      <c r="GD41" s="128">
        <f t="shared" si="188"/>
        <v>0.29211362733412793</v>
      </c>
      <c r="GE41" s="128">
        <f t="shared" si="189"/>
        <v>0.46154482473374003</v>
      </c>
      <c r="GF41" s="128">
        <f t="shared" si="190"/>
        <v>0.45988256445699932</v>
      </c>
      <c r="GG41" s="128">
        <f t="shared" si="191"/>
        <v>0.21086599686615187</v>
      </c>
      <c r="GH41" s="128">
        <f t="shared" si="192"/>
        <v>0.38478251230434973</v>
      </c>
      <c r="GI41" s="128">
        <f t="shared" si="193"/>
        <v>0.26264960196400527</v>
      </c>
      <c r="GJ41" s="128">
        <f t="shared" si="194"/>
        <v>0.40510157577096767</v>
      </c>
      <c r="GK41" s="128">
        <f t="shared" si="195"/>
        <v>0.31277704463167866</v>
      </c>
      <c r="GL41" s="128">
        <f t="shared" si="196"/>
        <v>0.21092785003269637</v>
      </c>
      <c r="GM41" s="128">
        <f t="shared" si="197"/>
        <v>0.27311512565828944</v>
      </c>
      <c r="GN41" s="128">
        <f t="shared" si="97"/>
        <v>0.38485749256863089</v>
      </c>
      <c r="GO41" s="128">
        <f t="shared" si="98"/>
        <v>0.32144766176029621</v>
      </c>
      <c r="GP41" s="128">
        <f t="shared" si="99"/>
        <v>0.43586159018178533</v>
      </c>
      <c r="GQ41" s="129">
        <f t="shared" si="100"/>
        <v>0.32023864517388517</v>
      </c>
      <c r="GR41" s="129">
        <f t="shared" si="101"/>
        <v>0.26943551451924758</v>
      </c>
    </row>
    <row r="42" spans="1:200" x14ac:dyDescent="0.25">
      <c r="A42" s="42">
        <v>201</v>
      </c>
      <c r="B42" s="81">
        <v>705</v>
      </c>
      <c r="C42" s="81">
        <v>634</v>
      </c>
      <c r="D42" s="81">
        <v>519</v>
      </c>
      <c r="E42" s="81">
        <v>18</v>
      </c>
      <c r="F42" s="81">
        <v>7</v>
      </c>
      <c r="G42" s="81">
        <v>419</v>
      </c>
      <c r="H42" s="81">
        <v>174</v>
      </c>
      <c r="I42" s="81">
        <v>320</v>
      </c>
      <c r="J42" s="81">
        <v>63</v>
      </c>
      <c r="K42" s="81"/>
      <c r="L42" s="81">
        <v>241</v>
      </c>
      <c r="M42" s="81">
        <v>1110</v>
      </c>
      <c r="N42" s="81">
        <v>1565</v>
      </c>
      <c r="O42" s="81">
        <v>26</v>
      </c>
      <c r="P42" s="81">
        <v>489</v>
      </c>
      <c r="Q42" s="81">
        <v>1372</v>
      </c>
      <c r="R42" s="81">
        <v>871</v>
      </c>
      <c r="S42" s="81">
        <v>68</v>
      </c>
      <c r="T42" s="81">
        <v>288</v>
      </c>
      <c r="V42" s="81">
        <v>2165</v>
      </c>
      <c r="W42" s="81">
        <v>62</v>
      </c>
      <c r="X42" s="81">
        <v>34</v>
      </c>
      <c r="Y42" s="81">
        <v>959</v>
      </c>
      <c r="Z42" s="81">
        <v>126</v>
      </c>
      <c r="AA42" s="81">
        <v>700</v>
      </c>
      <c r="AB42" s="81">
        <v>638</v>
      </c>
      <c r="AC42" s="81">
        <v>2674</v>
      </c>
      <c r="AD42" s="81">
        <v>801</v>
      </c>
      <c r="AE42" s="81">
        <v>45</v>
      </c>
      <c r="AF42" s="84">
        <v>320</v>
      </c>
      <c r="AG42" s="84">
        <v>206</v>
      </c>
      <c r="AH42" s="84">
        <v>365</v>
      </c>
      <c r="AI42" s="83">
        <v>825</v>
      </c>
      <c r="AJ42" s="83">
        <v>410</v>
      </c>
      <c r="AK42" s="83">
        <v>428</v>
      </c>
      <c r="AL42" s="81">
        <v>80</v>
      </c>
      <c r="AM42" s="90">
        <v>272</v>
      </c>
      <c r="AN42" s="90">
        <v>1893</v>
      </c>
      <c r="AO42" s="90">
        <v>420</v>
      </c>
      <c r="AP42" s="81">
        <v>359</v>
      </c>
      <c r="AQ42" s="81">
        <v>1171</v>
      </c>
      <c r="AR42" s="81">
        <v>1556</v>
      </c>
      <c r="AS42" s="81">
        <v>2634</v>
      </c>
      <c r="AT42" s="81">
        <v>3855</v>
      </c>
      <c r="AU42" s="81">
        <v>4061</v>
      </c>
      <c r="AV42" s="71">
        <f t="shared" si="113"/>
        <v>1630.1</v>
      </c>
      <c r="AW42" s="71">
        <f t="shared" si="102"/>
        <v>28950.593253968258</v>
      </c>
      <c r="AY42" s="42">
        <v>201</v>
      </c>
      <c r="AZ42" s="48">
        <f t="shared" si="154"/>
        <v>3.0731005623120179E-2</v>
      </c>
      <c r="BA42" s="48">
        <f t="shared" si="1"/>
        <v>3.3110507624817216E-2</v>
      </c>
      <c r="BB42" s="48">
        <f t="shared" si="2"/>
        <v>2.2686541067447656E-2</v>
      </c>
      <c r="BC42" s="48">
        <f t="shared" si="3"/>
        <v>4.1860465116279069E-2</v>
      </c>
      <c r="BD42" s="48">
        <f t="shared" si="4"/>
        <v>2.7722772277227721E-3</v>
      </c>
      <c r="BE42" s="48">
        <f t="shared" si="5"/>
        <v>3.633998265394623E-2</v>
      </c>
      <c r="BF42" s="48">
        <f t="shared" si="6"/>
        <v>1.6308932421032898E-2</v>
      </c>
      <c r="BG42" s="48">
        <f t="shared" si="7"/>
        <v>3.3991926917357126E-2</v>
      </c>
      <c r="BH42" s="48">
        <f t="shared" si="8"/>
        <v>4.8498845265588916E-3</v>
      </c>
      <c r="BI42" s="48">
        <f t="shared" si="9"/>
        <v>0</v>
      </c>
      <c r="BJ42" s="48">
        <f t="shared" si="10"/>
        <v>8.4062925110746801E-3</v>
      </c>
      <c r="BK42" s="48">
        <f t="shared" si="11"/>
        <v>1.5306755657294151E-2</v>
      </c>
      <c r="BL42" s="48">
        <f t="shared" si="12"/>
        <v>3.4747663136392902E-2</v>
      </c>
      <c r="BM42" s="48">
        <f t="shared" si="13"/>
        <v>2.5412960609911056E-3</v>
      </c>
      <c r="BN42" s="48">
        <f t="shared" si="14"/>
        <v>1.9791961792204639E-2</v>
      </c>
      <c r="BO42" s="48">
        <f t="shared" si="15"/>
        <v>3.4985720114239088E-2</v>
      </c>
      <c r="BP42" s="48">
        <f t="shared" si="16"/>
        <v>2.5455927051671733E-2</v>
      </c>
      <c r="BQ42" s="48">
        <f t="shared" si="17"/>
        <v>3.6315086782376504E-3</v>
      </c>
      <c r="BR42" s="48">
        <f t="shared" si="18"/>
        <v>1.0239271874000071E-2</v>
      </c>
      <c r="BS42" s="48"/>
      <c r="BT42" s="48">
        <f t="shared" si="19"/>
        <v>3.7672484295881256E-2</v>
      </c>
      <c r="BU42" s="48">
        <f t="shared" si="20"/>
        <v>2.1031207598371779E-2</v>
      </c>
      <c r="BV42" s="48">
        <f t="shared" si="21"/>
        <v>9.2870800327779293E-3</v>
      </c>
      <c r="BW42" s="48">
        <f t="shared" si="22"/>
        <v>4.0084520380971843E-2</v>
      </c>
      <c r="BX42" s="48">
        <f t="shared" si="23"/>
        <v>1.8036330322506763E-3</v>
      </c>
      <c r="BY42" s="48">
        <f t="shared" si="24"/>
        <v>9.0851276460434272E-3</v>
      </c>
      <c r="BZ42" s="48">
        <f t="shared" si="25"/>
        <v>9.733622188997041E-3</v>
      </c>
      <c r="CA42" s="48">
        <f t="shared" si="26"/>
        <v>2.6457696379629355E-2</v>
      </c>
      <c r="CB42" s="48">
        <f t="shared" si="27"/>
        <v>1.2007555315704263E-2</v>
      </c>
      <c r="CC42" s="48">
        <f t="shared" si="28"/>
        <v>4.4905698034128335E-3</v>
      </c>
      <c r="CD42" s="48">
        <f t="shared" si="29"/>
        <v>2.5593857474206189E-2</v>
      </c>
      <c r="CE42" s="48">
        <f t="shared" si="30"/>
        <v>1.2096300645918967E-2</v>
      </c>
      <c r="CF42" s="48">
        <f t="shared" si="31"/>
        <v>1.6201192153233738E-2</v>
      </c>
      <c r="CG42" s="48">
        <f t="shared" si="32"/>
        <v>2.0485697258641241E-2</v>
      </c>
      <c r="CH42" s="48">
        <f t="shared" si="33"/>
        <v>8.4789577086133803E-3</v>
      </c>
      <c r="CI42" s="48">
        <f t="shared" si="34"/>
        <v>2.1965153173484624E-2</v>
      </c>
      <c r="CJ42" s="48">
        <f t="shared" si="35"/>
        <v>5.9086794218186165E-3</v>
      </c>
      <c r="CK42" s="48">
        <f t="shared" si="36"/>
        <v>1.2060479758790404E-2</v>
      </c>
      <c r="CL42" s="48">
        <f t="shared" si="37"/>
        <v>3.4171525533873676E-2</v>
      </c>
      <c r="CM42" s="48">
        <f t="shared" si="61"/>
        <v>5.8003839301744254E-3</v>
      </c>
      <c r="CN42" s="48">
        <f t="shared" si="62"/>
        <v>6.0738334517646264E-3</v>
      </c>
      <c r="CO42" s="48">
        <f t="shared" si="174"/>
        <v>2.8361064690353363E-2</v>
      </c>
      <c r="CP42" s="48">
        <f t="shared" si="64"/>
        <v>2.5931604559696019E-2</v>
      </c>
      <c r="CQ42" s="48">
        <f t="shared" si="112"/>
        <v>3.0704668648365099E-2</v>
      </c>
      <c r="CR42" s="48">
        <f t="shared" si="65"/>
        <v>2.5129395199666244E-2</v>
      </c>
      <c r="CS42" s="48">
        <f t="shared" si="66"/>
        <v>1.9310233330004804E-2</v>
      </c>
      <c r="CT42" s="68">
        <f t="shared" si="67"/>
        <v>0.33958383202633596</v>
      </c>
      <c r="CU42" s="68">
        <f t="shared" si="68"/>
        <v>0.2869793175493785</v>
      </c>
      <c r="CW42" s="42">
        <v>201</v>
      </c>
      <c r="CX42" s="58">
        <f t="shared" si="128"/>
        <v>8848</v>
      </c>
      <c r="CY42" s="58">
        <f t="shared" si="129"/>
        <v>7886</v>
      </c>
      <c r="CZ42" s="58">
        <f t="shared" si="130"/>
        <v>12620</v>
      </c>
      <c r="DA42" s="58">
        <f t="shared" si="131"/>
        <v>166</v>
      </c>
      <c r="DB42" s="58">
        <f t="shared" si="132"/>
        <v>376</v>
      </c>
      <c r="DC42" s="58">
        <f t="shared" si="133"/>
        <v>3632</v>
      </c>
      <c r="DD42" s="58">
        <f t="shared" si="134"/>
        <v>1855</v>
      </c>
      <c r="DE42" s="58">
        <f t="shared" si="135"/>
        <v>2803</v>
      </c>
      <c r="DF42" s="58">
        <f t="shared" si="136"/>
        <v>2659</v>
      </c>
      <c r="DG42" s="58">
        <f t="shared" si="137"/>
        <v>0</v>
      </c>
      <c r="DH42" s="58">
        <f t="shared" si="138"/>
        <v>8889</v>
      </c>
      <c r="DI42" s="58">
        <f t="shared" si="139"/>
        <v>16563</v>
      </c>
      <c r="DJ42" s="58">
        <f t="shared" si="140"/>
        <v>10349</v>
      </c>
      <c r="DK42" s="58">
        <f t="shared" si="141"/>
        <v>695</v>
      </c>
      <c r="DL42" s="58">
        <f t="shared" si="142"/>
        <v>10770</v>
      </c>
      <c r="DM42" s="58">
        <f t="shared" si="143"/>
        <v>12091</v>
      </c>
      <c r="DN42" s="58">
        <f t="shared" si="144"/>
        <v>9194</v>
      </c>
      <c r="DO42" s="58">
        <f t="shared" si="145"/>
        <v>4012</v>
      </c>
      <c r="DP42" s="58">
        <f t="shared" si="146"/>
        <v>9795</v>
      </c>
      <c r="DQ42" s="58"/>
      <c r="DR42" s="58">
        <f t="shared" si="147"/>
        <v>17290</v>
      </c>
      <c r="DS42" s="58">
        <f t="shared" si="148"/>
        <v>787</v>
      </c>
      <c r="DT42" s="58">
        <f t="shared" si="149"/>
        <v>1722</v>
      </c>
      <c r="DU42" s="58">
        <f t="shared" si="150"/>
        <v>8415</v>
      </c>
      <c r="DV42" s="58">
        <f t="shared" si="151"/>
        <v>14001</v>
      </c>
      <c r="DW42" s="58">
        <f t="shared" si="152"/>
        <v>22848</v>
      </c>
      <c r="DX42" s="58">
        <f t="shared" si="153"/>
        <v>12196</v>
      </c>
      <c r="DY42" s="58">
        <f t="shared" si="115"/>
        <v>21742</v>
      </c>
      <c r="DZ42" s="58">
        <f t="shared" si="116"/>
        <v>18897</v>
      </c>
      <c r="EA42" s="58">
        <f t="shared" si="117"/>
        <v>1391</v>
      </c>
      <c r="EB42" s="58">
        <f t="shared" si="118"/>
        <v>4878</v>
      </c>
      <c r="EC42" s="58">
        <f t="shared" si="119"/>
        <v>5190</v>
      </c>
      <c r="ED42" s="58">
        <f t="shared" si="120"/>
        <v>3356</v>
      </c>
      <c r="EE42" s="58">
        <f t="shared" si="121"/>
        <v>12589</v>
      </c>
      <c r="EF42" s="58">
        <f t="shared" si="122"/>
        <v>22728</v>
      </c>
      <c r="EG42" s="108">
        <f t="shared" si="123"/>
        <v>9389</v>
      </c>
      <c r="EH42" s="58">
        <f t="shared" si="124"/>
        <v>2935</v>
      </c>
      <c r="EI42" s="58">
        <f t="shared" si="125"/>
        <v>8950</v>
      </c>
      <c r="EJ42" s="58">
        <f t="shared" si="126"/>
        <v>16443</v>
      </c>
      <c r="EK42" s="58">
        <f t="shared" si="127"/>
        <v>29753</v>
      </c>
      <c r="EL42" s="58">
        <f t="shared" si="105"/>
        <v>18846</v>
      </c>
      <c r="EM42" s="58">
        <f t="shared" si="106"/>
        <v>9880</v>
      </c>
      <c r="EN42" s="58">
        <f t="shared" si="107"/>
        <v>17944</v>
      </c>
      <c r="EO42" s="58">
        <f t="shared" si="108"/>
        <v>35649</v>
      </c>
      <c r="EP42" s="58">
        <f t="shared" si="109"/>
        <v>53167</v>
      </c>
      <c r="EQ42" s="58">
        <f t="shared" si="110"/>
        <v>95724</v>
      </c>
      <c r="ER42" s="67">
        <f t="shared" si="72"/>
        <v>28929.1</v>
      </c>
      <c r="ES42" s="67">
        <f t="shared" si="73"/>
        <v>13668.121951219513</v>
      </c>
      <c r="EV42" s="42">
        <v>201</v>
      </c>
      <c r="EW42" s="128">
        <f t="shared" si="155"/>
        <v>0.38568501808988276</v>
      </c>
      <c r="EX42" s="128">
        <f t="shared" si="156"/>
        <v>0.41184457906831001</v>
      </c>
      <c r="EY42" s="128">
        <f t="shared" si="157"/>
        <v>0.55164575774795643</v>
      </c>
      <c r="EZ42" s="128">
        <f t="shared" si="158"/>
        <v>0.38604651162790699</v>
      </c>
      <c r="FA42" s="128">
        <f t="shared" si="159"/>
        <v>0.1489108910891089</v>
      </c>
      <c r="FB42" s="128">
        <f t="shared" si="160"/>
        <v>0.31500433651344317</v>
      </c>
      <c r="FC42" s="128">
        <f t="shared" si="161"/>
        <v>0.17386821632767832</v>
      </c>
      <c r="FD42" s="128">
        <f t="shared" si="162"/>
        <v>0.29774803484172507</v>
      </c>
      <c r="FE42" s="128">
        <f t="shared" si="163"/>
        <v>0.20469591993841416</v>
      </c>
      <c r="FF42" s="128">
        <f t="shared" si="164"/>
        <v>0</v>
      </c>
      <c r="FG42" s="128">
        <f t="shared" si="165"/>
        <v>0.3100561582196798</v>
      </c>
      <c r="FH42" s="128">
        <f t="shared" si="166"/>
        <v>0.2284016161727595</v>
      </c>
      <c r="FI42" s="128">
        <f t="shared" si="167"/>
        <v>0.22977863629299053</v>
      </c>
      <c r="FJ42" s="128">
        <f t="shared" si="168"/>
        <v>6.7930798553416091E-2</v>
      </c>
      <c r="FK42" s="128">
        <f t="shared" si="169"/>
        <v>0.43590885174242117</v>
      </c>
      <c r="FL42" s="128">
        <f t="shared" si="170"/>
        <v>0.30831803345573233</v>
      </c>
      <c r="FM42" s="128">
        <f t="shared" si="171"/>
        <v>0.26870469955576337</v>
      </c>
      <c r="FN42" s="128">
        <f t="shared" si="172"/>
        <v>0.21425901201602135</v>
      </c>
      <c r="FO42" s="128">
        <f t="shared" si="173"/>
        <v>0.34824190279802325</v>
      </c>
      <c r="FP42" s="128"/>
      <c r="FQ42" s="128">
        <f t="shared" si="175"/>
        <v>0.30085785379943969</v>
      </c>
      <c r="FR42" s="128">
        <f t="shared" si="176"/>
        <v>0.26696065128900948</v>
      </c>
      <c r="FS42" s="128">
        <f t="shared" si="177"/>
        <v>0.47036328871892924</v>
      </c>
      <c r="FT42" s="128">
        <f t="shared" si="178"/>
        <v>0.35173226173709909</v>
      </c>
      <c r="FU42" s="128">
        <f t="shared" si="179"/>
        <v>0.20041798479795014</v>
      </c>
      <c r="FV42" s="128">
        <f t="shared" si="180"/>
        <v>0.29653856636685744</v>
      </c>
      <c r="FW42" s="128">
        <f t="shared" si="181"/>
        <v>0.18606779971317852</v>
      </c>
      <c r="FX42" s="128">
        <f t="shared" si="182"/>
        <v>0.21512462030138424</v>
      </c>
      <c r="FY42" s="128">
        <f t="shared" si="183"/>
        <v>0.28327936679258858</v>
      </c>
      <c r="FZ42" s="128">
        <f t="shared" si="184"/>
        <v>0.13880850214549445</v>
      </c>
      <c r="GA42" s="128">
        <f t="shared" si="185"/>
        <v>0.3901463648724306</v>
      </c>
      <c r="GB42" s="128">
        <f t="shared" si="186"/>
        <v>0.3047563123899002</v>
      </c>
      <c r="GC42" s="128">
        <f t="shared" si="187"/>
        <v>0.14896219415411624</v>
      </c>
      <c r="GD42" s="128">
        <f t="shared" si="188"/>
        <v>0.31259932459276918</v>
      </c>
      <c r="GE42" s="128">
        <f t="shared" si="189"/>
        <v>0.47002378244235343</v>
      </c>
      <c r="GF42" s="128">
        <f t="shared" si="190"/>
        <v>0.48184771763048395</v>
      </c>
      <c r="GG42" s="128">
        <f t="shared" si="191"/>
        <v>0.21677467628797051</v>
      </c>
      <c r="GH42" s="128">
        <f t="shared" si="192"/>
        <v>0.39684299206314017</v>
      </c>
      <c r="GI42" s="128">
        <f t="shared" si="193"/>
        <v>0.29682112749787892</v>
      </c>
      <c r="GJ42" s="128">
        <f t="shared" si="194"/>
        <v>0.41090195970114213</v>
      </c>
      <c r="GK42" s="128">
        <f t="shared" si="195"/>
        <v>0.31885087808344331</v>
      </c>
      <c r="GL42" s="128">
        <f t="shared" si="196"/>
        <v>0.23928891472304972</v>
      </c>
      <c r="GM42" s="128">
        <f t="shared" si="197"/>
        <v>0.29904673021798545</v>
      </c>
      <c r="GN42" s="128">
        <f t="shared" si="97"/>
        <v>0.41556216121699596</v>
      </c>
      <c r="GO42" s="128">
        <f t="shared" si="98"/>
        <v>0.34657705695996244</v>
      </c>
      <c r="GP42" s="128">
        <f t="shared" si="99"/>
        <v>0.45517182351179014</v>
      </c>
      <c r="GQ42" s="129">
        <f t="shared" si="100"/>
        <v>0.33958383202633591</v>
      </c>
      <c r="GR42" s="129">
        <f t="shared" si="101"/>
        <v>0.28697931754937855</v>
      </c>
    </row>
    <row r="43" spans="1:200" x14ac:dyDescent="0.25">
      <c r="A43" s="42">
        <v>202</v>
      </c>
      <c r="B43" s="81">
        <v>367</v>
      </c>
      <c r="C43" s="81">
        <v>642</v>
      </c>
      <c r="D43" s="81">
        <v>398</v>
      </c>
      <c r="E43" s="81">
        <v>15</v>
      </c>
      <c r="F43" s="81">
        <v>218</v>
      </c>
      <c r="G43" s="81">
        <v>223</v>
      </c>
      <c r="H43" s="81">
        <v>271</v>
      </c>
      <c r="I43" s="81">
        <v>149</v>
      </c>
      <c r="J43" s="81">
        <v>31</v>
      </c>
      <c r="K43" s="81"/>
      <c r="L43" s="81">
        <v>174</v>
      </c>
      <c r="M43" s="81">
        <v>1830</v>
      </c>
      <c r="N43" s="81">
        <v>682</v>
      </c>
      <c r="O43" s="81">
        <v>293</v>
      </c>
      <c r="P43" s="81">
        <v>309</v>
      </c>
      <c r="Q43" s="81">
        <v>444</v>
      </c>
      <c r="R43" s="81">
        <v>1109</v>
      </c>
      <c r="S43" s="81">
        <v>112</v>
      </c>
      <c r="T43" s="81">
        <v>706</v>
      </c>
      <c r="V43" s="81">
        <v>668</v>
      </c>
      <c r="W43" s="81">
        <v>52</v>
      </c>
      <c r="X43" s="81">
        <v>123</v>
      </c>
      <c r="Y43" s="81">
        <v>1196</v>
      </c>
      <c r="Z43" s="81">
        <v>1670</v>
      </c>
      <c r="AA43" s="81">
        <v>510</v>
      </c>
      <c r="AB43" s="81">
        <v>2741</v>
      </c>
      <c r="AC43" s="81">
        <v>3837</v>
      </c>
      <c r="AD43" s="81">
        <v>455</v>
      </c>
      <c r="AE43" s="81">
        <v>116</v>
      </c>
      <c r="AF43" s="84">
        <v>772</v>
      </c>
      <c r="AG43" s="84">
        <v>332</v>
      </c>
      <c r="AH43" s="84">
        <v>304</v>
      </c>
      <c r="AI43" s="83">
        <v>1184</v>
      </c>
      <c r="AJ43" s="83">
        <v>1051</v>
      </c>
      <c r="AK43" s="83">
        <v>973</v>
      </c>
      <c r="AL43" s="81">
        <v>326</v>
      </c>
      <c r="AM43" s="90">
        <v>531</v>
      </c>
      <c r="AN43" s="90">
        <v>1692</v>
      </c>
      <c r="AO43" s="90">
        <v>626</v>
      </c>
      <c r="AP43" s="81">
        <v>1506</v>
      </c>
      <c r="AQ43" s="81">
        <v>1692</v>
      </c>
      <c r="AR43" s="81">
        <v>784</v>
      </c>
      <c r="AS43" s="81">
        <v>5077</v>
      </c>
      <c r="AT43" s="81">
        <v>1043</v>
      </c>
      <c r="AU43" s="81">
        <v>5788</v>
      </c>
      <c r="AV43" s="71">
        <f t="shared" si="113"/>
        <v>1906.5</v>
      </c>
      <c r="AW43" s="71">
        <f t="shared" si="102"/>
        <v>30857.093253968258</v>
      </c>
      <c r="AY43" s="42">
        <v>202</v>
      </c>
      <c r="AZ43" s="48">
        <f t="shared" si="154"/>
        <v>1.599755895558171E-2</v>
      </c>
      <c r="BA43" s="48">
        <f t="shared" si="1"/>
        <v>3.3528305828284935E-2</v>
      </c>
      <c r="BB43" s="48">
        <f t="shared" si="2"/>
        <v>1.739738602089435E-2</v>
      </c>
      <c r="BC43" s="48">
        <f t="shared" si="3"/>
        <v>3.4883720930232558E-2</v>
      </c>
      <c r="BD43" s="48">
        <f t="shared" si="4"/>
        <v>8.633663366336633E-2</v>
      </c>
      <c r="BE43" s="48">
        <f t="shared" si="5"/>
        <v>1.9340849956634865E-2</v>
      </c>
      <c r="BF43" s="48">
        <f t="shared" si="6"/>
        <v>2.5400693598275376E-2</v>
      </c>
      <c r="BG43" s="48">
        <f t="shared" si="7"/>
        <v>1.5827490970894413E-2</v>
      </c>
      <c r="BH43" s="48">
        <f t="shared" si="8"/>
        <v>2.3864511162432641E-3</v>
      </c>
      <c r="BI43" s="48">
        <f t="shared" si="9"/>
        <v>0</v>
      </c>
      <c r="BJ43" s="48">
        <f t="shared" si="10"/>
        <v>6.0692734312323415E-3</v>
      </c>
      <c r="BK43" s="48">
        <f t="shared" si="11"/>
        <v>2.5235462029593061E-2</v>
      </c>
      <c r="BL43" s="48">
        <f t="shared" si="12"/>
        <v>1.5142432114389752E-2</v>
      </c>
      <c r="BM43" s="48">
        <f t="shared" si="13"/>
        <v>2.8638451764245919E-2</v>
      </c>
      <c r="BN43" s="48">
        <f t="shared" si="14"/>
        <v>1.2506577083417654E-2</v>
      </c>
      <c r="BO43" s="48">
        <f t="shared" si="15"/>
        <v>1.1321909424724603E-2</v>
      </c>
      <c r="BP43" s="48">
        <f t="shared" si="16"/>
        <v>3.2411737198971238E-2</v>
      </c>
      <c r="BQ43" s="48">
        <f t="shared" si="17"/>
        <v>5.981308411214953E-3</v>
      </c>
      <c r="BR43" s="48">
        <f t="shared" si="18"/>
        <v>2.5100437302236284E-2</v>
      </c>
      <c r="BS43" s="48"/>
      <c r="BT43" s="48">
        <f t="shared" si="19"/>
        <v>1.1623657972124102E-2</v>
      </c>
      <c r="BU43" s="48">
        <f t="shared" si="20"/>
        <v>1.7639077340569877E-2</v>
      </c>
      <c r="BV43" s="48">
        <f t="shared" si="21"/>
        <v>3.3597377765637801E-2</v>
      </c>
      <c r="BW43" s="48">
        <f t="shared" si="22"/>
        <v>4.9990705292640582E-2</v>
      </c>
      <c r="BX43" s="48">
        <f t="shared" si="23"/>
        <v>2.3905294951258965E-2</v>
      </c>
      <c r="BY43" s="48">
        <f t="shared" si="24"/>
        <v>6.6191644278316393E-3</v>
      </c>
      <c r="BZ43" s="48">
        <f t="shared" si="25"/>
        <v>4.1817959906020198E-2</v>
      </c>
      <c r="CA43" s="48">
        <f t="shared" si="26"/>
        <v>3.7964914363738902E-2</v>
      </c>
      <c r="CB43" s="48">
        <f t="shared" si="27"/>
        <v>6.8207711219044195E-3</v>
      </c>
      <c r="CC43" s="48">
        <f t="shared" si="28"/>
        <v>1.1575691048797526E-2</v>
      </c>
      <c r="CD43" s="48">
        <f t="shared" si="29"/>
        <v>6.1745181156522437E-2</v>
      </c>
      <c r="CE43" s="48">
        <f t="shared" si="30"/>
        <v>1.9495008807985909E-2</v>
      </c>
      <c r="CF43" s="48">
        <f t="shared" si="31"/>
        <v>1.3493595656391936E-2</v>
      </c>
      <c r="CG43" s="48">
        <f t="shared" si="32"/>
        <v>2.9400079459674214E-2</v>
      </c>
      <c r="CH43" s="48">
        <f t="shared" si="33"/>
        <v>2.173508427256747E-2</v>
      </c>
      <c r="CI43" s="48">
        <f t="shared" si="34"/>
        <v>4.9934799153739579E-2</v>
      </c>
      <c r="CJ43" s="48">
        <f t="shared" si="35"/>
        <v>2.4077868643910861E-2</v>
      </c>
      <c r="CK43" s="48">
        <f t="shared" si="36"/>
        <v>2.3544539529109211E-2</v>
      </c>
      <c r="CL43" s="48">
        <f t="shared" si="37"/>
        <v>3.0543170207772984E-2</v>
      </c>
      <c r="CM43" s="48">
        <f t="shared" si="61"/>
        <v>8.645334143545692E-3</v>
      </c>
      <c r="CN43" s="48">
        <f t="shared" si="62"/>
        <v>2.5479646736371941E-2</v>
      </c>
      <c r="CO43" s="48">
        <f t="shared" si="174"/>
        <v>4.0979437622611352E-2</v>
      </c>
      <c r="CP43" s="48">
        <f t="shared" si="64"/>
        <v>1.3065795613625758E-2</v>
      </c>
      <c r="CQ43" s="48">
        <f t="shared" si="112"/>
        <v>5.9182840822987699E-2</v>
      </c>
      <c r="CR43" s="48">
        <f t="shared" si="65"/>
        <v>6.7989518011029558E-3</v>
      </c>
      <c r="CS43" s="48">
        <f t="shared" si="66"/>
        <v>2.7522194167463137E-2</v>
      </c>
      <c r="CT43" s="68">
        <f t="shared" si="67"/>
        <v>0.36556780995518612</v>
      </c>
      <c r="CU43" s="68">
        <f t="shared" si="68"/>
        <v>0.31158658218477719</v>
      </c>
      <c r="CW43" s="42">
        <v>202</v>
      </c>
      <c r="CX43" s="58">
        <f t="shared" si="128"/>
        <v>9215</v>
      </c>
      <c r="CY43" s="58">
        <f t="shared" si="129"/>
        <v>8528</v>
      </c>
      <c r="CZ43" s="58">
        <f t="shared" si="130"/>
        <v>13018</v>
      </c>
      <c r="DA43" s="58">
        <f t="shared" si="131"/>
        <v>181</v>
      </c>
      <c r="DB43" s="58">
        <f t="shared" si="132"/>
        <v>594</v>
      </c>
      <c r="DC43" s="58">
        <f t="shared" si="133"/>
        <v>3855</v>
      </c>
      <c r="DD43" s="58">
        <f t="shared" si="134"/>
        <v>2126</v>
      </c>
      <c r="DE43" s="58">
        <f t="shared" si="135"/>
        <v>2952</v>
      </c>
      <c r="DF43" s="58">
        <f t="shared" si="136"/>
        <v>2690</v>
      </c>
      <c r="DG43" s="58">
        <f t="shared" si="137"/>
        <v>0</v>
      </c>
      <c r="DH43" s="58">
        <f t="shared" si="138"/>
        <v>9063</v>
      </c>
      <c r="DI43" s="58">
        <f t="shared" si="139"/>
        <v>18393</v>
      </c>
      <c r="DJ43" s="58">
        <f t="shared" si="140"/>
        <v>11031</v>
      </c>
      <c r="DK43" s="58">
        <f t="shared" si="141"/>
        <v>988</v>
      </c>
      <c r="DL43" s="58">
        <f t="shared" si="142"/>
        <v>11079</v>
      </c>
      <c r="DM43" s="58">
        <f t="shared" si="143"/>
        <v>12535</v>
      </c>
      <c r="DN43" s="58">
        <f t="shared" si="144"/>
        <v>10303</v>
      </c>
      <c r="DO43" s="58">
        <f t="shared" si="145"/>
        <v>4124</v>
      </c>
      <c r="DP43" s="58">
        <f t="shared" si="146"/>
        <v>10501</v>
      </c>
      <c r="DQ43" s="58"/>
      <c r="DR43" s="58">
        <f t="shared" si="147"/>
        <v>17958</v>
      </c>
      <c r="DS43" s="58">
        <f t="shared" si="148"/>
        <v>839</v>
      </c>
      <c r="DT43" s="58">
        <f t="shared" si="149"/>
        <v>1845</v>
      </c>
      <c r="DU43" s="58">
        <f t="shared" si="150"/>
        <v>9611</v>
      </c>
      <c r="DV43" s="58">
        <f t="shared" si="151"/>
        <v>15671</v>
      </c>
      <c r="DW43" s="58">
        <f t="shared" si="152"/>
        <v>23358</v>
      </c>
      <c r="DX43" s="58">
        <f t="shared" si="153"/>
        <v>14937</v>
      </c>
      <c r="DY43" s="58">
        <f t="shared" si="115"/>
        <v>25579</v>
      </c>
      <c r="DZ43" s="58">
        <f t="shared" si="116"/>
        <v>19352</v>
      </c>
      <c r="EA43" s="58">
        <f t="shared" si="117"/>
        <v>1507</v>
      </c>
      <c r="EB43" s="58">
        <f t="shared" si="118"/>
        <v>5650</v>
      </c>
      <c r="EC43" s="58">
        <f t="shared" si="119"/>
        <v>5522</v>
      </c>
      <c r="ED43" s="58">
        <f t="shared" si="120"/>
        <v>3660</v>
      </c>
      <c r="EE43" s="58">
        <f t="shared" si="121"/>
        <v>13773</v>
      </c>
      <c r="EF43" s="58">
        <f t="shared" si="122"/>
        <v>23779</v>
      </c>
      <c r="EG43" s="58">
        <f t="shared" si="123"/>
        <v>10362</v>
      </c>
      <c r="EH43" s="58">
        <f t="shared" si="124"/>
        <v>3261</v>
      </c>
      <c r="EI43" s="58">
        <f t="shared" si="125"/>
        <v>9481</v>
      </c>
      <c r="EJ43" s="58">
        <f t="shared" si="126"/>
        <v>18135</v>
      </c>
      <c r="EK43" s="58">
        <f t="shared" si="127"/>
        <v>30379</v>
      </c>
      <c r="EL43" s="58">
        <f t="shared" si="105"/>
        <v>20352</v>
      </c>
      <c r="EM43" s="58">
        <f t="shared" si="106"/>
        <v>11572</v>
      </c>
      <c r="EN43" s="58">
        <f t="shared" si="107"/>
        <v>18728</v>
      </c>
      <c r="EO43" s="58">
        <f t="shared" si="108"/>
        <v>40726</v>
      </c>
      <c r="EP43" s="58">
        <f t="shared" si="109"/>
        <v>54210</v>
      </c>
      <c r="EQ43" s="58">
        <f t="shared" si="110"/>
        <v>101512</v>
      </c>
      <c r="ER43" s="67">
        <f t="shared" si="72"/>
        <v>30835.599999999999</v>
      </c>
      <c r="ES43" s="67">
        <f t="shared" si="73"/>
        <v>14682.756097560976</v>
      </c>
      <c r="EV43" s="42">
        <v>202</v>
      </c>
      <c r="EW43" s="128">
        <f t="shared" si="155"/>
        <v>0.40168257704546445</v>
      </c>
      <c r="EX43" s="128">
        <f t="shared" si="156"/>
        <v>0.44537288489659493</v>
      </c>
      <c r="EY43" s="128">
        <f t="shared" si="157"/>
        <v>0.56904314376885079</v>
      </c>
      <c r="EZ43" s="128">
        <f t="shared" si="158"/>
        <v>0.42093023255813955</v>
      </c>
      <c r="FA43" s="128">
        <f t="shared" si="159"/>
        <v>0.23524752475247523</v>
      </c>
      <c r="FB43" s="128">
        <f t="shared" si="160"/>
        <v>0.33434518647007805</v>
      </c>
      <c r="FC43" s="128">
        <f t="shared" si="161"/>
        <v>0.1992689099259537</v>
      </c>
      <c r="FD43" s="128">
        <f t="shared" si="162"/>
        <v>0.31357552581261949</v>
      </c>
      <c r="FE43" s="128">
        <f t="shared" si="163"/>
        <v>0.20708237105465743</v>
      </c>
      <c r="FF43" s="128">
        <f t="shared" si="164"/>
        <v>0</v>
      </c>
      <c r="FG43" s="128">
        <f t="shared" si="165"/>
        <v>0.31612543165091211</v>
      </c>
      <c r="FH43" s="128">
        <f t="shared" si="166"/>
        <v>0.25363707820235254</v>
      </c>
      <c r="FI43" s="128">
        <f t="shared" si="167"/>
        <v>0.24492106840738026</v>
      </c>
      <c r="FJ43" s="128">
        <f t="shared" si="168"/>
        <v>9.6569250317662003E-2</v>
      </c>
      <c r="FK43" s="128">
        <f t="shared" si="169"/>
        <v>0.44841542882583885</v>
      </c>
      <c r="FL43" s="128">
        <f t="shared" si="170"/>
        <v>0.31963994288045694</v>
      </c>
      <c r="FM43" s="128">
        <f t="shared" si="171"/>
        <v>0.30111643675473465</v>
      </c>
      <c r="FN43" s="128">
        <f t="shared" si="172"/>
        <v>0.22024032042723632</v>
      </c>
      <c r="FO43" s="128">
        <f t="shared" si="173"/>
        <v>0.37334234010025952</v>
      </c>
      <c r="FP43" s="128"/>
      <c r="FQ43" s="128">
        <f t="shared" si="175"/>
        <v>0.3124815117715638</v>
      </c>
      <c r="FR43" s="128">
        <f t="shared" si="176"/>
        <v>0.28459972862957938</v>
      </c>
      <c r="FS43" s="130">
        <f t="shared" si="177"/>
        <v>0.50396066648456705</v>
      </c>
      <c r="FT43" s="128">
        <f t="shared" si="178"/>
        <v>0.4017229670297397</v>
      </c>
      <c r="FU43" s="128">
        <f t="shared" si="179"/>
        <v>0.22432327974920913</v>
      </c>
      <c r="FV43" s="128">
        <f t="shared" si="180"/>
        <v>0.30315773079468911</v>
      </c>
      <c r="FW43" s="128">
        <f t="shared" si="181"/>
        <v>0.22788575961919874</v>
      </c>
      <c r="FX43" s="128">
        <f t="shared" si="182"/>
        <v>0.25308953466512313</v>
      </c>
      <c r="FY43" s="128">
        <f t="shared" si="183"/>
        <v>0.29010013791449302</v>
      </c>
      <c r="FZ43" s="128">
        <f t="shared" si="184"/>
        <v>0.150384193194292</v>
      </c>
      <c r="GA43" s="128">
        <f t="shared" si="185"/>
        <v>0.45189154602895304</v>
      </c>
      <c r="GB43" s="128">
        <f t="shared" si="186"/>
        <v>0.32425132119788608</v>
      </c>
      <c r="GC43" s="128">
        <f t="shared" si="187"/>
        <v>0.16245578981050818</v>
      </c>
      <c r="GD43" s="128">
        <f t="shared" si="188"/>
        <v>0.34199940405244339</v>
      </c>
      <c r="GE43" s="128">
        <f t="shared" si="189"/>
        <v>0.49175886671492092</v>
      </c>
      <c r="GF43" s="130">
        <f t="shared" si="190"/>
        <v>0.5317825167842235</v>
      </c>
      <c r="GG43" s="128">
        <f t="shared" si="191"/>
        <v>0.24085254493188135</v>
      </c>
      <c r="GH43" s="128">
        <f t="shared" si="192"/>
        <v>0.42038753159224934</v>
      </c>
      <c r="GI43" s="128">
        <f t="shared" si="193"/>
        <v>0.32736429770565195</v>
      </c>
      <c r="GJ43" s="128">
        <f t="shared" si="194"/>
        <v>0.41954729384468781</v>
      </c>
      <c r="GK43" s="128">
        <f t="shared" si="195"/>
        <v>0.34433052481981524</v>
      </c>
      <c r="GL43" s="128">
        <f t="shared" si="196"/>
        <v>0.28026835234566105</v>
      </c>
      <c r="GM43" s="128">
        <f t="shared" si="197"/>
        <v>0.3121125258316112</v>
      </c>
      <c r="GN43" s="128">
        <f t="shared" si="97"/>
        <v>0.47474500203998365</v>
      </c>
      <c r="GO43" s="128">
        <f t="shared" si="98"/>
        <v>0.3533760087610654</v>
      </c>
      <c r="GP43" s="128">
        <f t="shared" si="99"/>
        <v>0.4826940176792533</v>
      </c>
      <c r="GQ43" s="129">
        <f t="shared" si="100"/>
        <v>0.36556780995518601</v>
      </c>
      <c r="GR43" s="129">
        <f t="shared" si="101"/>
        <v>0.31158658218477725</v>
      </c>
    </row>
    <row r="44" spans="1:200" x14ac:dyDescent="0.25">
      <c r="A44" s="42">
        <v>203</v>
      </c>
      <c r="B44" s="81">
        <v>621</v>
      </c>
      <c r="C44" s="81">
        <v>648</v>
      </c>
      <c r="D44" s="81">
        <v>652</v>
      </c>
      <c r="E44" s="81">
        <v>5</v>
      </c>
      <c r="F44" s="81">
        <v>96</v>
      </c>
      <c r="G44" s="81">
        <v>204</v>
      </c>
      <c r="H44" s="81">
        <v>94</v>
      </c>
      <c r="I44" s="81">
        <v>224</v>
      </c>
      <c r="J44" s="81">
        <v>54</v>
      </c>
      <c r="K44" s="81"/>
      <c r="L44" s="81">
        <v>920</v>
      </c>
      <c r="M44" s="81">
        <v>805</v>
      </c>
      <c r="N44" s="81">
        <v>866</v>
      </c>
      <c r="O44" s="81">
        <v>370</v>
      </c>
      <c r="P44" s="81">
        <v>210</v>
      </c>
      <c r="Q44" s="81">
        <v>717</v>
      </c>
      <c r="R44" s="81">
        <v>20</v>
      </c>
      <c r="S44" s="81">
        <v>1039</v>
      </c>
      <c r="T44" s="81">
        <v>701</v>
      </c>
      <c r="V44" s="81">
        <v>537</v>
      </c>
      <c r="W44" s="81">
        <v>65</v>
      </c>
      <c r="X44" s="81">
        <v>41</v>
      </c>
      <c r="Y44" s="81">
        <v>520</v>
      </c>
      <c r="Z44" s="81">
        <v>288</v>
      </c>
      <c r="AA44" s="81">
        <v>1336</v>
      </c>
      <c r="AB44" s="81">
        <v>525</v>
      </c>
      <c r="AC44" s="81">
        <v>7529</v>
      </c>
      <c r="AD44" s="81">
        <v>88</v>
      </c>
      <c r="AE44" s="81">
        <v>1159</v>
      </c>
      <c r="AF44" s="84">
        <v>23</v>
      </c>
      <c r="AG44" s="84">
        <v>409</v>
      </c>
      <c r="AH44" s="84">
        <v>98</v>
      </c>
      <c r="AI44" s="83">
        <v>1026</v>
      </c>
      <c r="AJ44" s="83">
        <v>535</v>
      </c>
      <c r="AK44" s="83">
        <v>223</v>
      </c>
      <c r="AL44" s="81">
        <v>118</v>
      </c>
      <c r="AM44" s="90">
        <v>117</v>
      </c>
      <c r="AN44" s="90">
        <v>899</v>
      </c>
      <c r="AO44" s="90">
        <v>1090</v>
      </c>
      <c r="AP44" s="81">
        <v>2375</v>
      </c>
      <c r="AQ44" s="81">
        <v>110</v>
      </c>
      <c r="AR44" s="81">
        <v>177</v>
      </c>
      <c r="AS44" s="81">
        <v>1390</v>
      </c>
      <c r="AT44" s="81">
        <v>1521</v>
      </c>
      <c r="AU44" s="81">
        <v>3636</v>
      </c>
      <c r="AV44" s="71">
        <f t="shared" si="113"/>
        <v>1143.3</v>
      </c>
      <c r="AW44" s="71">
        <f t="shared" si="102"/>
        <v>32000.393253968257</v>
      </c>
      <c r="AY44" s="42">
        <v>203</v>
      </c>
      <c r="AZ44" s="48">
        <f t="shared" si="154"/>
        <v>2.7069438995684581E-2</v>
      </c>
      <c r="BA44" s="48">
        <f t="shared" si="1"/>
        <v>3.3841654480885733E-2</v>
      </c>
      <c r="BB44" s="48">
        <f t="shared" si="2"/>
        <v>2.8500240416138481E-2</v>
      </c>
      <c r="BC44" s="48">
        <f t="shared" si="3"/>
        <v>1.1627906976744186E-2</v>
      </c>
      <c r="BD44" s="48">
        <f t="shared" si="4"/>
        <v>3.8019801980198019E-2</v>
      </c>
      <c r="BE44" s="48">
        <f t="shared" si="5"/>
        <v>1.7692974848222031E-2</v>
      </c>
      <c r="BF44" s="48">
        <f t="shared" si="6"/>
        <v>8.8105726872246704E-3</v>
      </c>
      <c r="BG44" s="48">
        <f t="shared" si="7"/>
        <v>2.3794348842149989E-2</v>
      </c>
      <c r="BH44" s="48">
        <f t="shared" si="8"/>
        <v>4.1570438799076216E-3</v>
      </c>
      <c r="BI44" s="48">
        <f t="shared" si="9"/>
        <v>0</v>
      </c>
      <c r="BJ44" s="48">
        <f t="shared" si="10"/>
        <v>3.2090411245596286E-2</v>
      </c>
      <c r="BK44" s="48">
        <f t="shared" si="11"/>
        <v>1.1100845319028642E-2</v>
      </c>
      <c r="BL44" s="48">
        <f t="shared" si="12"/>
        <v>1.9227780368125402E-2</v>
      </c>
      <c r="BM44" s="48">
        <f t="shared" si="13"/>
        <v>3.6164597791027271E-2</v>
      </c>
      <c r="BN44" s="48">
        <f t="shared" si="14"/>
        <v>8.4996154935848139E-3</v>
      </c>
      <c r="BO44" s="48">
        <f t="shared" si="15"/>
        <v>1.8283353733170134E-2</v>
      </c>
      <c r="BP44" s="48">
        <f t="shared" si="16"/>
        <v>5.8452186111760578E-4</v>
      </c>
      <c r="BQ44" s="48">
        <f t="shared" si="17"/>
        <v>5.548731642189586E-2</v>
      </c>
      <c r="BR44" s="48">
        <f t="shared" si="18"/>
        <v>2.4922672165534895E-2</v>
      </c>
      <c r="BS44" s="48"/>
      <c r="BT44" s="48">
        <f t="shared" si="19"/>
        <v>9.3441681602255133E-3</v>
      </c>
      <c r="BU44" s="48">
        <f t="shared" si="20"/>
        <v>2.2048846675712348E-2</v>
      </c>
      <c r="BV44" s="48">
        <f t="shared" si="21"/>
        <v>1.1199125921879268E-2</v>
      </c>
      <c r="BW44" s="48">
        <f t="shared" si="22"/>
        <v>2.1735089257669819E-2</v>
      </c>
      <c r="BX44" s="48">
        <f t="shared" si="23"/>
        <v>4.1225897880015462E-3</v>
      </c>
      <c r="BY44" s="48">
        <f t="shared" si="24"/>
        <v>1.7339615050162883E-2</v>
      </c>
      <c r="BZ44" s="48">
        <f t="shared" si="25"/>
        <v>8.0096420834223289E-3</v>
      </c>
      <c r="CA44" s="48">
        <f t="shared" si="26"/>
        <v>7.4495136889390204E-2</v>
      </c>
      <c r="CB44" s="48">
        <f t="shared" si="27"/>
        <v>1.3191821070936019E-3</v>
      </c>
      <c r="CC44" s="48">
        <f t="shared" si="28"/>
        <v>0.11565712004789941</v>
      </c>
      <c r="CD44" s="48">
        <f t="shared" si="29"/>
        <v>1.83955850595857E-3</v>
      </c>
      <c r="CE44" s="48">
        <f t="shared" si="30"/>
        <v>2.4016441573693481E-2</v>
      </c>
      <c r="CF44" s="48">
        <f t="shared" si="31"/>
        <v>4.3499091260737156E-3</v>
      </c>
      <c r="CG44" s="48">
        <f t="shared" si="32"/>
        <v>2.5476758045292015E-2</v>
      </c>
      <c r="CH44" s="48">
        <f t="shared" si="33"/>
        <v>1.1064005790507703E-2</v>
      </c>
      <c r="CI44" s="48">
        <f t="shared" si="34"/>
        <v>1.1444460648801568E-2</v>
      </c>
      <c r="CJ44" s="48">
        <f t="shared" si="35"/>
        <v>8.7153021471824601E-3</v>
      </c>
      <c r="CK44" s="48">
        <f t="shared" si="36"/>
        <v>5.1877798962444025E-3</v>
      </c>
      <c r="CL44" s="48">
        <f t="shared" si="37"/>
        <v>1.6228315612758813E-2</v>
      </c>
      <c r="CM44" s="48">
        <f t="shared" si="61"/>
        <v>1.5053377342595533E-2</v>
      </c>
      <c r="CN44" s="48">
        <f t="shared" si="62"/>
        <v>4.0182045815991607E-2</v>
      </c>
      <c r="CO44" s="48">
        <f t="shared" si="174"/>
        <v>2.6641478359853716E-3</v>
      </c>
      <c r="CP44" s="48">
        <f t="shared" si="64"/>
        <v>2.9498033464435704E-3</v>
      </c>
      <c r="CQ44" s="48">
        <f t="shared" si="112"/>
        <v>1.6203298945037012E-2</v>
      </c>
      <c r="CR44" s="48">
        <f t="shared" si="65"/>
        <v>9.9148664328644245E-3</v>
      </c>
      <c r="CS44" s="48">
        <f t="shared" si="66"/>
        <v>1.7289339667051824E-2</v>
      </c>
      <c r="CT44" s="68">
        <f t="shared" si="67"/>
        <v>0.37900663765940162</v>
      </c>
      <c r="CU44" s="68">
        <f t="shared" si="68"/>
        <v>0.33101794275430702</v>
      </c>
      <c r="CW44" s="42">
        <v>203</v>
      </c>
      <c r="CX44" s="58">
        <f t="shared" si="128"/>
        <v>9836</v>
      </c>
      <c r="CY44" s="58">
        <f t="shared" si="129"/>
        <v>9176</v>
      </c>
      <c r="CZ44" s="58">
        <f t="shared" si="130"/>
        <v>13670</v>
      </c>
      <c r="DA44" s="58">
        <f t="shared" si="131"/>
        <v>186</v>
      </c>
      <c r="DB44" s="58">
        <f t="shared" si="132"/>
        <v>690</v>
      </c>
      <c r="DC44" s="58">
        <f t="shared" si="133"/>
        <v>4059</v>
      </c>
      <c r="DD44" s="58">
        <f t="shared" si="134"/>
        <v>2220</v>
      </c>
      <c r="DE44" s="58">
        <f t="shared" si="135"/>
        <v>3176</v>
      </c>
      <c r="DF44" s="58">
        <f t="shared" si="136"/>
        <v>2744</v>
      </c>
      <c r="DG44" s="58">
        <f t="shared" si="137"/>
        <v>0</v>
      </c>
      <c r="DH44" s="58">
        <f t="shared" si="138"/>
        <v>9983</v>
      </c>
      <c r="DI44" s="58">
        <f t="shared" si="139"/>
        <v>19198</v>
      </c>
      <c r="DJ44" s="58">
        <f t="shared" si="140"/>
        <v>11897</v>
      </c>
      <c r="DK44" s="58">
        <f t="shared" si="141"/>
        <v>1358</v>
      </c>
      <c r="DL44" s="58">
        <f t="shared" si="142"/>
        <v>11289</v>
      </c>
      <c r="DM44" s="58">
        <f t="shared" si="143"/>
        <v>13252</v>
      </c>
      <c r="DN44" s="58">
        <f t="shared" si="144"/>
        <v>10323</v>
      </c>
      <c r="DO44" s="58">
        <f t="shared" si="145"/>
        <v>5163</v>
      </c>
      <c r="DP44" s="58">
        <f t="shared" si="146"/>
        <v>11202</v>
      </c>
      <c r="DQ44" s="58"/>
      <c r="DR44" s="58">
        <f t="shared" si="147"/>
        <v>18495</v>
      </c>
      <c r="DS44" s="58">
        <f t="shared" si="148"/>
        <v>904</v>
      </c>
      <c r="DT44" s="58">
        <f t="shared" si="149"/>
        <v>1886</v>
      </c>
      <c r="DU44" s="58">
        <f t="shared" si="150"/>
        <v>10131</v>
      </c>
      <c r="DV44" s="58">
        <f t="shared" si="151"/>
        <v>15959</v>
      </c>
      <c r="DW44" s="58">
        <f t="shared" si="152"/>
        <v>24694</v>
      </c>
      <c r="DX44" s="58">
        <f t="shared" si="153"/>
        <v>15462</v>
      </c>
      <c r="DY44" s="58">
        <f t="shared" si="115"/>
        <v>33108</v>
      </c>
      <c r="DZ44" s="58">
        <f t="shared" si="116"/>
        <v>19440</v>
      </c>
      <c r="EA44" s="58">
        <f t="shared" si="117"/>
        <v>2666</v>
      </c>
      <c r="EB44" s="58">
        <f t="shared" si="118"/>
        <v>5673</v>
      </c>
      <c r="EC44" s="58">
        <f t="shared" si="119"/>
        <v>5931</v>
      </c>
      <c r="ED44" s="58">
        <f t="shared" si="120"/>
        <v>3758</v>
      </c>
      <c r="EE44" s="58">
        <f t="shared" si="121"/>
        <v>14799</v>
      </c>
      <c r="EF44" s="108">
        <f t="shared" si="122"/>
        <v>24314</v>
      </c>
      <c r="EG44" s="58">
        <f t="shared" si="123"/>
        <v>10585</v>
      </c>
      <c r="EH44" s="58">
        <f t="shared" si="124"/>
        <v>3379</v>
      </c>
      <c r="EI44" s="58">
        <f t="shared" si="125"/>
        <v>9598</v>
      </c>
      <c r="EJ44" s="58">
        <f t="shared" ref="EJ44:EJ75" si="198">EJ43+AN44</f>
        <v>19034</v>
      </c>
      <c r="EK44" s="58">
        <f t="shared" ref="EK44:EK75" si="199">EK43+AO44</f>
        <v>31469</v>
      </c>
      <c r="EL44" s="58">
        <f t="shared" si="105"/>
        <v>22727</v>
      </c>
      <c r="EM44" s="58">
        <f t="shared" si="106"/>
        <v>11682</v>
      </c>
      <c r="EN44" s="58">
        <f t="shared" si="107"/>
        <v>18905</v>
      </c>
      <c r="EO44" s="58">
        <f t="shared" si="108"/>
        <v>42116</v>
      </c>
      <c r="EP44" s="58">
        <f t="shared" si="109"/>
        <v>55731</v>
      </c>
      <c r="EQ44" s="58">
        <f t="shared" si="110"/>
        <v>105148</v>
      </c>
      <c r="ER44" s="67">
        <f t="shared" si="72"/>
        <v>31978.9</v>
      </c>
      <c r="ES44" s="67">
        <f t="shared" si="73"/>
        <v>15467.024390243903</v>
      </c>
      <c r="EV44" s="42">
        <v>203</v>
      </c>
      <c r="EW44" s="128">
        <f t="shared" si="155"/>
        <v>0.42875201604114904</v>
      </c>
      <c r="EX44" s="128">
        <f t="shared" si="156"/>
        <v>0.47921453937748065</v>
      </c>
      <c r="EY44" s="128">
        <f t="shared" si="157"/>
        <v>0.59754338418498931</v>
      </c>
      <c r="EZ44" s="128">
        <f t="shared" si="158"/>
        <v>0.4325581395348837</v>
      </c>
      <c r="FA44" s="128">
        <f t="shared" si="159"/>
        <v>0.27326732673267329</v>
      </c>
      <c r="FB44" s="128">
        <f t="shared" si="160"/>
        <v>0.35203816131830007</v>
      </c>
      <c r="FC44" s="128">
        <f t="shared" si="161"/>
        <v>0.20807948261317838</v>
      </c>
      <c r="FD44" s="128">
        <f t="shared" si="162"/>
        <v>0.33736987465476947</v>
      </c>
      <c r="FE44" s="128">
        <f t="shared" si="163"/>
        <v>0.21123941493456505</v>
      </c>
      <c r="FF44" s="128">
        <f t="shared" si="164"/>
        <v>0</v>
      </c>
      <c r="FG44" s="128">
        <f t="shared" si="165"/>
        <v>0.34821584289650842</v>
      </c>
      <c r="FH44" s="128">
        <f t="shared" si="166"/>
        <v>0.2647379235213812</v>
      </c>
      <c r="FI44" s="128">
        <f t="shared" si="167"/>
        <v>0.26414884877550565</v>
      </c>
      <c r="FJ44" s="128">
        <f t="shared" si="168"/>
        <v>0.13273384810868927</v>
      </c>
      <c r="FK44" s="128">
        <f t="shared" si="169"/>
        <v>0.45691504431942365</v>
      </c>
      <c r="FL44" s="128">
        <f t="shared" si="170"/>
        <v>0.33792329661362708</v>
      </c>
      <c r="FM44" s="128">
        <f t="shared" si="171"/>
        <v>0.30170095861585222</v>
      </c>
      <c r="FN44" s="128">
        <f t="shared" si="172"/>
        <v>0.27572763684913215</v>
      </c>
      <c r="FO44" s="128">
        <f t="shared" si="173"/>
        <v>0.39826501226579442</v>
      </c>
      <c r="FP44" s="128"/>
      <c r="FQ44" s="128">
        <f t="shared" si="175"/>
        <v>0.32182567993178929</v>
      </c>
      <c r="FR44" s="128">
        <f t="shared" si="176"/>
        <v>0.30664857530529172</v>
      </c>
      <c r="FS44" s="128">
        <f t="shared" si="177"/>
        <v>0.51515979240644627</v>
      </c>
      <c r="FT44" s="128">
        <f t="shared" si="178"/>
        <v>0.42345805628740951</v>
      </c>
      <c r="FU44" s="128">
        <f t="shared" si="179"/>
        <v>0.22844586953721066</v>
      </c>
      <c r="FV44" s="128">
        <f t="shared" si="180"/>
        <v>0.32049734584485196</v>
      </c>
      <c r="FW44" s="128">
        <f t="shared" si="181"/>
        <v>0.23589540170262105</v>
      </c>
      <c r="FX44" s="128">
        <f t="shared" si="182"/>
        <v>0.32758467155451332</v>
      </c>
      <c r="FY44" s="128">
        <f t="shared" si="183"/>
        <v>0.2914193200215866</v>
      </c>
      <c r="FZ44" s="128">
        <f t="shared" si="184"/>
        <v>0.26604131324219138</v>
      </c>
      <c r="GA44" s="128">
        <f t="shared" si="185"/>
        <v>0.45373110453491161</v>
      </c>
      <c r="GB44" s="128">
        <f t="shared" si="186"/>
        <v>0.34826776277157956</v>
      </c>
      <c r="GC44" s="128">
        <f t="shared" si="187"/>
        <v>0.1668056989365819</v>
      </c>
      <c r="GD44" s="128">
        <f t="shared" si="188"/>
        <v>0.36747616209773543</v>
      </c>
      <c r="GE44" s="130">
        <f t="shared" si="189"/>
        <v>0.50282287250542856</v>
      </c>
      <c r="GF44" s="128">
        <f t="shared" si="190"/>
        <v>0.54322697743302517</v>
      </c>
      <c r="GG44" s="128">
        <f t="shared" si="191"/>
        <v>0.24956784707906382</v>
      </c>
      <c r="GH44" s="128">
        <f t="shared" si="192"/>
        <v>0.42557531148849376</v>
      </c>
      <c r="GI44" s="128">
        <f t="shared" si="193"/>
        <v>0.34359261331841073</v>
      </c>
      <c r="GJ44" s="128">
        <f t="shared" si="194"/>
        <v>0.43460067118728335</v>
      </c>
      <c r="GK44" s="128">
        <f t="shared" si="195"/>
        <v>0.38451257063580685</v>
      </c>
      <c r="GL44" s="128">
        <f t="shared" si="196"/>
        <v>0.28293250018164645</v>
      </c>
      <c r="GM44" s="128">
        <f t="shared" si="197"/>
        <v>0.31506232917805482</v>
      </c>
      <c r="GN44" s="128">
        <f t="shared" si="97"/>
        <v>0.49094830098502068</v>
      </c>
      <c r="GO44" s="128">
        <f t="shared" si="98"/>
        <v>0.36329087519392983</v>
      </c>
      <c r="GP44" s="142">
        <f>EQ44/EQ$102</f>
        <v>0.49998335734630511</v>
      </c>
      <c r="GQ44" s="129">
        <f t="shared" si="100"/>
        <v>0.37900663765940157</v>
      </c>
      <c r="GR44" s="129">
        <f t="shared" si="101"/>
        <v>0.33101794275430702</v>
      </c>
    </row>
    <row r="45" spans="1:200" x14ac:dyDescent="0.25">
      <c r="A45" s="42">
        <v>204</v>
      </c>
      <c r="B45" s="81">
        <v>608</v>
      </c>
      <c r="C45" s="81">
        <v>423</v>
      </c>
      <c r="D45" s="81">
        <v>777</v>
      </c>
      <c r="E45" s="81">
        <v>2</v>
      </c>
      <c r="F45" s="81">
        <v>220</v>
      </c>
      <c r="G45" s="81">
        <v>215</v>
      </c>
      <c r="H45" s="81">
        <v>424</v>
      </c>
      <c r="I45" s="81">
        <v>460</v>
      </c>
      <c r="J45" s="81">
        <v>507</v>
      </c>
      <c r="K45" s="81"/>
      <c r="L45" s="81">
        <v>964</v>
      </c>
      <c r="M45" s="81">
        <v>1734</v>
      </c>
      <c r="N45" s="81">
        <v>1360</v>
      </c>
      <c r="O45" s="81">
        <v>634</v>
      </c>
      <c r="P45" s="81">
        <v>262</v>
      </c>
      <c r="Q45" s="81">
        <v>1483</v>
      </c>
      <c r="R45" s="81">
        <v>450</v>
      </c>
      <c r="S45" s="81">
        <v>24</v>
      </c>
      <c r="T45" s="81">
        <v>156</v>
      </c>
      <c r="V45" s="81">
        <v>40</v>
      </c>
      <c r="W45" s="81">
        <v>111</v>
      </c>
      <c r="X45" s="81">
        <v>47</v>
      </c>
      <c r="Y45" s="81">
        <v>2316</v>
      </c>
      <c r="Z45" s="81">
        <v>3641</v>
      </c>
      <c r="AA45" s="81">
        <v>183</v>
      </c>
      <c r="AB45" s="81">
        <v>175</v>
      </c>
      <c r="AC45" s="81">
        <v>5259</v>
      </c>
      <c r="AD45" s="81">
        <v>394</v>
      </c>
      <c r="AE45" s="81">
        <v>1200</v>
      </c>
      <c r="AF45" s="84">
        <v>150</v>
      </c>
      <c r="AG45" s="84">
        <v>581</v>
      </c>
      <c r="AH45" s="84">
        <v>484</v>
      </c>
      <c r="AI45" s="83">
        <v>1002</v>
      </c>
      <c r="AJ45" s="83">
        <v>1153</v>
      </c>
      <c r="AK45" s="83">
        <v>379</v>
      </c>
      <c r="AL45" s="81">
        <v>295</v>
      </c>
      <c r="AM45" s="90">
        <v>933</v>
      </c>
      <c r="AN45" s="90">
        <v>685</v>
      </c>
      <c r="AO45" s="90">
        <v>213</v>
      </c>
      <c r="AP45" s="81">
        <v>1321</v>
      </c>
      <c r="AQ45" s="81">
        <v>80</v>
      </c>
      <c r="AR45" s="81">
        <v>3231</v>
      </c>
      <c r="AS45" s="81">
        <v>939</v>
      </c>
      <c r="AT45" s="81">
        <v>2497</v>
      </c>
      <c r="AU45" s="81">
        <v>539</v>
      </c>
      <c r="AV45" s="71">
        <f t="shared" si="113"/>
        <v>1073.3</v>
      </c>
      <c r="AW45" s="71">
        <f t="shared" si="102"/>
        <v>33073.69325396826</v>
      </c>
      <c r="AY45" s="42">
        <v>204</v>
      </c>
      <c r="AZ45" s="48">
        <f t="shared" si="154"/>
        <v>2.6502767970010027E-2</v>
      </c>
      <c r="BA45" s="48">
        <f t="shared" si="1"/>
        <v>2.2091080008355964E-2</v>
      </c>
      <c r="BB45" s="48">
        <f t="shared" si="2"/>
        <v>3.3964243563404294E-2</v>
      </c>
      <c r="BC45" s="48">
        <f t="shared" si="3"/>
        <v>4.6511627906976744E-3</v>
      </c>
      <c r="BD45" s="48">
        <f t="shared" si="4"/>
        <v>8.7128712871287123E-2</v>
      </c>
      <c r="BE45" s="48">
        <f t="shared" si="5"/>
        <v>1.8647007805724199E-2</v>
      </c>
      <c r="BF45" s="48">
        <f t="shared" si="6"/>
        <v>3.9741306589183616E-2</v>
      </c>
      <c r="BG45" s="48">
        <f t="shared" si="7"/>
        <v>4.8863394943700872E-2</v>
      </c>
      <c r="BH45" s="48">
        <f t="shared" si="8"/>
        <v>3.903002309468822E-2</v>
      </c>
      <c r="BI45" s="48">
        <f t="shared" si="9"/>
        <v>0</v>
      </c>
      <c r="BJ45" s="48">
        <f t="shared" si="10"/>
        <v>3.362517004429872E-2</v>
      </c>
      <c r="BK45" s="48">
        <f t="shared" si="11"/>
        <v>2.3911634513286539E-2</v>
      </c>
      <c r="BL45" s="48">
        <f t="shared" si="12"/>
        <v>3.0196052310220031E-2</v>
      </c>
      <c r="BM45" s="48">
        <f t="shared" si="13"/>
        <v>6.196852702570619E-2</v>
      </c>
      <c r="BN45" s="48">
        <f t="shared" si="14"/>
        <v>1.0604282187234387E-2</v>
      </c>
      <c r="BO45" s="48">
        <f t="shared" si="15"/>
        <v>3.7816197470420233E-2</v>
      </c>
      <c r="BP45" s="48">
        <f t="shared" si="16"/>
        <v>1.3151741875146131E-2</v>
      </c>
      <c r="BQ45" s="48">
        <f t="shared" si="17"/>
        <v>1.2817089452603471E-3</v>
      </c>
      <c r="BR45" s="48">
        <f t="shared" si="18"/>
        <v>5.5462722650833716E-3</v>
      </c>
      <c r="BS45" s="48"/>
      <c r="BT45" s="48">
        <f t="shared" si="19"/>
        <v>6.9602742348048516E-4</v>
      </c>
      <c r="BU45" s="48">
        <f t="shared" si="20"/>
        <v>3.7652645861601088E-2</v>
      </c>
      <c r="BV45" s="48">
        <f t="shared" si="21"/>
        <v>1.2838022398251844E-2</v>
      </c>
      <c r="BW45" s="48">
        <f t="shared" si="22"/>
        <v>9.6804743693775577E-2</v>
      </c>
      <c r="BX45" s="48">
        <f t="shared" si="23"/>
        <v>5.2119268812894547E-2</v>
      </c>
      <c r="BY45" s="48">
        <f t="shared" si="24"/>
        <v>2.3751119417513532E-3</v>
      </c>
      <c r="BZ45" s="48">
        <f t="shared" si="25"/>
        <v>2.6698806944741096E-3</v>
      </c>
      <c r="CA45" s="48">
        <f t="shared" si="26"/>
        <v>5.2034788803467007E-2</v>
      </c>
      <c r="CB45" s="48">
        <f t="shared" si="27"/>
        <v>5.9063380703963542E-3</v>
      </c>
      <c r="CC45" s="48">
        <f t="shared" si="28"/>
        <v>0.11974852809100889</v>
      </c>
      <c r="CD45" s="48">
        <f t="shared" si="29"/>
        <v>1.1997120691034152E-2</v>
      </c>
      <c r="CE45" s="48">
        <f t="shared" si="30"/>
        <v>3.411626541397534E-2</v>
      </c>
      <c r="CF45" s="48">
        <f t="shared" si="31"/>
        <v>2.1483224663466107E-2</v>
      </c>
      <c r="CG45" s="48">
        <f t="shared" si="32"/>
        <v>2.4880810488676998E-2</v>
      </c>
      <c r="CH45" s="48">
        <f t="shared" si="33"/>
        <v>2.3844483507393238E-2</v>
      </c>
      <c r="CI45" s="48">
        <f t="shared" si="34"/>
        <v>1.9450451057828673E-2</v>
      </c>
      <c r="CJ45" s="48">
        <f t="shared" si="35"/>
        <v>2.1788255367956148E-2</v>
      </c>
      <c r="CK45" s="48">
        <f t="shared" si="36"/>
        <v>4.1369219172615615E-2</v>
      </c>
      <c r="CL45" s="48">
        <f t="shared" si="37"/>
        <v>1.2365290539198874E-2</v>
      </c>
      <c r="CM45" s="48">
        <f t="shared" si="61"/>
        <v>2.9416232788741733E-3</v>
      </c>
      <c r="CN45" s="48">
        <f t="shared" si="62"/>
        <v>2.2349676851757858E-2</v>
      </c>
      <c r="CO45" s="48">
        <f t="shared" si="174"/>
        <v>1.9375620625348155E-3</v>
      </c>
      <c r="CP45" s="48">
        <f t="shared" si="64"/>
        <v>5.3846410239317376E-2</v>
      </c>
      <c r="CQ45" s="48">
        <f t="shared" si="112"/>
        <v>1.0945969575100542E-2</v>
      </c>
      <c r="CR45" s="48">
        <f t="shared" si="65"/>
        <v>1.6277068693532196E-2</v>
      </c>
      <c r="CS45" s="48">
        <f t="shared" si="66"/>
        <v>2.5629686690156585E-3</v>
      </c>
      <c r="CT45" s="68">
        <f t="shared" si="67"/>
        <v>0.39764504210439194</v>
      </c>
      <c r="CU45" s="68">
        <f t="shared" si="68"/>
        <v>0.35922559612027333</v>
      </c>
      <c r="CW45" s="42">
        <v>204</v>
      </c>
      <c r="CX45" s="58">
        <f t="shared" si="128"/>
        <v>10444</v>
      </c>
      <c r="CY45" s="108">
        <f t="shared" si="129"/>
        <v>9599</v>
      </c>
      <c r="CZ45" s="58">
        <f t="shared" si="130"/>
        <v>14447</v>
      </c>
      <c r="DA45" s="58">
        <f t="shared" si="131"/>
        <v>188</v>
      </c>
      <c r="DB45" s="58">
        <f t="shared" si="132"/>
        <v>910</v>
      </c>
      <c r="DC45" s="58">
        <f t="shared" si="133"/>
        <v>4274</v>
      </c>
      <c r="DD45" s="58">
        <f t="shared" si="134"/>
        <v>2644</v>
      </c>
      <c r="DE45" s="58">
        <f t="shared" si="135"/>
        <v>3636</v>
      </c>
      <c r="DF45" s="58">
        <f t="shared" si="136"/>
        <v>3251</v>
      </c>
      <c r="DG45" s="58">
        <f t="shared" si="137"/>
        <v>0</v>
      </c>
      <c r="DH45" s="58">
        <f t="shared" si="138"/>
        <v>10947</v>
      </c>
      <c r="DI45" s="58">
        <f t="shared" si="139"/>
        <v>20932</v>
      </c>
      <c r="DJ45" s="58">
        <f t="shared" si="140"/>
        <v>13257</v>
      </c>
      <c r="DK45" s="58">
        <f t="shared" si="141"/>
        <v>1992</v>
      </c>
      <c r="DL45" s="58">
        <f t="shared" si="142"/>
        <v>11551</v>
      </c>
      <c r="DM45" s="58">
        <f t="shared" si="143"/>
        <v>14735</v>
      </c>
      <c r="DN45" s="58">
        <f t="shared" si="144"/>
        <v>10773</v>
      </c>
      <c r="DO45" s="58">
        <f t="shared" si="145"/>
        <v>5187</v>
      </c>
      <c r="DP45" s="58">
        <f t="shared" si="146"/>
        <v>11358</v>
      </c>
      <c r="DQ45" s="58"/>
      <c r="DR45" s="58">
        <f t="shared" si="147"/>
        <v>18535</v>
      </c>
      <c r="DS45" s="58">
        <f t="shared" si="148"/>
        <v>1015</v>
      </c>
      <c r="DT45" s="58">
        <f t="shared" si="149"/>
        <v>1933</v>
      </c>
      <c r="DU45" s="58">
        <f t="shared" si="150"/>
        <v>12447</v>
      </c>
      <c r="DV45" s="58">
        <f t="shared" si="151"/>
        <v>19600</v>
      </c>
      <c r="DW45" s="58">
        <f t="shared" si="152"/>
        <v>24877</v>
      </c>
      <c r="DX45" s="58">
        <f t="shared" si="153"/>
        <v>15637</v>
      </c>
      <c r="DY45" s="58">
        <f t="shared" si="115"/>
        <v>38367</v>
      </c>
      <c r="DZ45" s="58">
        <f t="shared" si="116"/>
        <v>19834</v>
      </c>
      <c r="EA45" s="58">
        <f t="shared" si="117"/>
        <v>3866</v>
      </c>
      <c r="EB45" s="58">
        <f t="shared" si="118"/>
        <v>5823</v>
      </c>
      <c r="EC45" s="58">
        <f t="shared" si="119"/>
        <v>6512</v>
      </c>
      <c r="ED45" s="58">
        <f t="shared" si="120"/>
        <v>4242</v>
      </c>
      <c r="EE45" s="58">
        <f t="shared" si="121"/>
        <v>15801</v>
      </c>
      <c r="EF45" s="58">
        <f t="shared" si="122"/>
        <v>25467</v>
      </c>
      <c r="EG45" s="58">
        <f t="shared" si="123"/>
        <v>10964</v>
      </c>
      <c r="EH45" s="58">
        <f t="shared" si="124"/>
        <v>3674</v>
      </c>
      <c r="EI45" s="58">
        <f t="shared" si="125"/>
        <v>10531</v>
      </c>
      <c r="EJ45" s="58">
        <f t="shared" si="198"/>
        <v>19719</v>
      </c>
      <c r="EK45" s="58">
        <f t="shared" si="199"/>
        <v>31682</v>
      </c>
      <c r="EL45" s="58">
        <f t="shared" si="105"/>
        <v>24048</v>
      </c>
      <c r="EM45" s="58">
        <f t="shared" si="106"/>
        <v>11762</v>
      </c>
      <c r="EN45" s="58">
        <f t="shared" si="107"/>
        <v>22136</v>
      </c>
      <c r="EO45" s="58">
        <f t="shared" si="108"/>
        <v>43055</v>
      </c>
      <c r="EP45" s="58">
        <f t="shared" si="109"/>
        <v>58228</v>
      </c>
      <c r="EQ45" s="58">
        <f t="shared" si="110"/>
        <v>105687</v>
      </c>
      <c r="ER45" s="67">
        <f t="shared" si="72"/>
        <v>33052.199999999997</v>
      </c>
      <c r="ES45" s="67">
        <f t="shared" si="73"/>
        <v>16363.146341463415</v>
      </c>
      <c r="EV45" s="42">
        <v>204</v>
      </c>
      <c r="EW45" s="128">
        <f t="shared" si="155"/>
        <v>0.45525478401115904</v>
      </c>
      <c r="EX45" s="130">
        <f t="shared" si="156"/>
        <v>0.50130561938583662</v>
      </c>
      <c r="EY45" s="128">
        <f t="shared" si="157"/>
        <v>0.63150762774839353</v>
      </c>
      <c r="EZ45" s="128">
        <f t="shared" si="158"/>
        <v>0.43720930232558142</v>
      </c>
      <c r="FA45" s="128">
        <f t="shared" si="159"/>
        <v>0.36039603960396038</v>
      </c>
      <c r="FB45" s="128">
        <f t="shared" si="160"/>
        <v>0.37068516912402427</v>
      </c>
      <c r="FC45" s="128">
        <f t="shared" si="161"/>
        <v>0.24782078920236197</v>
      </c>
      <c r="FD45" s="128">
        <f t="shared" si="162"/>
        <v>0.38623326959847037</v>
      </c>
      <c r="FE45" s="128">
        <f t="shared" si="163"/>
        <v>0.25026943802925328</v>
      </c>
      <c r="FF45" s="128">
        <f t="shared" si="164"/>
        <v>0</v>
      </c>
      <c r="FG45" s="128">
        <f t="shared" si="165"/>
        <v>0.38184101294080713</v>
      </c>
      <c r="FH45" s="128">
        <f t="shared" si="166"/>
        <v>0.28864955803466774</v>
      </c>
      <c r="FI45" s="128">
        <f t="shared" si="167"/>
        <v>0.2943449010857257</v>
      </c>
      <c r="FJ45" s="128">
        <f t="shared" si="168"/>
        <v>0.19470237513439548</v>
      </c>
      <c r="FK45" s="128">
        <f t="shared" si="169"/>
        <v>0.46751932650665801</v>
      </c>
      <c r="FL45" s="128">
        <f t="shared" si="170"/>
        <v>0.37573949408404733</v>
      </c>
      <c r="FM45" s="128">
        <f t="shared" si="171"/>
        <v>0.31485270049099834</v>
      </c>
      <c r="FN45" s="128">
        <f t="shared" si="172"/>
        <v>0.27700934579439251</v>
      </c>
      <c r="FO45" s="128">
        <f t="shared" si="173"/>
        <v>0.40381128453087778</v>
      </c>
      <c r="FP45" s="128"/>
      <c r="FQ45" s="128">
        <f t="shared" si="175"/>
        <v>0.3225217073552698</v>
      </c>
      <c r="FR45" s="128">
        <f t="shared" si="176"/>
        <v>0.34430122116689282</v>
      </c>
      <c r="FS45" s="128">
        <f t="shared" si="177"/>
        <v>0.52799781480469821</v>
      </c>
      <c r="FT45" s="130">
        <f t="shared" si="178"/>
        <v>0.52026279998118508</v>
      </c>
      <c r="FU45" s="128">
        <f t="shared" si="179"/>
        <v>0.28056513835010521</v>
      </c>
      <c r="FV45" s="128">
        <f t="shared" si="180"/>
        <v>0.32287245778660334</v>
      </c>
      <c r="FW45" s="128">
        <f t="shared" si="181"/>
        <v>0.23856528239709518</v>
      </c>
      <c r="FX45" s="128">
        <f t="shared" si="182"/>
        <v>0.37961946035798033</v>
      </c>
      <c r="FY45" s="128">
        <f t="shared" si="183"/>
        <v>0.29732565809198297</v>
      </c>
      <c r="FZ45" s="128">
        <f t="shared" si="184"/>
        <v>0.38578984133320027</v>
      </c>
      <c r="GA45" s="128">
        <f t="shared" si="185"/>
        <v>0.46572822522594576</v>
      </c>
      <c r="GB45" s="128">
        <f t="shared" si="186"/>
        <v>0.38238402818555489</v>
      </c>
      <c r="GC45" s="128">
        <f t="shared" si="187"/>
        <v>0.18828892360004798</v>
      </c>
      <c r="GD45" s="128">
        <f t="shared" si="188"/>
        <v>0.39235697258641239</v>
      </c>
      <c r="GE45" s="128">
        <f t="shared" si="189"/>
        <v>0.52666735601282189</v>
      </c>
      <c r="GF45" s="128">
        <f t="shared" si="190"/>
        <v>0.56267742849085378</v>
      </c>
      <c r="GG45" s="128">
        <f t="shared" si="191"/>
        <v>0.27135610244701996</v>
      </c>
      <c r="GH45" s="128">
        <f t="shared" si="192"/>
        <v>0.46694453066110941</v>
      </c>
      <c r="GI45" s="128">
        <f t="shared" si="193"/>
        <v>0.35595790385760961</v>
      </c>
      <c r="GJ45" s="128">
        <f t="shared" si="194"/>
        <v>0.4375422944661575</v>
      </c>
      <c r="GK45" s="128">
        <f t="shared" si="195"/>
        <v>0.40686224748756472</v>
      </c>
      <c r="GL45" s="128">
        <f t="shared" si="196"/>
        <v>0.28487006224418127</v>
      </c>
      <c r="GM45" s="128">
        <f t="shared" si="197"/>
        <v>0.36890873941737218</v>
      </c>
      <c r="GN45" s="130">
        <f t="shared" si="97"/>
        <v>0.50189427056012126</v>
      </c>
      <c r="GO45" s="128">
        <f t="shared" si="98"/>
        <v>0.37956794388746201</v>
      </c>
      <c r="GP45" s="128">
        <f t="shared" si="99"/>
        <v>0.50254632601532079</v>
      </c>
      <c r="GQ45" s="129">
        <f t="shared" si="100"/>
        <v>0.39764504210439183</v>
      </c>
      <c r="GR45" s="129">
        <f t="shared" si="101"/>
        <v>0.35922559612027338</v>
      </c>
    </row>
    <row r="46" spans="1:200" x14ac:dyDescent="0.25">
      <c r="A46" s="42">
        <v>205</v>
      </c>
      <c r="B46" s="81">
        <v>356</v>
      </c>
      <c r="C46" s="81">
        <v>1197</v>
      </c>
      <c r="D46" s="81">
        <v>1841</v>
      </c>
      <c r="E46" s="81">
        <v>1</v>
      </c>
      <c r="F46" s="81">
        <v>1</v>
      </c>
      <c r="G46" s="81">
        <v>85</v>
      </c>
      <c r="H46" s="81">
        <v>90</v>
      </c>
      <c r="I46" s="81">
        <v>214</v>
      </c>
      <c r="J46" s="81">
        <v>457</v>
      </c>
      <c r="K46" s="81"/>
      <c r="L46" s="81">
        <v>740</v>
      </c>
      <c r="M46" s="81">
        <v>3743</v>
      </c>
      <c r="N46" s="81">
        <v>2041</v>
      </c>
      <c r="O46" s="81">
        <v>758</v>
      </c>
      <c r="P46" s="81">
        <v>976</v>
      </c>
      <c r="Q46" s="81">
        <v>752</v>
      </c>
      <c r="R46" s="81">
        <v>1075</v>
      </c>
      <c r="S46" s="81">
        <v>55</v>
      </c>
      <c r="T46" s="81">
        <v>80</v>
      </c>
      <c r="V46" s="81">
        <v>1709</v>
      </c>
      <c r="W46" s="81">
        <v>74</v>
      </c>
      <c r="X46" s="81">
        <v>121</v>
      </c>
      <c r="Y46" s="81">
        <v>594</v>
      </c>
      <c r="Z46" s="81">
        <v>1425</v>
      </c>
      <c r="AA46" s="81">
        <v>224</v>
      </c>
      <c r="AB46" s="81">
        <v>209</v>
      </c>
      <c r="AC46" s="81">
        <v>4093</v>
      </c>
      <c r="AD46" s="81">
        <v>1416</v>
      </c>
      <c r="AE46" s="81">
        <v>84</v>
      </c>
      <c r="AF46" s="84">
        <v>255</v>
      </c>
      <c r="AG46" s="84">
        <v>628</v>
      </c>
      <c r="AH46" s="84">
        <v>1031</v>
      </c>
      <c r="AI46" s="83">
        <v>2010</v>
      </c>
      <c r="AJ46" s="83">
        <v>1171</v>
      </c>
      <c r="AK46" s="83">
        <v>329</v>
      </c>
      <c r="AL46" s="81">
        <v>323</v>
      </c>
      <c r="AM46" s="90">
        <v>77</v>
      </c>
      <c r="AN46" s="90">
        <v>1385</v>
      </c>
      <c r="AO46" s="90">
        <v>1217</v>
      </c>
      <c r="AP46" s="81">
        <v>1446</v>
      </c>
      <c r="AQ46" s="81">
        <v>6</v>
      </c>
      <c r="AR46" s="81">
        <v>312</v>
      </c>
      <c r="AS46" s="81">
        <v>511</v>
      </c>
      <c r="AT46" s="81">
        <v>9381</v>
      </c>
      <c r="AU46" s="81">
        <v>399</v>
      </c>
      <c r="AV46" s="71">
        <f t="shared" si="113"/>
        <v>1505.7</v>
      </c>
      <c r="AW46" s="71">
        <f t="shared" si="102"/>
        <v>34579.393253968257</v>
      </c>
      <c r="AY46" s="42">
        <v>205</v>
      </c>
      <c r="AZ46" s="48">
        <f t="shared" si="154"/>
        <v>1.5518068087703238E-2</v>
      </c>
      <c r="BA46" s="48">
        <f t="shared" si="1"/>
        <v>6.2513056193858371E-2</v>
      </c>
      <c r="BB46" s="48">
        <f t="shared" si="2"/>
        <v>8.0473838352930885E-2</v>
      </c>
      <c r="BC46" s="48">
        <f t="shared" si="3"/>
        <v>2.3255813953488372E-3</v>
      </c>
      <c r="BD46" s="48">
        <f t="shared" si="4"/>
        <v>3.9603960396039607E-4</v>
      </c>
      <c r="BE46" s="48">
        <f t="shared" si="5"/>
        <v>7.372072853425846E-3</v>
      </c>
      <c r="BF46" s="48">
        <f t="shared" si="6"/>
        <v>8.4356547005342581E-3</v>
      </c>
      <c r="BG46" s="48">
        <f t="shared" si="7"/>
        <v>2.273210112598258E-2</v>
      </c>
      <c r="BH46" s="48">
        <f t="shared" si="8"/>
        <v>3.5180908391070055E-2</v>
      </c>
      <c r="BI46" s="48">
        <f t="shared" si="9"/>
        <v>0</v>
      </c>
      <c r="BJ46" s="48">
        <f t="shared" si="10"/>
        <v>2.5811852523631797E-2</v>
      </c>
      <c r="BK46" s="48">
        <f t="shared" si="11"/>
        <v>5.1615483265992801E-2</v>
      </c>
      <c r="BL46" s="48">
        <f t="shared" si="12"/>
        <v>4.5316281444969915E-2</v>
      </c>
      <c r="BM46" s="48">
        <f t="shared" si="13"/>
        <v>7.408855439350992E-2</v>
      </c>
      <c r="BN46" s="48">
        <f t="shared" si="14"/>
        <v>3.9502974865422757E-2</v>
      </c>
      <c r="BO46" s="48">
        <f t="shared" si="15"/>
        <v>1.9175846593227255E-2</v>
      </c>
      <c r="BP46" s="48">
        <f t="shared" si="16"/>
        <v>3.141805003507131E-2</v>
      </c>
      <c r="BQ46" s="48">
        <f t="shared" si="17"/>
        <v>2.9372496662216289E-3</v>
      </c>
      <c r="BR46" s="48">
        <f t="shared" si="18"/>
        <v>2.8442421872222419E-3</v>
      </c>
      <c r="BS46" s="48"/>
      <c r="BT46" s="48">
        <f t="shared" si="19"/>
        <v>2.9737771668203728E-2</v>
      </c>
      <c r="BU46" s="48">
        <f t="shared" si="20"/>
        <v>2.5101763907734057E-2</v>
      </c>
      <c r="BV46" s="48">
        <f t="shared" si="21"/>
        <v>3.3051078940180278E-2</v>
      </c>
      <c r="BW46" s="48">
        <f t="shared" si="22"/>
        <v>2.4828159652030526E-2</v>
      </c>
      <c r="BX46" s="48">
        <f t="shared" si="23"/>
        <v>2.0398230721882651E-2</v>
      </c>
      <c r="BY46" s="48">
        <f t="shared" si="24"/>
        <v>2.9072408467338967E-3</v>
      </c>
      <c r="BZ46" s="48">
        <f t="shared" si="25"/>
        <v>3.1886003722576511E-3</v>
      </c>
      <c r="CA46" s="48">
        <f t="shared" si="26"/>
        <v>4.0497887539948749E-2</v>
      </c>
      <c r="CB46" s="48">
        <f t="shared" si="27"/>
        <v>2.1226839359597051E-2</v>
      </c>
      <c r="CC46" s="48">
        <f t="shared" si="28"/>
        <v>8.382396966370621E-3</v>
      </c>
      <c r="CD46" s="48">
        <f t="shared" si="29"/>
        <v>2.0395105174758059E-2</v>
      </c>
      <c r="CE46" s="48">
        <f t="shared" si="30"/>
        <v>3.6876100998238404E-2</v>
      </c>
      <c r="CF46" s="48">
        <f t="shared" si="31"/>
        <v>4.5762819479408176E-2</v>
      </c>
      <c r="CG46" s="48">
        <f t="shared" si="32"/>
        <v>4.991060786650775E-2</v>
      </c>
      <c r="CH46" s="48">
        <f t="shared" si="33"/>
        <v>2.421673043118602E-2</v>
      </c>
      <c r="CI46" s="48">
        <f t="shared" si="34"/>
        <v>1.6884428490832808E-2</v>
      </c>
      <c r="CJ46" s="48">
        <f t="shared" si="35"/>
        <v>2.3856293165592665E-2</v>
      </c>
      <c r="CK46" s="48">
        <f t="shared" si="36"/>
        <v>3.4141799317164013E-3</v>
      </c>
      <c r="CL46" s="48">
        <f t="shared" si="37"/>
        <v>2.5001353863927649E-2</v>
      </c>
      <c r="CM46" s="48">
        <f t="shared" si="61"/>
        <v>1.6807302959576848E-2</v>
      </c>
      <c r="CN46" s="48">
        <f t="shared" si="62"/>
        <v>2.4464521368388996E-2</v>
      </c>
      <c r="CO46" s="48">
        <f t="shared" si="174"/>
        <v>1.4531715469011118E-4</v>
      </c>
      <c r="CP46" s="48">
        <f t="shared" si="64"/>
        <v>5.1996533564429041E-3</v>
      </c>
      <c r="CQ46" s="48">
        <f t="shared" si="112"/>
        <v>5.9567523459812324E-3</v>
      </c>
      <c r="CR46" s="48">
        <f t="shared" si="65"/>
        <v>6.115145431078315E-2</v>
      </c>
      <c r="CS46" s="48">
        <f t="shared" si="66"/>
        <v>1.8972625212193834E-3</v>
      </c>
      <c r="CT46" s="68">
        <f t="shared" si="67"/>
        <v>0.41443445120222389</v>
      </c>
      <c r="CU46" s="68">
        <f t="shared" si="68"/>
        <v>0.38210577087745462</v>
      </c>
      <c r="CW46" s="42">
        <v>205</v>
      </c>
      <c r="CX46" s="58">
        <f t="shared" si="128"/>
        <v>10800</v>
      </c>
      <c r="CY46" s="58">
        <f t="shared" si="129"/>
        <v>10796</v>
      </c>
      <c r="CZ46" s="58">
        <f t="shared" si="130"/>
        <v>16288</v>
      </c>
      <c r="DA46" s="58">
        <f t="shared" si="131"/>
        <v>189</v>
      </c>
      <c r="DB46" s="58">
        <f t="shared" si="132"/>
        <v>911</v>
      </c>
      <c r="DC46" s="58">
        <f t="shared" si="133"/>
        <v>4359</v>
      </c>
      <c r="DD46" s="58">
        <f t="shared" si="134"/>
        <v>2734</v>
      </c>
      <c r="DE46" s="58">
        <f t="shared" si="135"/>
        <v>3850</v>
      </c>
      <c r="DF46" s="58">
        <f t="shared" si="136"/>
        <v>3708</v>
      </c>
      <c r="DG46" s="58">
        <f t="shared" si="137"/>
        <v>0</v>
      </c>
      <c r="DH46" s="58">
        <f t="shared" si="138"/>
        <v>11687</v>
      </c>
      <c r="DI46" s="58">
        <f t="shared" si="139"/>
        <v>24675</v>
      </c>
      <c r="DJ46" s="58">
        <f t="shared" si="140"/>
        <v>15298</v>
      </c>
      <c r="DK46" s="58">
        <f t="shared" si="141"/>
        <v>2750</v>
      </c>
      <c r="DL46" s="58">
        <f t="shared" si="142"/>
        <v>12527</v>
      </c>
      <c r="DM46" s="58">
        <f t="shared" si="143"/>
        <v>15487</v>
      </c>
      <c r="DN46" s="58">
        <f t="shared" si="144"/>
        <v>11848</v>
      </c>
      <c r="DO46" s="58">
        <f t="shared" si="145"/>
        <v>5242</v>
      </c>
      <c r="DP46" s="58">
        <f t="shared" si="146"/>
        <v>11438</v>
      </c>
      <c r="DQ46" s="58"/>
      <c r="DR46" s="58">
        <f t="shared" si="147"/>
        <v>20244</v>
      </c>
      <c r="DS46" s="58">
        <f t="shared" si="148"/>
        <v>1089</v>
      </c>
      <c r="DT46" s="58">
        <f t="shared" si="149"/>
        <v>2054</v>
      </c>
      <c r="DU46" s="58">
        <f t="shared" si="150"/>
        <v>13041</v>
      </c>
      <c r="DV46" s="58">
        <f t="shared" si="151"/>
        <v>21025</v>
      </c>
      <c r="DW46" s="58">
        <f t="shared" si="152"/>
        <v>25101</v>
      </c>
      <c r="DX46" s="58">
        <f t="shared" si="153"/>
        <v>15846</v>
      </c>
      <c r="DY46" s="58">
        <f t="shared" si="115"/>
        <v>42460</v>
      </c>
      <c r="DZ46" s="58">
        <f t="shared" si="116"/>
        <v>21250</v>
      </c>
      <c r="EA46" s="58">
        <f t="shared" si="117"/>
        <v>3950</v>
      </c>
      <c r="EB46" s="58">
        <f t="shared" si="118"/>
        <v>6078</v>
      </c>
      <c r="EC46" s="58">
        <f t="shared" si="119"/>
        <v>7140</v>
      </c>
      <c r="ED46" s="58">
        <f t="shared" si="120"/>
        <v>5273</v>
      </c>
      <c r="EE46" s="58">
        <f t="shared" si="121"/>
        <v>17811</v>
      </c>
      <c r="EF46" s="58">
        <f t="shared" si="122"/>
        <v>26638</v>
      </c>
      <c r="EG46" s="58">
        <f t="shared" si="123"/>
        <v>11293</v>
      </c>
      <c r="EH46" s="58">
        <f t="shared" si="124"/>
        <v>3997</v>
      </c>
      <c r="EI46" s="58">
        <f t="shared" si="125"/>
        <v>10608</v>
      </c>
      <c r="EJ46" s="58">
        <f t="shared" si="198"/>
        <v>21104</v>
      </c>
      <c r="EK46" s="58">
        <f t="shared" si="199"/>
        <v>32899</v>
      </c>
      <c r="EL46" s="58">
        <f t="shared" si="105"/>
        <v>25494</v>
      </c>
      <c r="EM46" s="58">
        <f t="shared" si="106"/>
        <v>11768</v>
      </c>
      <c r="EN46" s="58">
        <f t="shared" si="107"/>
        <v>22448</v>
      </c>
      <c r="EO46" s="58">
        <f t="shared" si="108"/>
        <v>43566</v>
      </c>
      <c r="EP46" s="58">
        <f t="shared" si="109"/>
        <v>67609</v>
      </c>
      <c r="EQ46" s="58">
        <f t="shared" si="110"/>
        <v>106086</v>
      </c>
      <c r="ER46" s="67">
        <f t="shared" si="72"/>
        <v>34557.9</v>
      </c>
      <c r="ES46" s="67">
        <f t="shared" si="73"/>
        <v>17375.268292682926</v>
      </c>
      <c r="EV46" s="42">
        <v>205</v>
      </c>
      <c r="EW46" s="128">
        <f t="shared" si="155"/>
        <v>0.47077285209886233</v>
      </c>
      <c r="EX46" s="128">
        <f t="shared" si="156"/>
        <v>0.56381867557969501</v>
      </c>
      <c r="EY46" s="128">
        <f t="shared" si="157"/>
        <v>0.71198146610132451</v>
      </c>
      <c r="EZ46" s="128">
        <f t="shared" si="158"/>
        <v>0.43953488372093025</v>
      </c>
      <c r="FA46" s="128">
        <f t="shared" si="159"/>
        <v>0.36079207920792078</v>
      </c>
      <c r="FB46" s="128">
        <f t="shared" si="160"/>
        <v>0.37805724197745011</v>
      </c>
      <c r="FC46" s="128">
        <f t="shared" si="161"/>
        <v>0.25625644390289626</v>
      </c>
      <c r="FD46" s="128">
        <f t="shared" si="162"/>
        <v>0.40896537072445294</v>
      </c>
      <c r="FE46" s="128">
        <f t="shared" si="163"/>
        <v>0.28545034642032335</v>
      </c>
      <c r="FF46" s="128">
        <f t="shared" si="164"/>
        <v>0</v>
      </c>
      <c r="FG46" s="128">
        <f t="shared" si="165"/>
        <v>0.40765286546443896</v>
      </c>
      <c r="FH46" s="128">
        <f t="shared" si="166"/>
        <v>0.34026504130066054</v>
      </c>
      <c r="FI46" s="128">
        <f t="shared" si="167"/>
        <v>0.3396611825306956</v>
      </c>
      <c r="FJ46" s="128">
        <f t="shared" si="168"/>
        <v>0.2687909295279054</v>
      </c>
      <c r="FK46" s="130">
        <f t="shared" si="169"/>
        <v>0.50702230137208082</v>
      </c>
      <c r="FL46" s="128">
        <f t="shared" si="170"/>
        <v>0.39491534067727457</v>
      </c>
      <c r="FM46" s="128">
        <f t="shared" si="171"/>
        <v>0.34627075052606965</v>
      </c>
      <c r="FN46" s="128">
        <f t="shared" si="172"/>
        <v>0.27994659546061418</v>
      </c>
      <c r="FO46" s="128">
        <f t="shared" si="173"/>
        <v>0.40665552671810007</v>
      </c>
      <c r="FP46" s="128"/>
      <c r="FQ46" s="128">
        <f t="shared" si="175"/>
        <v>0.35225947902347354</v>
      </c>
      <c r="FR46" s="128">
        <f t="shared" si="176"/>
        <v>0.36940298507462688</v>
      </c>
      <c r="FS46" s="128">
        <f t="shared" si="177"/>
        <v>0.56104889374487843</v>
      </c>
      <c r="FT46" s="128">
        <f t="shared" si="178"/>
        <v>0.54509095963321563</v>
      </c>
      <c r="FU46" s="128">
        <f t="shared" si="179"/>
        <v>0.30096336907198784</v>
      </c>
      <c r="FV46" s="128">
        <f t="shared" si="180"/>
        <v>0.32577969863333722</v>
      </c>
      <c r="FW46" s="128">
        <f t="shared" si="181"/>
        <v>0.24175388276935283</v>
      </c>
      <c r="FX46" s="128">
        <f t="shared" si="182"/>
        <v>0.42011734789792909</v>
      </c>
      <c r="FY46" s="128">
        <f t="shared" si="183"/>
        <v>0.31855249745158004</v>
      </c>
      <c r="FZ46" s="128">
        <f t="shared" si="184"/>
        <v>0.39417223829957088</v>
      </c>
      <c r="GA46" s="128">
        <f t="shared" si="185"/>
        <v>0.48612333040070382</v>
      </c>
      <c r="GB46" s="128">
        <f t="shared" si="186"/>
        <v>0.4192601291837933</v>
      </c>
      <c r="GC46" s="128">
        <f t="shared" si="187"/>
        <v>0.23405174307945617</v>
      </c>
      <c r="GD46" s="128">
        <f t="shared" si="188"/>
        <v>0.44226758045292014</v>
      </c>
      <c r="GE46" s="128">
        <f t="shared" si="189"/>
        <v>0.55088408644400788</v>
      </c>
      <c r="GF46" s="128">
        <f t="shared" si="190"/>
        <v>0.57956185698168661</v>
      </c>
      <c r="GG46" s="128">
        <f t="shared" si="191"/>
        <v>0.29521239561261264</v>
      </c>
      <c r="GH46" s="128">
        <f t="shared" si="192"/>
        <v>0.4703587105928258</v>
      </c>
      <c r="GI46" s="128">
        <f t="shared" si="193"/>
        <v>0.38095925772153727</v>
      </c>
      <c r="GJ46" s="128">
        <f t="shared" si="194"/>
        <v>0.45434959742573439</v>
      </c>
      <c r="GK46" s="128">
        <f t="shared" si="195"/>
        <v>0.43132676885595372</v>
      </c>
      <c r="GL46" s="128">
        <f t="shared" si="196"/>
        <v>0.28501537939887139</v>
      </c>
      <c r="GM46" s="128">
        <f t="shared" si="197"/>
        <v>0.37410839277381508</v>
      </c>
      <c r="GN46" s="128">
        <f t="shared" si="97"/>
        <v>0.50785102290610251</v>
      </c>
      <c r="GO46" s="128">
        <f t="shared" si="98"/>
        <v>0.44071939819824518</v>
      </c>
      <c r="GP46" s="128">
        <f t="shared" si="99"/>
        <v>0.50444358853654014</v>
      </c>
      <c r="GQ46" s="129">
        <f t="shared" si="100"/>
        <v>0.41443445120222383</v>
      </c>
      <c r="GR46" s="129">
        <f t="shared" si="101"/>
        <v>0.38210577087745473</v>
      </c>
    </row>
    <row r="47" spans="1:200" x14ac:dyDescent="0.25">
      <c r="A47" s="42">
        <v>206</v>
      </c>
      <c r="B47" s="81">
        <v>409</v>
      </c>
      <c r="C47" s="81">
        <v>677</v>
      </c>
      <c r="D47" s="81">
        <v>799</v>
      </c>
      <c r="E47" s="81">
        <v>4</v>
      </c>
      <c r="F47" s="81">
        <v>30</v>
      </c>
      <c r="G47" s="81">
        <v>1002</v>
      </c>
      <c r="H47" s="81">
        <v>147</v>
      </c>
      <c r="I47" s="81">
        <v>233</v>
      </c>
      <c r="J47" s="81">
        <v>291</v>
      </c>
      <c r="K47" s="81"/>
      <c r="L47" s="81">
        <v>883</v>
      </c>
      <c r="M47" s="81">
        <v>1469</v>
      </c>
      <c r="N47" s="81">
        <v>2484</v>
      </c>
      <c r="O47" s="81">
        <v>377</v>
      </c>
      <c r="P47" s="81">
        <v>186</v>
      </c>
      <c r="Q47" s="81">
        <v>3051</v>
      </c>
      <c r="R47" s="81">
        <v>1267</v>
      </c>
      <c r="S47" s="81">
        <v>859</v>
      </c>
      <c r="T47" s="81">
        <v>721</v>
      </c>
      <c r="V47" s="81">
        <v>458</v>
      </c>
      <c r="W47" s="81">
        <v>40</v>
      </c>
      <c r="X47" s="81">
        <v>367</v>
      </c>
      <c r="Y47" s="81">
        <v>790</v>
      </c>
      <c r="Z47" s="81">
        <v>613</v>
      </c>
      <c r="AA47" s="81">
        <v>94</v>
      </c>
      <c r="AB47" s="81">
        <v>198</v>
      </c>
      <c r="AC47" s="81">
        <v>2422</v>
      </c>
      <c r="AD47" s="81">
        <v>1564</v>
      </c>
      <c r="AE47" s="81">
        <v>463</v>
      </c>
      <c r="AF47" s="84">
        <v>330</v>
      </c>
      <c r="AG47" s="84">
        <v>882</v>
      </c>
      <c r="AH47" s="84">
        <v>384</v>
      </c>
      <c r="AI47" s="83">
        <v>1740</v>
      </c>
      <c r="AJ47" s="83">
        <v>798</v>
      </c>
      <c r="AK47" s="83">
        <v>516</v>
      </c>
      <c r="AL47" s="81">
        <v>366</v>
      </c>
      <c r="AM47" s="90">
        <v>13</v>
      </c>
      <c r="AN47" s="90">
        <v>266</v>
      </c>
      <c r="AO47" s="90">
        <v>94</v>
      </c>
      <c r="AP47" s="81">
        <v>2601</v>
      </c>
      <c r="AQ47" s="81">
        <v>43</v>
      </c>
      <c r="AR47" s="81">
        <v>231</v>
      </c>
      <c r="AS47" s="81">
        <v>2579</v>
      </c>
      <c r="AT47" s="81">
        <v>6133</v>
      </c>
      <c r="AU47" s="81">
        <v>3696</v>
      </c>
      <c r="AV47" s="71">
        <f t="shared" si="113"/>
        <v>1602.2</v>
      </c>
      <c r="AW47" s="71">
        <f t="shared" si="102"/>
        <v>36181.593253968254</v>
      </c>
      <c r="AY47" s="42">
        <v>206</v>
      </c>
      <c r="AZ47" s="48">
        <f t="shared" si="154"/>
        <v>1.7828342269299507E-2</v>
      </c>
      <c r="BA47" s="48">
        <f t="shared" si="1"/>
        <v>3.5356172968456237E-2</v>
      </c>
      <c r="BB47" s="48">
        <f t="shared" si="2"/>
        <v>3.4925908117323073E-2</v>
      </c>
      <c r="BC47" s="48">
        <f t="shared" si="3"/>
        <v>9.3023255813953487E-3</v>
      </c>
      <c r="BD47" s="48">
        <f t="shared" si="4"/>
        <v>1.1881188118811881E-2</v>
      </c>
      <c r="BE47" s="48">
        <f t="shared" si="5"/>
        <v>8.6903729401561144E-2</v>
      </c>
      <c r="BF47" s="48">
        <f t="shared" si="6"/>
        <v>1.3778236010872622E-2</v>
      </c>
      <c r="BG47" s="48">
        <f t="shared" si="7"/>
        <v>2.475037178670066E-2</v>
      </c>
      <c r="BH47" s="48">
        <f t="shared" si="8"/>
        <v>2.2401847575057737E-2</v>
      </c>
      <c r="BI47" s="48">
        <f t="shared" si="9"/>
        <v>0</v>
      </c>
      <c r="BJ47" s="48">
        <f t="shared" si="10"/>
        <v>3.07998186194147E-2</v>
      </c>
      <c r="BK47" s="48">
        <f t="shared" si="11"/>
        <v>2.025731897348208E-2</v>
      </c>
      <c r="BL47" s="48">
        <f t="shared" si="12"/>
        <v>5.5152201425431292E-2</v>
      </c>
      <c r="BM47" s="48">
        <f t="shared" si="13"/>
        <v>3.6848792884371026E-2</v>
      </c>
      <c r="BN47" s="48">
        <f t="shared" si="14"/>
        <v>7.5282308657465494E-3</v>
      </c>
      <c r="BO47" s="48">
        <f t="shared" si="15"/>
        <v>7.7799877600979186E-2</v>
      </c>
      <c r="BP47" s="48">
        <f t="shared" si="16"/>
        <v>3.702945990180033E-2</v>
      </c>
      <c r="BQ47" s="48">
        <f t="shared" si="17"/>
        <v>4.587449933244326E-2</v>
      </c>
      <c r="BR47" s="48">
        <f t="shared" si="18"/>
        <v>2.5633732712340457E-2</v>
      </c>
      <c r="BS47" s="48"/>
      <c r="BT47" s="48">
        <f t="shared" si="19"/>
        <v>7.9695139988515545E-3</v>
      </c>
      <c r="BU47" s="48">
        <f t="shared" si="20"/>
        <v>1.3568521031207599E-2</v>
      </c>
      <c r="BV47" s="48">
        <f t="shared" si="21"/>
        <v>0.10024583447145588</v>
      </c>
      <c r="BW47" s="48">
        <f t="shared" si="22"/>
        <v>3.3020616372229146E-2</v>
      </c>
      <c r="BX47" s="48">
        <f t="shared" si="23"/>
        <v>8.7748178473782898E-3</v>
      </c>
      <c r="BY47" s="48">
        <f t="shared" si="24"/>
        <v>1.2200028553258316E-3</v>
      </c>
      <c r="BZ47" s="48">
        <f t="shared" si="25"/>
        <v>3.0207793000335643E-3</v>
      </c>
      <c r="CA47" s="48">
        <f t="shared" si="26"/>
        <v>2.3964300909297794E-2</v>
      </c>
      <c r="CB47" s="48">
        <f t="shared" si="27"/>
        <v>2.3445463812436288E-2</v>
      </c>
      <c r="CC47" s="48">
        <f t="shared" si="28"/>
        <v>4.6202973755114257E-2</v>
      </c>
      <c r="CD47" s="48">
        <f t="shared" si="29"/>
        <v>2.6393665520275136E-2</v>
      </c>
      <c r="CE47" s="48">
        <f t="shared" si="30"/>
        <v>5.1790957134468588E-2</v>
      </c>
      <c r="CF47" s="48">
        <f t="shared" si="31"/>
        <v>1.7044541881758236E-2</v>
      </c>
      <c r="CG47" s="48">
        <f t="shared" si="32"/>
        <v>4.3206197854588797E-2</v>
      </c>
      <c r="CH47" s="48">
        <f t="shared" si="33"/>
        <v>1.6502946954813358E-2</v>
      </c>
      <c r="CI47" s="48">
        <f t="shared" si="34"/>
        <v>2.6481352891397351E-2</v>
      </c>
      <c r="CJ47" s="48">
        <f t="shared" si="35"/>
        <v>2.7032208354820172E-2</v>
      </c>
      <c r="CK47" s="48">
        <f t="shared" si="36"/>
        <v>5.7641998847160025E-4</v>
      </c>
      <c r="CL47" s="48">
        <f t="shared" si="37"/>
        <v>4.8017040633969348E-3</v>
      </c>
      <c r="CM47" s="48">
        <f t="shared" si="61"/>
        <v>1.2981811653247524E-3</v>
      </c>
      <c r="CN47" s="48">
        <f t="shared" si="62"/>
        <v>4.4005684702060704E-2</v>
      </c>
      <c r="CO47" s="48">
        <f t="shared" si="174"/>
        <v>1.0414396086124633E-3</v>
      </c>
      <c r="CP47" s="48">
        <f t="shared" si="64"/>
        <v>3.8497433504433038E-3</v>
      </c>
      <c r="CQ47" s="48">
        <f t="shared" si="112"/>
        <v>3.0063530920324065E-2</v>
      </c>
      <c r="CR47" s="48">
        <f t="shared" si="65"/>
        <v>3.9978879574462535E-2</v>
      </c>
      <c r="CS47" s="48">
        <f t="shared" si="66"/>
        <v>1.7574642301821656E-2</v>
      </c>
      <c r="CT47" s="68">
        <f t="shared" si="67"/>
        <v>0.4314566946051977</v>
      </c>
      <c r="CU47" s="68">
        <f t="shared" si="68"/>
        <v>0.40917197150743956</v>
      </c>
      <c r="CW47" s="42">
        <v>206</v>
      </c>
      <c r="CX47" s="108">
        <f t="shared" si="128"/>
        <v>11209</v>
      </c>
      <c r="CY47" s="58">
        <f t="shared" si="129"/>
        <v>11473</v>
      </c>
      <c r="CZ47" s="58">
        <f t="shared" si="130"/>
        <v>17087</v>
      </c>
      <c r="DA47" s="58">
        <f t="shared" si="131"/>
        <v>193</v>
      </c>
      <c r="DB47" s="58">
        <f t="shared" si="132"/>
        <v>941</v>
      </c>
      <c r="DC47" s="58">
        <f t="shared" si="133"/>
        <v>5361</v>
      </c>
      <c r="DD47" s="58">
        <f t="shared" si="134"/>
        <v>2881</v>
      </c>
      <c r="DE47" s="58">
        <f t="shared" si="135"/>
        <v>4083</v>
      </c>
      <c r="DF47" s="58">
        <f t="shared" si="136"/>
        <v>3999</v>
      </c>
      <c r="DG47" s="58">
        <f t="shared" si="137"/>
        <v>0</v>
      </c>
      <c r="DH47" s="58">
        <f t="shared" si="138"/>
        <v>12570</v>
      </c>
      <c r="DI47" s="58">
        <f t="shared" si="139"/>
        <v>26144</v>
      </c>
      <c r="DJ47" s="58">
        <f t="shared" si="140"/>
        <v>17782</v>
      </c>
      <c r="DK47" s="58">
        <f t="shared" si="141"/>
        <v>3127</v>
      </c>
      <c r="DL47" s="58">
        <f t="shared" si="142"/>
        <v>12713</v>
      </c>
      <c r="DM47" s="58">
        <f t="shared" si="143"/>
        <v>18538</v>
      </c>
      <c r="DN47" s="58">
        <f t="shared" si="144"/>
        <v>13115</v>
      </c>
      <c r="DO47" s="58">
        <f t="shared" si="145"/>
        <v>6101</v>
      </c>
      <c r="DP47" s="58">
        <f t="shared" si="146"/>
        <v>12159</v>
      </c>
      <c r="DQ47" s="58"/>
      <c r="DR47" s="58">
        <f t="shared" si="147"/>
        <v>20702</v>
      </c>
      <c r="DS47" s="58">
        <f t="shared" si="148"/>
        <v>1129</v>
      </c>
      <c r="DT47" s="58">
        <f t="shared" si="149"/>
        <v>2421</v>
      </c>
      <c r="DU47" s="58">
        <f t="shared" si="150"/>
        <v>13831</v>
      </c>
      <c r="DV47" s="58">
        <f t="shared" si="151"/>
        <v>21638</v>
      </c>
      <c r="DW47" s="58">
        <f t="shared" si="152"/>
        <v>25195</v>
      </c>
      <c r="DX47" s="58">
        <f t="shared" si="153"/>
        <v>16044</v>
      </c>
      <c r="DY47" s="58">
        <f t="shared" si="115"/>
        <v>44882</v>
      </c>
      <c r="DZ47" s="58">
        <f t="shared" si="116"/>
        <v>22814</v>
      </c>
      <c r="EA47" s="58">
        <f t="shared" si="117"/>
        <v>4413</v>
      </c>
      <c r="EB47" s="108">
        <f t="shared" si="118"/>
        <v>6408</v>
      </c>
      <c r="EC47" s="58">
        <f t="shared" si="119"/>
        <v>8022</v>
      </c>
      <c r="ED47" s="58">
        <f t="shared" si="120"/>
        <v>5657</v>
      </c>
      <c r="EE47" s="58">
        <f t="shared" si="121"/>
        <v>19551</v>
      </c>
      <c r="EF47" s="58">
        <f t="shared" si="122"/>
        <v>27436</v>
      </c>
      <c r="EG47" s="58">
        <f t="shared" si="123"/>
        <v>11809</v>
      </c>
      <c r="EH47" s="58">
        <f t="shared" si="124"/>
        <v>4363</v>
      </c>
      <c r="EI47" s="58">
        <f t="shared" si="125"/>
        <v>10621</v>
      </c>
      <c r="EJ47" s="58">
        <f t="shared" si="198"/>
        <v>21370</v>
      </c>
      <c r="EK47" s="108">
        <f t="shared" si="199"/>
        <v>32993</v>
      </c>
      <c r="EL47" s="58">
        <f t="shared" si="105"/>
        <v>28095</v>
      </c>
      <c r="EM47" s="58">
        <f t="shared" si="106"/>
        <v>11811</v>
      </c>
      <c r="EN47" s="58">
        <f t="shared" si="107"/>
        <v>22679</v>
      </c>
      <c r="EO47" s="58">
        <f t="shared" si="108"/>
        <v>46145</v>
      </c>
      <c r="EP47" s="58">
        <f t="shared" si="109"/>
        <v>73742</v>
      </c>
      <c r="EQ47" s="58">
        <f t="shared" si="110"/>
        <v>109782</v>
      </c>
      <c r="ER47" s="67">
        <f t="shared" si="72"/>
        <v>36160.1</v>
      </c>
      <c r="ES47" s="67">
        <f t="shared" si="73"/>
        <v>18367.487804878048</v>
      </c>
      <c r="EV47" s="42">
        <v>206</v>
      </c>
      <c r="EW47" s="128">
        <f t="shared" si="155"/>
        <v>0.4886011943681618</v>
      </c>
      <c r="EX47" s="128">
        <f t="shared" si="156"/>
        <v>0.59917484854815128</v>
      </c>
      <c r="EY47" s="128">
        <f t="shared" si="157"/>
        <v>0.7469073742186475</v>
      </c>
      <c r="EZ47" s="128">
        <f t="shared" si="158"/>
        <v>0.44883720930232557</v>
      </c>
      <c r="FA47" s="128">
        <f t="shared" si="159"/>
        <v>0.37267326732673267</v>
      </c>
      <c r="FB47" s="128">
        <f t="shared" si="160"/>
        <v>0.46496097137901127</v>
      </c>
      <c r="FC47" s="128">
        <f t="shared" si="161"/>
        <v>0.27003467991376884</v>
      </c>
      <c r="FD47" s="128">
        <f t="shared" si="162"/>
        <v>0.43371574251115358</v>
      </c>
      <c r="FE47" s="128">
        <f t="shared" si="163"/>
        <v>0.30785219399538105</v>
      </c>
      <c r="FF47" s="128">
        <f t="shared" si="164"/>
        <v>0</v>
      </c>
      <c r="FG47" s="128">
        <f t="shared" si="165"/>
        <v>0.43845268408385363</v>
      </c>
      <c r="FH47" s="128">
        <f t="shared" si="166"/>
        <v>0.36052236027414264</v>
      </c>
      <c r="FI47" s="128">
        <f t="shared" si="167"/>
        <v>0.39481338395612692</v>
      </c>
      <c r="FJ47" s="128">
        <f t="shared" si="168"/>
        <v>0.30563972241227644</v>
      </c>
      <c r="FK47" s="128">
        <f t="shared" si="169"/>
        <v>0.51455053223782732</v>
      </c>
      <c r="FL47" s="128">
        <f t="shared" si="170"/>
        <v>0.4727152182782538</v>
      </c>
      <c r="FM47" s="128">
        <f t="shared" si="171"/>
        <v>0.38330021042786999</v>
      </c>
      <c r="FN47" s="128">
        <f t="shared" si="172"/>
        <v>0.32582109479305743</v>
      </c>
      <c r="FO47" s="128">
        <f t="shared" si="173"/>
        <v>0.4322892594304405</v>
      </c>
      <c r="FP47" s="128"/>
      <c r="FQ47" s="128">
        <f t="shared" si="175"/>
        <v>0.36022899302232508</v>
      </c>
      <c r="FR47" s="128">
        <f t="shared" si="176"/>
        <v>0.38297150610583447</v>
      </c>
      <c r="FS47" s="128">
        <f t="shared" si="177"/>
        <v>0.66129472821633428</v>
      </c>
      <c r="FT47" s="128">
        <f t="shared" si="178"/>
        <v>0.57811157600544472</v>
      </c>
      <c r="FU47" s="128">
        <f t="shared" si="179"/>
        <v>0.30973818691936617</v>
      </c>
      <c r="FV47" s="128">
        <f t="shared" si="180"/>
        <v>0.32699970148866309</v>
      </c>
      <c r="FW47" s="128">
        <f t="shared" si="181"/>
        <v>0.24477466206938639</v>
      </c>
      <c r="FX47" s="128">
        <f t="shared" si="182"/>
        <v>0.44408164880722689</v>
      </c>
      <c r="FY47" s="128">
        <f t="shared" si="183"/>
        <v>0.34199796126401633</v>
      </c>
      <c r="FZ47" s="128">
        <f t="shared" si="184"/>
        <v>0.44037521205468516</v>
      </c>
      <c r="GA47" s="130">
        <f t="shared" si="185"/>
        <v>0.51251699592097899</v>
      </c>
      <c r="GB47" s="128">
        <f t="shared" si="186"/>
        <v>0.47105108631826187</v>
      </c>
      <c r="GC47" s="128">
        <f t="shared" si="187"/>
        <v>0.25109628496121439</v>
      </c>
      <c r="GD47" s="128">
        <f t="shared" si="188"/>
        <v>0.48547377830750893</v>
      </c>
      <c r="GE47" s="128">
        <f t="shared" si="189"/>
        <v>0.56738703339882124</v>
      </c>
      <c r="GF47" s="128">
        <f t="shared" si="190"/>
        <v>0.60604320987308391</v>
      </c>
      <c r="GG47" s="128">
        <f t="shared" si="191"/>
        <v>0.32224460396743282</v>
      </c>
      <c r="GH47" s="128">
        <f t="shared" si="192"/>
        <v>0.47093513058129738</v>
      </c>
      <c r="GI47" s="128">
        <f t="shared" si="193"/>
        <v>0.38576096178493419</v>
      </c>
      <c r="GJ47" s="128">
        <f t="shared" si="194"/>
        <v>0.45564777859105915</v>
      </c>
      <c r="GK47" s="128">
        <f t="shared" si="195"/>
        <v>0.4753324535580144</v>
      </c>
      <c r="GL47" s="128">
        <f t="shared" si="196"/>
        <v>0.28605681900748381</v>
      </c>
      <c r="GM47" s="128">
        <f t="shared" si="197"/>
        <v>0.37795813612425838</v>
      </c>
      <c r="GN47" s="128">
        <f t="shared" si="97"/>
        <v>0.5379145538264265</v>
      </c>
      <c r="GO47" s="128">
        <f t="shared" si="98"/>
        <v>0.48069827777270774</v>
      </c>
      <c r="GP47" s="128">
        <f t="shared" si="99"/>
        <v>0.52201823083836174</v>
      </c>
      <c r="GQ47" s="129">
        <f t="shared" si="100"/>
        <v>0.43145669460519764</v>
      </c>
      <c r="GR47" s="129">
        <f t="shared" si="101"/>
        <v>0.40917197150743956</v>
      </c>
    </row>
    <row r="48" spans="1:200" x14ac:dyDescent="0.25">
      <c r="A48" s="42">
        <v>207</v>
      </c>
      <c r="B48" s="81">
        <v>756</v>
      </c>
      <c r="C48" s="81">
        <v>1203</v>
      </c>
      <c r="D48" s="81">
        <v>727</v>
      </c>
      <c r="E48" s="81">
        <v>1</v>
      </c>
      <c r="F48" s="81">
        <v>113</v>
      </c>
      <c r="G48" s="81">
        <v>324</v>
      </c>
      <c r="H48" s="81">
        <v>261</v>
      </c>
      <c r="I48" s="81">
        <v>395</v>
      </c>
      <c r="J48" s="81">
        <v>55</v>
      </c>
      <c r="K48" s="81">
        <v>14</v>
      </c>
      <c r="L48" s="81">
        <v>2210</v>
      </c>
      <c r="M48" s="81">
        <v>3841</v>
      </c>
      <c r="N48" s="81">
        <v>1233</v>
      </c>
      <c r="O48" s="81">
        <v>460</v>
      </c>
      <c r="P48" s="81">
        <v>187</v>
      </c>
      <c r="Q48" s="81">
        <v>1187</v>
      </c>
      <c r="R48" s="81">
        <v>1065</v>
      </c>
      <c r="S48" s="81">
        <v>534</v>
      </c>
      <c r="T48" s="81">
        <v>782</v>
      </c>
      <c r="V48" s="81">
        <v>603</v>
      </c>
      <c r="W48" s="81">
        <v>53</v>
      </c>
      <c r="X48" s="81">
        <v>41</v>
      </c>
      <c r="Y48" s="81">
        <v>225</v>
      </c>
      <c r="Z48" s="81">
        <v>1695</v>
      </c>
      <c r="AA48" s="81">
        <v>116</v>
      </c>
      <c r="AB48" s="81">
        <v>571</v>
      </c>
      <c r="AC48" s="81">
        <v>1956</v>
      </c>
      <c r="AD48" s="81">
        <v>2657</v>
      </c>
      <c r="AE48" s="81">
        <v>10</v>
      </c>
      <c r="AF48" s="84">
        <v>308</v>
      </c>
      <c r="AG48" s="84">
        <v>11</v>
      </c>
      <c r="AH48" s="84">
        <v>646</v>
      </c>
      <c r="AI48" s="83">
        <v>589</v>
      </c>
      <c r="AJ48" s="83">
        <v>643</v>
      </c>
      <c r="AK48" s="83">
        <v>282</v>
      </c>
      <c r="AL48" s="81">
        <v>543</v>
      </c>
      <c r="AM48" s="90">
        <v>462</v>
      </c>
      <c r="AN48" s="90">
        <v>47</v>
      </c>
      <c r="AO48" s="90">
        <v>7699</v>
      </c>
      <c r="AP48" s="81">
        <v>1218</v>
      </c>
      <c r="AQ48" s="81">
        <v>213</v>
      </c>
      <c r="AR48" s="81">
        <v>861</v>
      </c>
      <c r="AS48" s="81">
        <v>4850</v>
      </c>
      <c r="AT48" s="81">
        <v>1214</v>
      </c>
      <c r="AU48" s="81">
        <v>2719</v>
      </c>
      <c r="AV48" s="71">
        <f t="shared" si="113"/>
        <v>1982.6</v>
      </c>
      <c r="AW48" s="71">
        <f t="shared" si="102"/>
        <v>38164.193253968253</v>
      </c>
      <c r="AY48" s="42">
        <v>207</v>
      </c>
      <c r="AZ48" s="48">
        <f t="shared" si="154"/>
        <v>3.2954099646920358E-2</v>
      </c>
      <c r="BA48" s="48">
        <f t="shared" si="1"/>
        <v>6.2826404846459155E-2</v>
      </c>
      <c r="BB48" s="48">
        <f t="shared" si="2"/>
        <v>3.1778642304497964E-2</v>
      </c>
      <c r="BC48" s="48">
        <f t="shared" si="3"/>
        <v>2.3255813953488372E-3</v>
      </c>
      <c r="BD48" s="48">
        <f t="shared" si="4"/>
        <v>4.4752475247524751E-2</v>
      </c>
      <c r="BE48" s="48">
        <f t="shared" si="5"/>
        <v>2.8100607111882048E-2</v>
      </c>
      <c r="BF48" s="48">
        <f t="shared" si="6"/>
        <v>2.4463398631549348E-2</v>
      </c>
      <c r="BG48" s="48">
        <f t="shared" si="7"/>
        <v>4.1958784788612702E-2</v>
      </c>
      <c r="BH48" s="48">
        <f t="shared" si="8"/>
        <v>4.2340261739799842E-3</v>
      </c>
      <c r="BI48" s="48">
        <f t="shared" si="9"/>
        <v>7.4152542372881358E-3</v>
      </c>
      <c r="BJ48" s="48">
        <f t="shared" si="10"/>
        <v>7.7086748753008472E-2</v>
      </c>
      <c r="BK48" s="48">
        <f t="shared" si="11"/>
        <v>5.2966890522222372E-2</v>
      </c>
      <c r="BL48" s="48">
        <f t="shared" si="12"/>
        <v>2.7376273895956836E-2</v>
      </c>
      <c r="BM48" s="48">
        <f t="shared" si="13"/>
        <v>4.4961391848304173E-2</v>
      </c>
      <c r="BN48" s="48">
        <f t="shared" si="14"/>
        <v>7.5687052252398105E-3</v>
      </c>
      <c r="BO48" s="48">
        <f t="shared" si="15"/>
        <v>3.0268257853937167E-2</v>
      </c>
      <c r="BP48" s="48">
        <f t="shared" si="16"/>
        <v>3.1125789104512507E-2</v>
      </c>
      <c r="BQ48" s="48">
        <f t="shared" si="17"/>
        <v>2.8518024032042722E-2</v>
      </c>
      <c r="BR48" s="48">
        <f t="shared" si="18"/>
        <v>2.7802467380097416E-2</v>
      </c>
      <c r="BS48" s="48"/>
      <c r="BT48" s="48">
        <f t="shared" si="19"/>
        <v>1.0492613408968314E-2</v>
      </c>
      <c r="BU48" s="48">
        <f t="shared" si="20"/>
        <v>1.7978290366350069E-2</v>
      </c>
      <c r="BV48" s="48">
        <f t="shared" si="21"/>
        <v>1.1199125921879268E-2</v>
      </c>
      <c r="BW48" s="48">
        <f t="shared" si="22"/>
        <v>9.4046059287994418E-3</v>
      </c>
      <c r="BX48" s="48">
        <f t="shared" si="23"/>
        <v>2.4263158648134098E-2</v>
      </c>
      <c r="BY48" s="48">
        <f t="shared" si="24"/>
        <v>1.5055354384871965E-3</v>
      </c>
      <c r="BZ48" s="48">
        <f t="shared" si="25"/>
        <v>8.7114392945412383E-3</v>
      </c>
      <c r="CA48" s="48">
        <f t="shared" si="26"/>
        <v>1.9353498174478317E-2</v>
      </c>
      <c r="CB48" s="48">
        <f t="shared" si="27"/>
        <v>3.9830305210769322E-2</v>
      </c>
      <c r="CC48" s="48">
        <f t="shared" si="28"/>
        <v>9.9790440075840734E-4</v>
      </c>
      <c r="CD48" s="48">
        <f t="shared" si="29"/>
        <v>2.4634087818923459E-2</v>
      </c>
      <c r="CE48" s="48">
        <f t="shared" si="30"/>
        <v>6.459189665296535E-4</v>
      </c>
      <c r="CF48" s="48">
        <f t="shared" si="31"/>
        <v>2.8673890769832861E-2</v>
      </c>
      <c r="CG48" s="48">
        <f t="shared" si="32"/>
        <v>1.462554628526023E-2</v>
      </c>
      <c r="CH48" s="48">
        <f t="shared" si="33"/>
        <v>1.3297487333264399E-2</v>
      </c>
      <c r="CI48" s="48">
        <f t="shared" si="34"/>
        <v>1.4472367277856692E-2</v>
      </c>
      <c r="CJ48" s="48">
        <f t="shared" si="35"/>
        <v>4.0105161575593858E-2</v>
      </c>
      <c r="CK48" s="48">
        <f t="shared" si="36"/>
        <v>2.0485079590298407E-2</v>
      </c>
      <c r="CL48" s="48">
        <f t="shared" si="37"/>
        <v>8.4842139466036063E-4</v>
      </c>
      <c r="CM48" s="48">
        <f t="shared" si="61"/>
        <v>0.10632656161526882</v>
      </c>
      <c r="CN48" s="48">
        <f t="shared" si="62"/>
        <v>2.0607044970053803E-2</v>
      </c>
      <c r="CO48" s="48">
        <f t="shared" si="174"/>
        <v>5.1587589914989466E-3</v>
      </c>
      <c r="CP48" s="48">
        <f t="shared" si="64"/>
        <v>1.434904339710686E-2</v>
      </c>
      <c r="CQ48" s="48">
        <f t="shared" si="112"/>
        <v>5.6536690563618347E-2</v>
      </c>
      <c r="CR48" s="48">
        <f t="shared" si="65"/>
        <v>7.9136409266912632E-3</v>
      </c>
      <c r="CS48" s="48">
        <f t="shared" si="66"/>
        <v>1.2928964398986225E-2</v>
      </c>
      <c r="CT48" s="68">
        <f t="shared" si="67"/>
        <v>0.45998263134757539</v>
      </c>
      <c r="CU48" s="68">
        <f t="shared" si="68"/>
        <v>0.43365841632389734</v>
      </c>
      <c r="CW48" s="42">
        <v>207</v>
      </c>
      <c r="CX48" s="58">
        <f t="shared" si="128"/>
        <v>11965</v>
      </c>
      <c r="CY48" s="58">
        <f t="shared" si="129"/>
        <v>12676</v>
      </c>
      <c r="CZ48" s="58">
        <f t="shared" si="130"/>
        <v>17814</v>
      </c>
      <c r="DA48" s="58">
        <f t="shared" si="131"/>
        <v>194</v>
      </c>
      <c r="DB48" s="58">
        <f t="shared" si="132"/>
        <v>1054</v>
      </c>
      <c r="DC48" s="58">
        <f t="shared" si="133"/>
        <v>5685</v>
      </c>
      <c r="DD48" s="58">
        <f t="shared" si="134"/>
        <v>3142</v>
      </c>
      <c r="DE48" s="58">
        <f t="shared" si="135"/>
        <v>4478</v>
      </c>
      <c r="DF48" s="58">
        <f t="shared" si="136"/>
        <v>4054</v>
      </c>
      <c r="DG48" s="58">
        <f t="shared" si="137"/>
        <v>14</v>
      </c>
      <c r="DH48" s="58">
        <f t="shared" si="138"/>
        <v>14780</v>
      </c>
      <c r="DI48" s="58">
        <f t="shared" si="139"/>
        <v>29985</v>
      </c>
      <c r="DJ48" s="58">
        <f t="shared" si="140"/>
        <v>19015</v>
      </c>
      <c r="DK48" s="58">
        <f t="shared" si="141"/>
        <v>3587</v>
      </c>
      <c r="DL48" s="58">
        <f t="shared" si="142"/>
        <v>12900</v>
      </c>
      <c r="DM48" s="58">
        <f t="shared" si="143"/>
        <v>19725</v>
      </c>
      <c r="DN48" s="58">
        <f t="shared" si="144"/>
        <v>14180</v>
      </c>
      <c r="DO48" s="58">
        <f t="shared" si="145"/>
        <v>6635</v>
      </c>
      <c r="DP48" s="58">
        <f t="shared" si="146"/>
        <v>12941</v>
      </c>
      <c r="DQ48" s="58"/>
      <c r="DR48" s="58">
        <f t="shared" si="147"/>
        <v>21305</v>
      </c>
      <c r="DS48" s="58">
        <f t="shared" si="148"/>
        <v>1182</v>
      </c>
      <c r="DT48" s="58">
        <f t="shared" si="149"/>
        <v>2462</v>
      </c>
      <c r="DU48" s="58">
        <f t="shared" si="150"/>
        <v>14056</v>
      </c>
      <c r="DV48" s="58">
        <f t="shared" si="151"/>
        <v>23333</v>
      </c>
      <c r="DW48" s="58">
        <f t="shared" si="152"/>
        <v>25311</v>
      </c>
      <c r="DX48" s="58">
        <f t="shared" si="153"/>
        <v>16615</v>
      </c>
      <c r="DY48" s="58">
        <f t="shared" si="115"/>
        <v>46838</v>
      </c>
      <c r="DZ48" s="58">
        <f t="shared" si="116"/>
        <v>25471</v>
      </c>
      <c r="EA48" s="58">
        <f t="shared" si="117"/>
        <v>4423</v>
      </c>
      <c r="EB48" s="58">
        <f t="shared" si="118"/>
        <v>6716</v>
      </c>
      <c r="EC48" s="58">
        <f t="shared" si="119"/>
        <v>8033</v>
      </c>
      <c r="ED48" s="58">
        <f t="shared" si="120"/>
        <v>6303</v>
      </c>
      <c r="EE48" s="108">
        <f t="shared" si="121"/>
        <v>20140</v>
      </c>
      <c r="EF48" s="58">
        <f t="shared" si="122"/>
        <v>28079</v>
      </c>
      <c r="EG48" s="58">
        <f t="shared" si="123"/>
        <v>12091</v>
      </c>
      <c r="EH48" s="58">
        <f t="shared" si="124"/>
        <v>4906</v>
      </c>
      <c r="EI48" s="108">
        <f t="shared" si="125"/>
        <v>11083</v>
      </c>
      <c r="EJ48" s="58">
        <f t="shared" si="198"/>
        <v>21417</v>
      </c>
      <c r="EK48" s="58">
        <f t="shared" si="199"/>
        <v>40692</v>
      </c>
      <c r="EL48" s="58">
        <f t="shared" si="105"/>
        <v>29313</v>
      </c>
      <c r="EM48" s="58">
        <f t="shared" si="106"/>
        <v>12024</v>
      </c>
      <c r="EN48" s="58">
        <f t="shared" si="107"/>
        <v>23540</v>
      </c>
      <c r="EO48" s="58">
        <f t="shared" si="108"/>
        <v>50995</v>
      </c>
      <c r="EP48" s="58">
        <f t="shared" si="109"/>
        <v>74956</v>
      </c>
      <c r="EQ48" s="58">
        <f t="shared" si="110"/>
        <v>112501</v>
      </c>
      <c r="ER48" s="67">
        <f t="shared" si="72"/>
        <v>38142.699999999997</v>
      </c>
      <c r="ES48" s="67">
        <f t="shared" si="73"/>
        <v>19413.658536585364</v>
      </c>
      <c r="EV48" s="42">
        <v>207</v>
      </c>
      <c r="EW48" s="130">
        <f t="shared" si="155"/>
        <v>0.52155529401508216</v>
      </c>
      <c r="EX48" s="128">
        <f t="shared" si="156"/>
        <v>0.66200125339461036</v>
      </c>
      <c r="EY48" s="128">
        <f t="shared" si="157"/>
        <v>0.77868601652314551</v>
      </c>
      <c r="EZ48" s="128">
        <f t="shared" si="158"/>
        <v>0.4511627906976744</v>
      </c>
      <c r="FA48" s="128">
        <f t="shared" si="159"/>
        <v>0.41742574257425741</v>
      </c>
      <c r="FB48" s="128">
        <f t="shared" si="160"/>
        <v>0.49306157849089333</v>
      </c>
      <c r="FC48" s="128">
        <f t="shared" si="161"/>
        <v>0.29449807854531823</v>
      </c>
      <c r="FD48" s="128">
        <f t="shared" si="162"/>
        <v>0.47567452729976628</v>
      </c>
      <c r="FE48" s="128">
        <f t="shared" si="163"/>
        <v>0.31208622016936105</v>
      </c>
      <c r="FF48" s="128">
        <f t="shared" si="164"/>
        <v>7.4152542372881358E-3</v>
      </c>
      <c r="FG48" s="130">
        <f t="shared" si="165"/>
        <v>0.5155394328368621</v>
      </c>
      <c r="FH48" s="128">
        <f t="shared" si="166"/>
        <v>0.413489250796365</v>
      </c>
      <c r="FI48" s="128">
        <f t="shared" si="167"/>
        <v>0.42218965785208373</v>
      </c>
      <c r="FJ48" s="128">
        <f t="shared" si="168"/>
        <v>0.3506011142605806</v>
      </c>
      <c r="FK48" s="128">
        <f t="shared" si="169"/>
        <v>0.5221192374630671</v>
      </c>
      <c r="FL48" s="130">
        <f t="shared" si="170"/>
        <v>0.50298347613219097</v>
      </c>
      <c r="FM48" s="128">
        <f t="shared" si="171"/>
        <v>0.41442599953238252</v>
      </c>
      <c r="FN48" s="128">
        <f t="shared" si="172"/>
        <v>0.35433911882510011</v>
      </c>
      <c r="FO48" s="128">
        <f t="shared" si="173"/>
        <v>0.46009172681053789</v>
      </c>
      <c r="FP48" s="128"/>
      <c r="FQ48" s="128">
        <f t="shared" si="175"/>
        <v>0.37072160643129337</v>
      </c>
      <c r="FR48" s="128">
        <f t="shared" si="176"/>
        <v>0.40094979647218454</v>
      </c>
      <c r="FS48" s="128">
        <f t="shared" si="177"/>
        <v>0.67249385413821361</v>
      </c>
      <c r="FT48" s="128">
        <f t="shared" si="178"/>
        <v>0.58751618193424415</v>
      </c>
      <c r="FU48" s="128">
        <f t="shared" si="179"/>
        <v>0.33400134556750027</v>
      </c>
      <c r="FV48" s="128">
        <f t="shared" si="180"/>
        <v>0.32850523692715028</v>
      </c>
      <c r="FW48" s="128">
        <f t="shared" si="181"/>
        <v>0.25348610136392763</v>
      </c>
      <c r="FX48" s="128">
        <f t="shared" si="182"/>
        <v>0.46343514698170518</v>
      </c>
      <c r="FY48" s="128">
        <f t="shared" si="183"/>
        <v>0.38182826647478563</v>
      </c>
      <c r="FZ48" s="128">
        <f t="shared" si="184"/>
        <v>0.44137311645544358</v>
      </c>
      <c r="GA48" s="128">
        <f t="shared" si="185"/>
        <v>0.53715108373990239</v>
      </c>
      <c r="GB48" s="128">
        <f t="shared" si="186"/>
        <v>0.47169700528479153</v>
      </c>
      <c r="GC48" s="128">
        <f t="shared" si="187"/>
        <v>0.27977017573104729</v>
      </c>
      <c r="GD48" s="130">
        <f t="shared" si="188"/>
        <v>0.50009932459276918</v>
      </c>
      <c r="GE48" s="128">
        <f t="shared" si="189"/>
        <v>0.58068452073208565</v>
      </c>
      <c r="GF48" s="128">
        <f t="shared" si="190"/>
        <v>0.62051557715094063</v>
      </c>
      <c r="GG48" s="128">
        <f t="shared" si="191"/>
        <v>0.36234976554302667</v>
      </c>
      <c r="GH48" s="128">
        <f t="shared" si="192"/>
        <v>0.49142021017159582</v>
      </c>
      <c r="GI48" s="128">
        <f t="shared" si="193"/>
        <v>0.38660938317959459</v>
      </c>
      <c r="GJ48" s="130">
        <f t="shared" si="194"/>
        <v>0.56197434020632797</v>
      </c>
      <c r="GK48" s="130">
        <f t="shared" si="195"/>
        <v>0.49593949852806823</v>
      </c>
      <c r="GL48" s="128">
        <f t="shared" si="196"/>
        <v>0.29121557799898279</v>
      </c>
      <c r="GM48" s="128">
        <f t="shared" si="197"/>
        <v>0.39230717952136523</v>
      </c>
      <c r="GN48" s="128">
        <f t="shared" si="97"/>
        <v>0.59445124439004493</v>
      </c>
      <c r="GO48" s="128">
        <f t="shared" si="98"/>
        <v>0.48861191869939896</v>
      </c>
      <c r="GP48" s="128">
        <f t="shared" si="99"/>
        <v>0.53494719523734802</v>
      </c>
      <c r="GQ48" s="129">
        <f t="shared" si="100"/>
        <v>0.45998263134757533</v>
      </c>
      <c r="GR48" s="129">
        <f t="shared" si="101"/>
        <v>0.43365841632389734</v>
      </c>
    </row>
    <row r="49" spans="1:200" x14ac:dyDescent="0.25">
      <c r="A49" s="42">
        <v>208</v>
      </c>
      <c r="B49" s="81">
        <v>727</v>
      </c>
      <c r="C49" s="81">
        <v>1003</v>
      </c>
      <c r="D49" s="81">
        <v>435</v>
      </c>
      <c r="E49" s="81">
        <v>0</v>
      </c>
      <c r="F49" s="81">
        <v>44</v>
      </c>
      <c r="G49" s="81">
        <v>92</v>
      </c>
      <c r="H49" s="81">
        <v>202</v>
      </c>
      <c r="I49" s="81">
        <v>199</v>
      </c>
      <c r="J49" s="81">
        <v>130</v>
      </c>
      <c r="K49" s="81">
        <v>124</v>
      </c>
      <c r="L49" s="81">
        <v>1908</v>
      </c>
      <c r="M49" s="81">
        <v>1493</v>
      </c>
      <c r="N49" s="81">
        <v>735</v>
      </c>
      <c r="O49" s="81">
        <v>286</v>
      </c>
      <c r="P49" s="81">
        <v>708</v>
      </c>
      <c r="Q49" s="81">
        <v>317</v>
      </c>
      <c r="R49" s="81">
        <v>1136</v>
      </c>
      <c r="S49" s="81">
        <v>938</v>
      </c>
      <c r="T49" s="81">
        <v>174</v>
      </c>
      <c r="V49" s="81">
        <v>581</v>
      </c>
      <c r="W49" s="81">
        <v>242</v>
      </c>
      <c r="X49" s="81">
        <v>31</v>
      </c>
      <c r="Y49" s="81">
        <v>683</v>
      </c>
      <c r="Z49" s="81">
        <v>881</v>
      </c>
      <c r="AA49" s="81">
        <v>1443</v>
      </c>
      <c r="AB49" s="81">
        <v>654</v>
      </c>
      <c r="AC49" s="81">
        <v>6318</v>
      </c>
      <c r="AD49" s="81">
        <v>1480</v>
      </c>
      <c r="AE49" s="81">
        <v>51</v>
      </c>
      <c r="AF49" s="84">
        <v>168</v>
      </c>
      <c r="AG49" s="84">
        <v>0</v>
      </c>
      <c r="AH49" s="84">
        <v>963</v>
      </c>
      <c r="AI49" s="83">
        <v>954</v>
      </c>
      <c r="AJ49" s="83">
        <v>2498</v>
      </c>
      <c r="AK49" s="83">
        <v>541</v>
      </c>
      <c r="AL49" s="81">
        <v>361</v>
      </c>
      <c r="AM49" s="86">
        <v>1817</v>
      </c>
      <c r="AN49" s="86">
        <v>419</v>
      </c>
      <c r="AO49" s="86">
        <v>1769</v>
      </c>
      <c r="AP49" s="126">
        <v>435</v>
      </c>
      <c r="AQ49" s="126">
        <v>3665</v>
      </c>
      <c r="AR49" s="126">
        <v>254</v>
      </c>
      <c r="AS49" s="126">
        <v>734</v>
      </c>
      <c r="AT49" s="126">
        <v>926</v>
      </c>
      <c r="AU49" s="126">
        <v>1177</v>
      </c>
      <c r="AV49" s="71">
        <f t="shared" si="113"/>
        <v>1155.7</v>
      </c>
      <c r="AW49" s="71">
        <f t="shared" si="102"/>
        <v>39319.89325396825</v>
      </c>
      <c r="AY49" s="42">
        <v>208</v>
      </c>
      <c r="AZ49" s="48">
        <f t="shared" si="154"/>
        <v>3.1689987358877118E-2</v>
      </c>
      <c r="BA49" s="48">
        <f t="shared" si="1"/>
        <v>5.2381449759766031E-2</v>
      </c>
      <c r="BB49" s="48">
        <f t="shared" si="2"/>
        <v>1.9014730952485029E-2</v>
      </c>
      <c r="BC49" s="48">
        <f t="shared" si="3"/>
        <v>0</v>
      </c>
      <c r="BD49" s="48">
        <f t="shared" si="4"/>
        <v>1.7425742574257427E-2</v>
      </c>
      <c r="BE49" s="48">
        <f t="shared" si="5"/>
        <v>7.9791847354726796E-3</v>
      </c>
      <c r="BF49" s="48">
        <f t="shared" si="6"/>
        <v>1.893335832786578E-2</v>
      </c>
      <c r="BG49" s="48">
        <f t="shared" si="7"/>
        <v>2.1138729551731465E-2</v>
      </c>
      <c r="BH49" s="48">
        <f t="shared" si="8"/>
        <v>1.0007698229407237E-2</v>
      </c>
      <c r="BI49" s="48">
        <f t="shared" si="9"/>
        <v>6.5677966101694921E-2</v>
      </c>
      <c r="BJ49" s="48">
        <f t="shared" si="10"/>
        <v>6.6552722452823607E-2</v>
      </c>
      <c r="BK49" s="48">
        <f t="shared" si="11"/>
        <v>2.0588275852558711E-2</v>
      </c>
      <c r="BL49" s="48">
        <f t="shared" si="12"/>
        <v>1.6319190035302737E-2</v>
      </c>
      <c r="BM49" s="48">
        <f t="shared" si="13"/>
        <v>2.795425667090216E-2</v>
      </c>
      <c r="BN49" s="48">
        <f t="shared" si="14"/>
        <v>2.8655846521228802E-2</v>
      </c>
      <c r="BO49" s="48">
        <f t="shared" si="15"/>
        <v>8.08343533251734E-3</v>
      </c>
      <c r="BP49" s="48">
        <f t="shared" si="16"/>
        <v>3.3200841711480009E-2</v>
      </c>
      <c r="BQ49" s="48">
        <f t="shared" si="17"/>
        <v>5.0093457943925231E-2</v>
      </c>
      <c r="BR49" s="48">
        <f t="shared" si="18"/>
        <v>6.1862267572083763E-3</v>
      </c>
      <c r="BS49" s="48"/>
      <c r="BT49" s="48">
        <f t="shared" si="19"/>
        <v>1.0109798326054046E-2</v>
      </c>
      <c r="BU49" s="48">
        <f t="shared" si="20"/>
        <v>8.2089552238805971E-2</v>
      </c>
      <c r="BV49" s="48">
        <f t="shared" si="21"/>
        <v>8.4676317945916423E-3</v>
      </c>
      <c r="BW49" s="48">
        <f t="shared" si="22"/>
        <v>2.8548203774977857E-2</v>
      </c>
      <c r="BX49" s="48">
        <f t="shared" si="23"/>
        <v>1.2611116677879728E-2</v>
      </c>
      <c r="BY49" s="48">
        <f t="shared" si="24"/>
        <v>1.872834170462952E-2</v>
      </c>
      <c r="BZ49" s="48">
        <f t="shared" si="25"/>
        <v>9.9777255667775309E-3</v>
      </c>
      <c r="CA49" s="48">
        <f t="shared" si="26"/>
        <v>6.2512986434741305E-2</v>
      </c>
      <c r="CB49" s="48">
        <f t="shared" si="27"/>
        <v>2.2186244528392397E-2</v>
      </c>
      <c r="CC49" s="48">
        <f t="shared" si="28"/>
        <v>5.0893124438678777E-3</v>
      </c>
      <c r="CD49" s="48">
        <f t="shared" si="29"/>
        <v>1.343677517395825E-2</v>
      </c>
      <c r="CE49" s="48">
        <f t="shared" si="30"/>
        <v>0</v>
      </c>
      <c r="CF49" s="48">
        <f t="shared" si="31"/>
        <v>4.2744515187846825E-2</v>
      </c>
      <c r="CG49" s="48">
        <f t="shared" si="32"/>
        <v>2.368891537544696E-2</v>
      </c>
      <c r="CH49" s="48">
        <f t="shared" si="33"/>
        <v>5.1659600868576155E-2</v>
      </c>
      <c r="CI49" s="48">
        <f t="shared" si="34"/>
        <v>2.7764364174895285E-2</v>
      </c>
      <c r="CJ49" s="48">
        <f t="shared" si="35"/>
        <v>2.6662915890956509E-2</v>
      </c>
      <c r="CK49" s="48">
        <f t="shared" si="36"/>
        <v>8.0565778388684436E-2</v>
      </c>
      <c r="CL49" s="48">
        <f t="shared" si="37"/>
        <v>7.5635864758019384E-3</v>
      </c>
      <c r="CM49" s="48">
        <f t="shared" si="61"/>
        <v>2.4430664696377523E-2</v>
      </c>
      <c r="CN49" s="48">
        <f t="shared" si="62"/>
        <v>7.3596589178763581E-3</v>
      </c>
      <c r="CO49" s="48">
        <f t="shared" si="174"/>
        <v>8.8764561989876242E-2</v>
      </c>
      <c r="CP49" s="48">
        <f t="shared" si="64"/>
        <v>4.2330511299246715E-3</v>
      </c>
      <c r="CQ49" s="48">
        <f t="shared" si="112"/>
        <v>8.5562744069476015E-3</v>
      </c>
      <c r="CR49" s="48">
        <f t="shared" si="65"/>
        <v>6.0362697678056918E-3</v>
      </c>
      <c r="CS49" s="48">
        <f t="shared" si="66"/>
        <v>5.5966866854015394E-3</v>
      </c>
      <c r="CT49" s="68">
        <f t="shared" si="67"/>
        <v>0.48595957618254065</v>
      </c>
      <c r="CU49" s="68">
        <f t="shared" si="68"/>
        <v>0.45995552523656735</v>
      </c>
      <c r="CW49" s="42">
        <v>208</v>
      </c>
      <c r="CX49" s="58">
        <f t="shared" si="128"/>
        <v>12692</v>
      </c>
      <c r="CY49" s="58">
        <f t="shared" si="129"/>
        <v>13679</v>
      </c>
      <c r="CZ49" s="58">
        <f t="shared" si="130"/>
        <v>18249</v>
      </c>
      <c r="DA49" s="58">
        <f t="shared" si="131"/>
        <v>194</v>
      </c>
      <c r="DB49" s="58">
        <f t="shared" si="132"/>
        <v>1098</v>
      </c>
      <c r="DC49" s="58">
        <f t="shared" si="133"/>
        <v>5777</v>
      </c>
      <c r="DD49" s="58">
        <f t="shared" si="134"/>
        <v>3344</v>
      </c>
      <c r="DE49" s="58">
        <f t="shared" si="135"/>
        <v>4677</v>
      </c>
      <c r="DF49" s="58">
        <f t="shared" si="136"/>
        <v>4184</v>
      </c>
      <c r="DG49" s="58">
        <f t="shared" si="137"/>
        <v>138</v>
      </c>
      <c r="DH49" s="58">
        <f t="shared" si="138"/>
        <v>16688</v>
      </c>
      <c r="DI49" s="58">
        <f t="shared" si="139"/>
        <v>31478</v>
      </c>
      <c r="DJ49" s="58">
        <f t="shared" si="140"/>
        <v>19750</v>
      </c>
      <c r="DK49" s="58">
        <f t="shared" si="141"/>
        <v>3873</v>
      </c>
      <c r="DL49" s="58">
        <f t="shared" si="142"/>
        <v>13608</v>
      </c>
      <c r="DM49" s="58">
        <f t="shared" si="143"/>
        <v>20042</v>
      </c>
      <c r="DN49" s="58">
        <f t="shared" si="144"/>
        <v>15316</v>
      </c>
      <c r="DO49" s="58">
        <f t="shared" si="145"/>
        <v>7573</v>
      </c>
      <c r="DP49" s="58">
        <f t="shared" si="146"/>
        <v>13115</v>
      </c>
      <c r="DQ49" s="58"/>
      <c r="DR49" s="58">
        <f t="shared" si="147"/>
        <v>21886</v>
      </c>
      <c r="DS49" s="58">
        <f t="shared" si="148"/>
        <v>1424</v>
      </c>
      <c r="DT49" s="58">
        <f t="shared" si="149"/>
        <v>2493</v>
      </c>
      <c r="DU49" s="58">
        <f t="shared" si="150"/>
        <v>14739</v>
      </c>
      <c r="DV49" s="58">
        <f t="shared" si="151"/>
        <v>24214</v>
      </c>
      <c r="DW49" s="58">
        <f t="shared" si="152"/>
        <v>26754</v>
      </c>
      <c r="DX49" s="58">
        <f t="shared" si="153"/>
        <v>17269</v>
      </c>
      <c r="DY49" s="58">
        <f t="shared" si="115"/>
        <v>53156</v>
      </c>
      <c r="DZ49" s="58">
        <f t="shared" si="116"/>
        <v>26951</v>
      </c>
      <c r="EA49" s="58">
        <f t="shared" si="117"/>
        <v>4474</v>
      </c>
      <c r="EB49" s="58">
        <f t="shared" si="118"/>
        <v>6884</v>
      </c>
      <c r="EC49" s="108">
        <f t="shared" si="119"/>
        <v>8033</v>
      </c>
      <c r="ED49" s="58">
        <f t="shared" si="120"/>
        <v>7266</v>
      </c>
      <c r="EE49" s="58">
        <f t="shared" si="121"/>
        <v>21094</v>
      </c>
      <c r="EF49" s="58">
        <f t="shared" si="122"/>
        <v>30577</v>
      </c>
      <c r="EG49" s="58">
        <f t="shared" si="123"/>
        <v>12632</v>
      </c>
      <c r="EH49" s="58">
        <f t="shared" si="124"/>
        <v>5267</v>
      </c>
      <c r="EI49" s="58">
        <f t="shared" si="125"/>
        <v>12900</v>
      </c>
      <c r="EJ49" s="58">
        <f t="shared" si="198"/>
        <v>21836</v>
      </c>
      <c r="EK49" s="58">
        <f t="shared" si="199"/>
        <v>42461</v>
      </c>
      <c r="EL49" s="58">
        <f t="shared" si="105"/>
        <v>29748</v>
      </c>
      <c r="EM49" s="58">
        <f t="shared" si="106"/>
        <v>15689</v>
      </c>
      <c r="EN49" s="58">
        <f t="shared" si="107"/>
        <v>23794</v>
      </c>
      <c r="EO49" s="58">
        <f t="shared" si="108"/>
        <v>51729</v>
      </c>
      <c r="EP49" s="58">
        <f t="shared" si="109"/>
        <v>75882</v>
      </c>
      <c r="EQ49" s="58">
        <f t="shared" si="110"/>
        <v>113678</v>
      </c>
      <c r="ER49" s="67">
        <f t="shared" si="72"/>
        <v>39298.400000000001</v>
      </c>
      <c r="ES49" s="67">
        <f t="shared" si="73"/>
        <v>20329.048780487807</v>
      </c>
      <c r="EV49" s="42">
        <v>208</v>
      </c>
      <c r="EW49" s="128">
        <f t="shared" si="155"/>
        <v>0.55324528137395934</v>
      </c>
      <c r="EX49" s="128">
        <f t="shared" si="156"/>
        <v>0.71438270315437646</v>
      </c>
      <c r="EY49" s="128">
        <f t="shared" si="157"/>
        <v>0.79770074747563058</v>
      </c>
      <c r="EZ49" s="128">
        <f t="shared" si="158"/>
        <v>0.4511627906976744</v>
      </c>
      <c r="FA49" s="128">
        <f t="shared" si="159"/>
        <v>0.43485148514851485</v>
      </c>
      <c r="FB49" s="130">
        <f t="shared" si="160"/>
        <v>0.50104076322636604</v>
      </c>
      <c r="FC49" s="128">
        <f t="shared" si="161"/>
        <v>0.31343143687318398</v>
      </c>
      <c r="FD49" s="130">
        <f t="shared" si="162"/>
        <v>0.49681325685149774</v>
      </c>
      <c r="FE49" s="128">
        <f t="shared" si="163"/>
        <v>0.32209391839876828</v>
      </c>
      <c r="FF49" s="128">
        <f t="shared" si="164"/>
        <v>7.309322033898305E-2</v>
      </c>
      <c r="FG49" s="128">
        <f t="shared" si="165"/>
        <v>0.58209215528968572</v>
      </c>
      <c r="FH49" s="128">
        <f t="shared" si="166"/>
        <v>0.43407752664892368</v>
      </c>
      <c r="FI49" s="128">
        <f t="shared" si="167"/>
        <v>0.43850884788738648</v>
      </c>
      <c r="FJ49" s="128">
        <f t="shared" si="168"/>
        <v>0.37855537093148273</v>
      </c>
      <c r="FK49" s="128">
        <f t="shared" si="169"/>
        <v>0.55077508398429598</v>
      </c>
      <c r="FL49" s="128">
        <f t="shared" si="170"/>
        <v>0.51106691146470828</v>
      </c>
      <c r="FM49" s="128">
        <f t="shared" si="171"/>
        <v>0.44762684124386254</v>
      </c>
      <c r="FN49" s="128">
        <f t="shared" si="172"/>
        <v>0.40443257676902539</v>
      </c>
      <c r="FO49" s="128">
        <f t="shared" si="173"/>
        <v>0.46627795356774632</v>
      </c>
      <c r="FP49" s="128"/>
      <c r="FQ49" s="128">
        <f t="shared" si="175"/>
        <v>0.38083140475734745</v>
      </c>
      <c r="FR49" s="128">
        <f t="shared" si="176"/>
        <v>0.48303934871099052</v>
      </c>
      <c r="FS49" s="128">
        <f t="shared" si="177"/>
        <v>0.68096148593280525</v>
      </c>
      <c r="FT49" s="128">
        <f t="shared" si="178"/>
        <v>0.61606438570922206</v>
      </c>
      <c r="FU49" s="128">
        <f t="shared" si="179"/>
        <v>0.34661246224538</v>
      </c>
      <c r="FV49" s="128">
        <f t="shared" si="180"/>
        <v>0.34723357863177978</v>
      </c>
      <c r="FW49" s="128">
        <f t="shared" si="181"/>
        <v>0.26346382693070514</v>
      </c>
      <c r="FX49" s="130">
        <f t="shared" si="182"/>
        <v>0.52594813341644653</v>
      </c>
      <c r="FY49" s="128">
        <f t="shared" si="183"/>
        <v>0.40401451100317803</v>
      </c>
      <c r="FZ49" s="128">
        <f t="shared" si="184"/>
        <v>0.44646242889931143</v>
      </c>
      <c r="GA49" s="128">
        <f t="shared" si="185"/>
        <v>0.55058785891386064</v>
      </c>
      <c r="GB49" s="128">
        <f t="shared" si="186"/>
        <v>0.47169700528479153</v>
      </c>
      <c r="GC49" s="128">
        <f t="shared" si="187"/>
        <v>0.32251469091889406</v>
      </c>
      <c r="GD49" s="128">
        <f t="shared" si="188"/>
        <v>0.52378823996821611</v>
      </c>
      <c r="GE49" s="128">
        <f t="shared" si="189"/>
        <v>0.63234412160066178</v>
      </c>
      <c r="GF49" s="128">
        <f t="shared" si="190"/>
        <v>0.64827994132583588</v>
      </c>
      <c r="GG49" s="128">
        <f t="shared" si="191"/>
        <v>0.38901268143398315</v>
      </c>
      <c r="GH49" s="130">
        <f t="shared" si="192"/>
        <v>0.57198598856028027</v>
      </c>
      <c r="GI49" s="128">
        <f t="shared" si="193"/>
        <v>0.3941729696553965</v>
      </c>
      <c r="GJ49" s="128">
        <f t="shared" si="194"/>
        <v>0.58640500490270542</v>
      </c>
      <c r="GK49" s="128">
        <f t="shared" si="195"/>
        <v>0.50329915744594456</v>
      </c>
      <c r="GL49" s="128">
        <f t="shared" si="196"/>
        <v>0.37998013998885904</v>
      </c>
      <c r="GM49" s="128">
        <f t="shared" si="197"/>
        <v>0.3965402306512899</v>
      </c>
      <c r="GN49" s="128">
        <f t="shared" si="97"/>
        <v>0.60300751879699244</v>
      </c>
      <c r="GO49" s="128">
        <f t="shared" si="98"/>
        <v>0.49464818846720465</v>
      </c>
      <c r="GP49" s="128">
        <f t="shared" si="99"/>
        <v>0.5405438819227496</v>
      </c>
      <c r="GQ49" s="129">
        <f t="shared" si="100"/>
        <v>0.48595957618254049</v>
      </c>
      <c r="GR49" s="129">
        <f t="shared" si="101"/>
        <v>0.45995552523656752</v>
      </c>
    </row>
    <row r="50" spans="1:200" ht="13.8" thickBot="1" x14ac:dyDescent="0.3">
      <c r="A50" s="42">
        <v>209</v>
      </c>
      <c r="B50" s="81">
        <v>530</v>
      </c>
      <c r="C50" s="81">
        <v>497</v>
      </c>
      <c r="D50" s="81">
        <v>251</v>
      </c>
      <c r="E50" s="81">
        <v>1</v>
      </c>
      <c r="F50" s="81">
        <v>92</v>
      </c>
      <c r="G50" s="81">
        <v>242</v>
      </c>
      <c r="H50" s="81">
        <v>518</v>
      </c>
      <c r="I50" s="81">
        <v>492</v>
      </c>
      <c r="J50" s="81">
        <v>65</v>
      </c>
      <c r="K50" s="81">
        <v>54</v>
      </c>
      <c r="L50" s="81">
        <v>568</v>
      </c>
      <c r="M50" s="81">
        <v>1865</v>
      </c>
      <c r="N50" s="81">
        <v>1335</v>
      </c>
      <c r="O50" s="81">
        <v>429</v>
      </c>
      <c r="P50" s="81">
        <v>311</v>
      </c>
      <c r="Q50" s="81">
        <v>724</v>
      </c>
      <c r="R50" s="81">
        <v>1631</v>
      </c>
      <c r="S50" s="81">
        <v>1088</v>
      </c>
      <c r="T50" s="81">
        <v>305</v>
      </c>
      <c r="V50" s="81">
        <v>52</v>
      </c>
      <c r="W50" s="81">
        <v>110</v>
      </c>
      <c r="X50" s="81">
        <v>47</v>
      </c>
      <c r="Y50" s="81">
        <v>106</v>
      </c>
      <c r="Z50" s="81">
        <v>1071</v>
      </c>
      <c r="AA50" s="81">
        <v>2666</v>
      </c>
      <c r="AB50" s="81">
        <v>388</v>
      </c>
      <c r="AC50" s="81">
        <v>2893</v>
      </c>
      <c r="AD50" s="81">
        <v>1411</v>
      </c>
      <c r="AE50" s="81">
        <v>84</v>
      </c>
      <c r="AF50" s="84">
        <v>65</v>
      </c>
      <c r="AG50" s="84">
        <v>1133</v>
      </c>
      <c r="AH50" s="84">
        <v>1639</v>
      </c>
      <c r="AI50" s="83">
        <v>1450</v>
      </c>
      <c r="AJ50" s="83">
        <v>1097</v>
      </c>
      <c r="AK50" s="83">
        <v>220</v>
      </c>
      <c r="AL50" s="81">
        <v>178</v>
      </c>
      <c r="AM50" s="86">
        <v>541</v>
      </c>
      <c r="AN50" s="86">
        <v>1278</v>
      </c>
      <c r="AO50" s="86">
        <v>34</v>
      </c>
      <c r="AP50" s="126">
        <v>1375</v>
      </c>
      <c r="AQ50" s="126">
        <v>1679</v>
      </c>
      <c r="AR50" s="126">
        <v>787</v>
      </c>
      <c r="AS50" s="126">
        <v>1573</v>
      </c>
      <c r="AT50" s="126">
        <v>1432</v>
      </c>
      <c r="AU50" s="126">
        <v>3585</v>
      </c>
      <c r="AV50" s="71">
        <f t="shared" si="113"/>
        <v>1246.2</v>
      </c>
      <c r="AW50" s="71">
        <f t="shared" si="102"/>
        <v>40566.093253968247</v>
      </c>
      <c r="AY50" s="42">
        <v>209</v>
      </c>
      <c r="AZ50" s="48">
        <f t="shared" si="154"/>
        <v>2.3102741815962686E-2</v>
      </c>
      <c r="BA50" s="48">
        <f t="shared" si="1"/>
        <v>2.5955713390432421E-2</v>
      </c>
      <c r="BB50" s="48">
        <f t="shared" si="2"/>
        <v>1.0971718319709752E-2</v>
      </c>
      <c r="BC50" s="48">
        <f t="shared" si="3"/>
        <v>2.3255813953488372E-3</v>
      </c>
      <c r="BD50" s="48">
        <f t="shared" si="4"/>
        <v>3.6435643564356433E-2</v>
      </c>
      <c r="BE50" s="48">
        <f t="shared" si="5"/>
        <v>2.0988725065047703E-2</v>
      </c>
      <c r="BF50" s="48">
        <f t="shared" si="6"/>
        <v>4.8551879276408284E-2</v>
      </c>
      <c r="BG50" s="48">
        <f t="shared" si="7"/>
        <v>5.2262587635436585E-2</v>
      </c>
      <c r="BH50" s="48">
        <f t="shared" si="8"/>
        <v>5.0038491147036184E-3</v>
      </c>
      <c r="BI50" s="48">
        <f t="shared" si="9"/>
        <v>2.8601694915254237E-2</v>
      </c>
      <c r="BJ50" s="48">
        <f t="shared" si="10"/>
        <v>1.9812340855976839E-2</v>
      </c>
      <c r="BK50" s="48">
        <f t="shared" si="11"/>
        <v>2.5718107478246481E-2</v>
      </c>
      <c r="BL50" s="48">
        <f t="shared" si="12"/>
        <v>2.9640977819223341E-2</v>
      </c>
      <c r="BM50" s="48">
        <f t="shared" si="13"/>
        <v>4.1931385006353239E-2</v>
      </c>
      <c r="BN50" s="48">
        <f t="shared" si="14"/>
        <v>1.2587525802404177E-2</v>
      </c>
      <c r="BO50" s="48">
        <f t="shared" si="15"/>
        <v>1.8461852305181558E-2</v>
      </c>
      <c r="BP50" s="48">
        <f t="shared" si="16"/>
        <v>4.766775777414075E-2</v>
      </c>
      <c r="BQ50" s="48">
        <f t="shared" si="17"/>
        <v>5.8104138851802406E-2</v>
      </c>
      <c r="BR50" s="48">
        <f t="shared" si="18"/>
        <v>1.0843673338784797E-2</v>
      </c>
      <c r="BS50" s="48"/>
      <c r="BT50" s="48">
        <f t="shared" si="19"/>
        <v>9.0483565052463068E-4</v>
      </c>
      <c r="BU50" s="48">
        <f t="shared" si="20"/>
        <v>3.7313432835820892E-2</v>
      </c>
      <c r="BV50" s="48">
        <f t="shared" si="21"/>
        <v>1.2838022398251844E-2</v>
      </c>
      <c r="BW50" s="48">
        <f t="shared" si="22"/>
        <v>4.4306143486788482E-3</v>
      </c>
      <c r="BX50" s="48">
        <f t="shared" si="23"/>
        <v>1.5330880774130749E-2</v>
      </c>
      <c r="BY50" s="48">
        <f t="shared" si="24"/>
        <v>3.4601357577645396E-2</v>
      </c>
      <c r="BZ50" s="48">
        <f t="shared" si="25"/>
        <v>5.9195069111768837E-3</v>
      </c>
      <c r="CA50" s="48">
        <f t="shared" si="26"/>
        <v>2.8624575776465117E-2</v>
      </c>
      <c r="CB50" s="48">
        <f t="shared" si="27"/>
        <v>2.1151885830784912E-2</v>
      </c>
      <c r="CC50" s="48">
        <f t="shared" si="28"/>
        <v>8.382396966370621E-3</v>
      </c>
      <c r="CD50" s="48">
        <f t="shared" si="29"/>
        <v>5.1987522994481321E-3</v>
      </c>
      <c r="CE50" s="48">
        <f t="shared" si="30"/>
        <v>6.6529653552554316E-2</v>
      </c>
      <c r="CF50" s="48">
        <f t="shared" si="31"/>
        <v>7.2750010792192052E-2</v>
      </c>
      <c r="CG50" s="48">
        <f t="shared" si="32"/>
        <v>3.6005164878823999E-2</v>
      </c>
      <c r="CH50" s="48">
        <f t="shared" si="33"/>
        <v>2.2686381966704579E-2</v>
      </c>
      <c r="CI50" s="48">
        <f t="shared" si="34"/>
        <v>1.1290499294781816E-2</v>
      </c>
      <c r="CJ50" s="48">
        <f t="shared" si="35"/>
        <v>1.3146811713546421E-2</v>
      </c>
      <c r="CK50" s="48">
        <f t="shared" si="36"/>
        <v>2.3987939520241211E-2</v>
      </c>
      <c r="CL50" s="48">
        <f t="shared" si="37"/>
        <v>2.3069841327147681E-2</v>
      </c>
      <c r="CM50" s="48">
        <f t="shared" si="61"/>
        <v>4.6955488958554874E-4</v>
      </c>
      <c r="CN50" s="48">
        <f t="shared" si="62"/>
        <v>2.3263289682942511E-2</v>
      </c>
      <c r="CO50" s="48">
        <f t="shared" si="174"/>
        <v>4.0664583787449443E-2</v>
      </c>
      <c r="CP50" s="48">
        <f t="shared" si="64"/>
        <v>1.3115792280514632E-2</v>
      </c>
      <c r="CQ50" s="48">
        <f t="shared" si="112"/>
        <v>1.833653902197354E-2</v>
      </c>
      <c r="CR50" s="48">
        <f t="shared" si="65"/>
        <v>9.3347065955699249E-3</v>
      </c>
      <c r="CS50" s="48">
        <f t="shared" si="66"/>
        <v>1.7046832427497469E-2</v>
      </c>
      <c r="CT50" s="68">
        <f t="shared" si="67"/>
        <v>0.50420316530718745</v>
      </c>
      <c r="CU50" s="68">
        <f t="shared" si="68"/>
        <v>0.48490689113666841</v>
      </c>
      <c r="CW50" s="42">
        <v>209</v>
      </c>
      <c r="CX50" s="58">
        <f t="shared" si="128"/>
        <v>13222</v>
      </c>
      <c r="CY50" s="58">
        <f t="shared" si="129"/>
        <v>14176</v>
      </c>
      <c r="CZ50" s="58">
        <f t="shared" si="130"/>
        <v>18500</v>
      </c>
      <c r="DA50" s="58">
        <f t="shared" si="131"/>
        <v>195</v>
      </c>
      <c r="DB50" s="58">
        <f t="shared" si="132"/>
        <v>1190</v>
      </c>
      <c r="DC50" s="58">
        <f t="shared" si="133"/>
        <v>6019</v>
      </c>
      <c r="DD50" s="58">
        <f t="shared" si="134"/>
        <v>3862</v>
      </c>
      <c r="DE50" s="58">
        <f t="shared" si="135"/>
        <v>5169</v>
      </c>
      <c r="DF50" s="58">
        <f t="shared" si="136"/>
        <v>4249</v>
      </c>
      <c r="DG50" s="58">
        <f t="shared" si="137"/>
        <v>192</v>
      </c>
      <c r="DH50" s="58">
        <f t="shared" si="138"/>
        <v>17256</v>
      </c>
      <c r="DI50" s="58">
        <f t="shared" si="139"/>
        <v>33343</v>
      </c>
      <c r="DJ50" s="58">
        <f t="shared" si="140"/>
        <v>21085</v>
      </c>
      <c r="DK50" s="58">
        <f t="shared" si="141"/>
        <v>4302</v>
      </c>
      <c r="DL50" s="58">
        <f t="shared" si="142"/>
        <v>13919</v>
      </c>
      <c r="DM50" s="58">
        <f t="shared" si="143"/>
        <v>20766</v>
      </c>
      <c r="DN50" s="58">
        <f t="shared" si="144"/>
        <v>16947</v>
      </c>
      <c r="DO50" s="58">
        <f t="shared" si="145"/>
        <v>8661</v>
      </c>
      <c r="DP50" s="58">
        <f t="shared" si="146"/>
        <v>13420</v>
      </c>
      <c r="DQ50" s="58"/>
      <c r="DR50" s="58">
        <f t="shared" si="147"/>
        <v>21938</v>
      </c>
      <c r="DS50" s="58">
        <f t="shared" si="148"/>
        <v>1534</v>
      </c>
      <c r="DT50" s="58">
        <f t="shared" si="149"/>
        <v>2540</v>
      </c>
      <c r="DU50" s="58">
        <f t="shared" si="150"/>
        <v>14845</v>
      </c>
      <c r="DV50" s="58">
        <f t="shared" si="151"/>
        <v>25285</v>
      </c>
      <c r="DW50" s="58">
        <f t="shared" si="152"/>
        <v>29420</v>
      </c>
      <c r="DX50" s="58">
        <f t="shared" si="153"/>
        <v>17657</v>
      </c>
      <c r="DY50" s="58">
        <f t="shared" si="115"/>
        <v>56049</v>
      </c>
      <c r="DZ50" s="58">
        <f t="shared" si="116"/>
        <v>28362</v>
      </c>
      <c r="EA50" s="58">
        <f t="shared" si="117"/>
        <v>4558</v>
      </c>
      <c r="EB50" s="58">
        <f t="shared" si="118"/>
        <v>6949</v>
      </c>
      <c r="EC50" s="58">
        <f t="shared" si="119"/>
        <v>9166</v>
      </c>
      <c r="ED50" s="58">
        <f t="shared" si="120"/>
        <v>8905</v>
      </c>
      <c r="EE50" s="58">
        <f t="shared" si="121"/>
        <v>22544</v>
      </c>
      <c r="EF50" s="58">
        <f t="shared" si="122"/>
        <v>31674</v>
      </c>
      <c r="EG50" s="58">
        <f t="shared" si="123"/>
        <v>12852</v>
      </c>
      <c r="EH50" s="58">
        <f t="shared" si="124"/>
        <v>5445</v>
      </c>
      <c r="EI50" s="58">
        <f t="shared" si="125"/>
        <v>13441</v>
      </c>
      <c r="EJ50" s="58">
        <f t="shared" si="198"/>
        <v>23114</v>
      </c>
      <c r="EK50" s="58">
        <f t="shared" si="199"/>
        <v>42495</v>
      </c>
      <c r="EL50" s="58">
        <f t="shared" si="105"/>
        <v>31123</v>
      </c>
      <c r="EM50" s="58">
        <f t="shared" si="106"/>
        <v>17368</v>
      </c>
      <c r="EN50" s="58">
        <f t="shared" si="107"/>
        <v>24581</v>
      </c>
      <c r="EO50" s="58">
        <f t="shared" si="108"/>
        <v>53302</v>
      </c>
      <c r="EP50" s="58">
        <f t="shared" si="109"/>
        <v>77314</v>
      </c>
      <c r="EQ50" s="58">
        <f t="shared" si="110"/>
        <v>117263</v>
      </c>
      <c r="ER50" s="67">
        <f t="shared" si="72"/>
        <v>40544.6</v>
      </c>
      <c r="ES50" s="67">
        <f t="shared" si="73"/>
        <v>21222.048780487807</v>
      </c>
      <c r="EV50" s="42">
        <v>209</v>
      </c>
      <c r="EW50" s="128">
        <f t="shared" si="155"/>
        <v>0.57634802318992195</v>
      </c>
      <c r="EX50" s="128">
        <f t="shared" si="156"/>
        <v>0.74033841654480881</v>
      </c>
      <c r="EY50" s="128">
        <f t="shared" si="157"/>
        <v>0.80867246579534025</v>
      </c>
      <c r="EZ50" s="128">
        <f t="shared" si="158"/>
        <v>0.45348837209302323</v>
      </c>
      <c r="FA50" s="128">
        <f t="shared" si="159"/>
        <v>0.47128712871287126</v>
      </c>
      <c r="FB50" s="128">
        <f t="shared" si="160"/>
        <v>0.52202948829141371</v>
      </c>
      <c r="FC50" s="128">
        <f t="shared" si="161"/>
        <v>0.36198331614959228</v>
      </c>
      <c r="FD50" s="128">
        <f t="shared" si="162"/>
        <v>0.54907584448693436</v>
      </c>
      <c r="FE50" s="128">
        <f t="shared" si="163"/>
        <v>0.32709776751347192</v>
      </c>
      <c r="FF50" s="128">
        <f t="shared" si="164"/>
        <v>0.10169491525423729</v>
      </c>
      <c r="FG50" s="128">
        <f t="shared" si="165"/>
        <v>0.60190449614566255</v>
      </c>
      <c r="FH50" s="128">
        <f t="shared" si="166"/>
        <v>0.45979563412717017</v>
      </c>
      <c r="FI50" s="128">
        <f t="shared" si="167"/>
        <v>0.46814982570660985</v>
      </c>
      <c r="FJ50" s="128">
        <f t="shared" si="168"/>
        <v>0.42048675593783597</v>
      </c>
      <c r="FK50" s="128">
        <f t="shared" si="169"/>
        <v>0.56336260978670016</v>
      </c>
      <c r="FL50" s="128">
        <f t="shared" si="170"/>
        <v>0.52952876376988989</v>
      </c>
      <c r="FM50" s="130">
        <f t="shared" si="171"/>
        <v>0.49529459901800327</v>
      </c>
      <c r="FN50" s="128">
        <f t="shared" si="172"/>
        <v>0.46253671562082777</v>
      </c>
      <c r="FO50" s="128">
        <f t="shared" si="173"/>
        <v>0.47712162690653109</v>
      </c>
      <c r="FP50" s="128"/>
      <c r="FQ50" s="128">
        <f t="shared" si="175"/>
        <v>0.38173624040787207</v>
      </c>
      <c r="FR50" s="130">
        <f t="shared" si="176"/>
        <v>0.52035278154681142</v>
      </c>
      <c r="FS50" s="128">
        <f t="shared" si="177"/>
        <v>0.69379950833105708</v>
      </c>
      <c r="FT50" s="128">
        <f t="shared" si="178"/>
        <v>0.62049500005790093</v>
      </c>
      <c r="FU50" s="128">
        <f t="shared" si="179"/>
        <v>0.36194334301951075</v>
      </c>
      <c r="FV50" s="128">
        <f t="shared" si="180"/>
        <v>0.38183493620942516</v>
      </c>
      <c r="FW50" s="128">
        <f t="shared" si="181"/>
        <v>0.26938333384188201</v>
      </c>
      <c r="FX50" s="128">
        <f t="shared" si="182"/>
        <v>0.55457270919291168</v>
      </c>
      <c r="FY50" s="128">
        <f t="shared" si="183"/>
        <v>0.42516639683396296</v>
      </c>
      <c r="FZ50" s="128">
        <f t="shared" si="184"/>
        <v>0.45484482586568209</v>
      </c>
      <c r="GA50" s="128">
        <f t="shared" si="185"/>
        <v>0.55578661121330886</v>
      </c>
      <c r="GB50" s="130">
        <f t="shared" si="186"/>
        <v>0.53822665883734588</v>
      </c>
      <c r="GC50" s="128">
        <f t="shared" si="187"/>
        <v>0.39526470171108613</v>
      </c>
      <c r="GD50" s="128">
        <f t="shared" si="188"/>
        <v>0.5597934048470401</v>
      </c>
      <c r="GE50" s="128">
        <f t="shared" si="189"/>
        <v>0.65503050356736636</v>
      </c>
      <c r="GF50" s="128">
        <f t="shared" si="190"/>
        <v>0.65957044062061776</v>
      </c>
      <c r="GG50" s="128">
        <f t="shared" si="191"/>
        <v>0.40215949314752958</v>
      </c>
      <c r="GH50" s="128">
        <f t="shared" si="192"/>
        <v>0.59597392808052141</v>
      </c>
      <c r="GI50" s="128">
        <f t="shared" si="193"/>
        <v>0.41724281098254418</v>
      </c>
      <c r="GJ50" s="128">
        <f t="shared" si="194"/>
        <v>0.58687455979229097</v>
      </c>
      <c r="GK50" s="128">
        <f t="shared" si="195"/>
        <v>0.52656244712888711</v>
      </c>
      <c r="GL50" s="128">
        <f t="shared" si="196"/>
        <v>0.42064472377630846</v>
      </c>
      <c r="GM50" s="128">
        <f t="shared" si="197"/>
        <v>0.40965602293180453</v>
      </c>
      <c r="GN50" s="128">
        <f t="shared" si="97"/>
        <v>0.62134405781896607</v>
      </c>
      <c r="GO50" s="130">
        <f t="shared" si="98"/>
        <v>0.50398289506277461</v>
      </c>
      <c r="GP50" s="128">
        <f t="shared" si="99"/>
        <v>0.55759071435024699</v>
      </c>
      <c r="GQ50" s="129">
        <f t="shared" si="100"/>
        <v>0.50420316530718734</v>
      </c>
      <c r="GR50" s="129">
        <f t="shared" si="101"/>
        <v>0.48490689113666857</v>
      </c>
    </row>
    <row r="51" spans="1:200" ht="13.8" thickBot="1" x14ac:dyDescent="0.3">
      <c r="A51" s="42">
        <v>210</v>
      </c>
      <c r="B51" s="81">
        <v>668</v>
      </c>
      <c r="C51" s="81">
        <v>633</v>
      </c>
      <c r="D51" s="81">
        <v>667</v>
      </c>
      <c r="E51" s="81">
        <v>0</v>
      </c>
      <c r="F51" s="81">
        <v>27</v>
      </c>
      <c r="G51" s="81">
        <v>592</v>
      </c>
      <c r="H51" s="81">
        <v>92</v>
      </c>
      <c r="I51" s="81">
        <v>557</v>
      </c>
      <c r="J51" s="81">
        <v>467</v>
      </c>
      <c r="K51" s="81">
        <v>50</v>
      </c>
      <c r="L51" s="81">
        <v>602</v>
      </c>
      <c r="M51" s="81">
        <v>7041</v>
      </c>
      <c r="N51" s="81">
        <v>1037</v>
      </c>
      <c r="O51" s="81">
        <v>417</v>
      </c>
      <c r="P51" s="81">
        <v>491</v>
      </c>
      <c r="Q51" s="81">
        <v>1002</v>
      </c>
      <c r="R51" s="81">
        <v>276</v>
      </c>
      <c r="S51" s="81">
        <v>614</v>
      </c>
      <c r="T51" s="81">
        <v>853</v>
      </c>
      <c r="V51" s="81">
        <v>68</v>
      </c>
      <c r="W51" s="81">
        <v>34</v>
      </c>
      <c r="X51" s="81">
        <v>37</v>
      </c>
      <c r="Y51" s="81">
        <v>646</v>
      </c>
      <c r="Z51" s="81">
        <v>748</v>
      </c>
      <c r="AA51" s="81">
        <v>1591</v>
      </c>
      <c r="AB51" s="81">
        <v>106</v>
      </c>
      <c r="AC51" s="81">
        <v>4457</v>
      </c>
      <c r="AD51" s="81">
        <v>702</v>
      </c>
      <c r="AE51" s="81">
        <v>532</v>
      </c>
      <c r="AF51" s="84">
        <v>9</v>
      </c>
      <c r="AG51" s="84">
        <v>187</v>
      </c>
      <c r="AH51" s="84">
        <v>401</v>
      </c>
      <c r="AI51" s="83">
        <v>1659</v>
      </c>
      <c r="AJ51" s="83">
        <v>310</v>
      </c>
      <c r="AK51" s="83">
        <v>60</v>
      </c>
      <c r="AL51" s="81">
        <v>102</v>
      </c>
      <c r="AM51" s="86">
        <v>413</v>
      </c>
      <c r="AN51" s="86">
        <v>1739</v>
      </c>
      <c r="AO51" s="86">
        <v>1161</v>
      </c>
      <c r="AP51" s="126">
        <v>1332</v>
      </c>
      <c r="AQ51" s="126">
        <v>1050</v>
      </c>
      <c r="AR51" s="126">
        <v>1754</v>
      </c>
      <c r="AS51" s="126">
        <v>864</v>
      </c>
      <c r="AT51" s="126">
        <v>3736</v>
      </c>
      <c r="AU51" s="126">
        <v>6822</v>
      </c>
      <c r="AV51" s="71">
        <f t="shared" si="113"/>
        <v>1897.3</v>
      </c>
      <c r="AW51" s="71">
        <f t="shared" si="102"/>
        <v>42463.39325396825</v>
      </c>
      <c r="AY51" s="42">
        <v>210</v>
      </c>
      <c r="AZ51" s="48">
        <f t="shared" si="154"/>
        <v>2.9118172703892595E-2</v>
      </c>
      <c r="BA51" s="48">
        <f t="shared" si="1"/>
        <v>3.3058282849383745E-2</v>
      </c>
      <c r="BB51" s="48">
        <f t="shared" si="2"/>
        <v>2.9155920793810377E-2</v>
      </c>
      <c r="BC51" s="48">
        <f t="shared" si="3"/>
        <v>0</v>
      </c>
      <c r="BD51" s="48">
        <f t="shared" si="4"/>
        <v>1.0693069306930694E-2</v>
      </c>
      <c r="BE51" s="48">
        <f t="shared" si="5"/>
        <v>5.1344319167389421E-2</v>
      </c>
      <c r="BF51" s="48">
        <f t="shared" si="6"/>
        <v>8.6231136938794643E-3</v>
      </c>
      <c r="BG51" s="48">
        <f t="shared" si="7"/>
        <v>5.9167197790524748E-2</v>
      </c>
      <c r="BH51" s="48">
        <f t="shared" si="8"/>
        <v>3.5950731331793689E-2</v>
      </c>
      <c r="BI51" s="48">
        <f t="shared" si="9"/>
        <v>2.6483050847457626E-2</v>
      </c>
      <c r="BJ51" s="48">
        <f t="shared" si="10"/>
        <v>2.0998290836792353E-2</v>
      </c>
      <c r="BK51" s="48">
        <f t="shared" si="11"/>
        <v>9.7094474399106415E-2</v>
      </c>
      <c r="BL51" s="48">
        <f t="shared" si="12"/>
        <v>2.3024489886542775E-2</v>
      </c>
      <c r="BM51" s="48">
        <f t="shared" si="13"/>
        <v>4.0758479132049656E-2</v>
      </c>
      <c r="BN51" s="48">
        <f t="shared" si="14"/>
        <v>1.9872910511191159E-2</v>
      </c>
      <c r="BO51" s="48">
        <f t="shared" si="15"/>
        <v>2.555079559363525E-2</v>
      </c>
      <c r="BP51" s="48">
        <f t="shared" si="16"/>
        <v>8.0664016834229597E-3</v>
      </c>
      <c r="BQ51" s="48">
        <f t="shared" si="17"/>
        <v>3.2790387182910545E-2</v>
      </c>
      <c r="BR51" s="48">
        <f t="shared" si="18"/>
        <v>3.0326732321257155E-2</v>
      </c>
      <c r="BS51" s="48"/>
      <c r="BT51" s="48">
        <f t="shared" si="19"/>
        <v>1.1832466199168247E-3</v>
      </c>
      <c r="BU51" s="48">
        <f t="shared" si="20"/>
        <v>1.1533242876526458E-2</v>
      </c>
      <c r="BV51" s="48">
        <f t="shared" si="21"/>
        <v>1.0106528270964218E-2</v>
      </c>
      <c r="BW51" s="48">
        <f t="shared" si="22"/>
        <v>2.7001668577797507E-2</v>
      </c>
      <c r="BX51" s="48">
        <f t="shared" si="23"/>
        <v>1.0707281810504015E-2</v>
      </c>
      <c r="BY51" s="48">
        <f t="shared" si="24"/>
        <v>2.0649197264078704E-2</v>
      </c>
      <c r="BZ51" s="48">
        <f t="shared" si="25"/>
        <v>1.6171848777957465E-3</v>
      </c>
      <c r="CA51" s="48">
        <f t="shared" si="26"/>
        <v>4.4099458774872112E-2</v>
      </c>
      <c r="CB51" s="48">
        <f t="shared" si="27"/>
        <v>1.0523475445223961E-2</v>
      </c>
      <c r="CC51" s="48">
        <f t="shared" si="28"/>
        <v>5.308851412034727E-2</v>
      </c>
      <c r="CD51" s="48">
        <f t="shared" si="29"/>
        <v>7.1982724146204906E-4</v>
      </c>
      <c r="CE51" s="48">
        <f t="shared" si="30"/>
        <v>1.098062243100411E-2</v>
      </c>
      <c r="CF51" s="48">
        <f t="shared" si="31"/>
        <v>1.7799117954648572E-2</v>
      </c>
      <c r="CG51" s="48">
        <f t="shared" si="32"/>
        <v>4.1194874851013114E-2</v>
      </c>
      <c r="CH51" s="48">
        <f t="shared" si="33"/>
        <v>6.4109192430979213E-3</v>
      </c>
      <c r="CI51" s="48">
        <f t="shared" si="34"/>
        <v>3.0792270803950408E-3</v>
      </c>
      <c r="CJ51" s="48">
        <f t="shared" si="35"/>
        <v>7.5335662628187357E-3</v>
      </c>
      <c r="CK51" s="48">
        <f t="shared" si="36"/>
        <v>1.8312419633751607E-2</v>
      </c>
      <c r="CL51" s="48">
        <f t="shared" si="37"/>
        <v>3.1391591602433343E-2</v>
      </c>
      <c r="CM51" s="48">
        <f t="shared" si="61"/>
        <v>1.6033918435553591E-2</v>
      </c>
      <c r="CN51" s="48">
        <f t="shared" si="62"/>
        <v>2.2535783169221398E-2</v>
      </c>
      <c r="CO51" s="48">
        <f t="shared" si="174"/>
        <v>2.5430502070769453E-2</v>
      </c>
      <c r="CP51" s="48">
        <f t="shared" si="64"/>
        <v>2.923138457436171E-2</v>
      </c>
      <c r="CQ51" s="48">
        <f t="shared" si="112"/>
        <v>1.0071690855044588E-2</v>
      </c>
      <c r="CR51" s="48">
        <f t="shared" si="65"/>
        <v>2.43536758666545E-2</v>
      </c>
      <c r="CS51" s="48">
        <f t="shared" si="66"/>
        <v>3.2438909573329906E-2</v>
      </c>
      <c r="CT51" s="68">
        <f t="shared" si="67"/>
        <v>0.52593650951158133</v>
      </c>
      <c r="CU51" s="68">
        <f t="shared" si="68"/>
        <v>0.50877938560419211</v>
      </c>
      <c r="CW51" s="42">
        <v>210</v>
      </c>
      <c r="CX51" s="58">
        <f t="shared" si="128"/>
        <v>13890</v>
      </c>
      <c r="CY51" s="58">
        <f t="shared" si="129"/>
        <v>14809</v>
      </c>
      <c r="CZ51" s="58">
        <f t="shared" si="130"/>
        <v>19167</v>
      </c>
      <c r="DA51" s="58">
        <f t="shared" si="131"/>
        <v>195</v>
      </c>
      <c r="DB51" s="58">
        <f t="shared" si="132"/>
        <v>1217</v>
      </c>
      <c r="DC51" s="58">
        <f t="shared" si="133"/>
        <v>6611</v>
      </c>
      <c r="DD51" s="58">
        <f t="shared" si="134"/>
        <v>3954</v>
      </c>
      <c r="DE51" s="58">
        <f t="shared" si="135"/>
        <v>5726</v>
      </c>
      <c r="DF51" s="58">
        <f t="shared" si="136"/>
        <v>4716</v>
      </c>
      <c r="DG51" s="58">
        <f t="shared" si="137"/>
        <v>242</v>
      </c>
      <c r="DH51" s="58">
        <f t="shared" si="138"/>
        <v>17858</v>
      </c>
      <c r="DI51" s="58">
        <f t="shared" si="139"/>
        <v>40384</v>
      </c>
      <c r="DJ51" s="58">
        <f t="shared" si="140"/>
        <v>22122</v>
      </c>
      <c r="DK51" s="58">
        <f t="shared" si="141"/>
        <v>4719</v>
      </c>
      <c r="DL51" s="58">
        <f t="shared" si="142"/>
        <v>14410</v>
      </c>
      <c r="DM51" s="58">
        <f t="shared" si="143"/>
        <v>21768</v>
      </c>
      <c r="DN51" s="58">
        <f t="shared" si="144"/>
        <v>17223</v>
      </c>
      <c r="DO51" s="58">
        <f t="shared" si="145"/>
        <v>9275</v>
      </c>
      <c r="DP51" s="58">
        <f t="shared" si="146"/>
        <v>14273</v>
      </c>
      <c r="DQ51" s="58"/>
      <c r="DR51" s="58">
        <f t="shared" si="147"/>
        <v>22006</v>
      </c>
      <c r="DS51" s="58">
        <f t="shared" si="148"/>
        <v>1568</v>
      </c>
      <c r="DT51" s="58">
        <f t="shared" si="149"/>
        <v>2577</v>
      </c>
      <c r="DU51" s="58">
        <f t="shared" si="150"/>
        <v>15491</v>
      </c>
      <c r="DV51" s="58">
        <f t="shared" si="151"/>
        <v>26033</v>
      </c>
      <c r="DW51" s="58">
        <f t="shared" si="152"/>
        <v>31011</v>
      </c>
      <c r="DX51" s="58">
        <f t="shared" si="153"/>
        <v>17763</v>
      </c>
      <c r="DY51" s="58">
        <f t="shared" si="115"/>
        <v>60506</v>
      </c>
      <c r="DZ51" s="58">
        <f t="shared" si="116"/>
        <v>29064</v>
      </c>
      <c r="EA51" s="108">
        <f t="shared" si="117"/>
        <v>5090</v>
      </c>
      <c r="EB51" s="58">
        <f t="shared" si="118"/>
        <v>6958</v>
      </c>
      <c r="EC51" s="58">
        <f t="shared" si="119"/>
        <v>9353</v>
      </c>
      <c r="ED51" s="58">
        <f t="shared" si="120"/>
        <v>9306</v>
      </c>
      <c r="EE51" s="58">
        <f t="shared" si="121"/>
        <v>24203</v>
      </c>
      <c r="EF51" s="58">
        <f t="shared" si="122"/>
        <v>31984</v>
      </c>
      <c r="EG51" s="58">
        <f t="shared" si="123"/>
        <v>12912</v>
      </c>
      <c r="EH51" s="58">
        <f t="shared" si="124"/>
        <v>5547</v>
      </c>
      <c r="EI51" s="58">
        <f t="shared" si="125"/>
        <v>13854</v>
      </c>
      <c r="EJ51" s="58">
        <f t="shared" si="198"/>
        <v>24853</v>
      </c>
      <c r="EK51" s="58">
        <f t="shared" si="199"/>
        <v>43656</v>
      </c>
      <c r="EL51" s="58">
        <f t="shared" si="105"/>
        <v>32455</v>
      </c>
      <c r="EM51" s="58">
        <f t="shared" si="106"/>
        <v>18418</v>
      </c>
      <c r="EN51" s="58">
        <f t="shared" si="107"/>
        <v>26335</v>
      </c>
      <c r="EO51" s="58">
        <f t="shared" si="108"/>
        <v>54166</v>
      </c>
      <c r="EP51" s="58">
        <f t="shared" si="109"/>
        <v>81050</v>
      </c>
      <c r="EQ51" s="58">
        <f t="shared" si="110"/>
        <v>124085</v>
      </c>
      <c r="ER51" s="67">
        <f t="shared" si="72"/>
        <v>42441.9</v>
      </c>
      <c r="ES51" s="67">
        <f t="shared" si="73"/>
        <v>22310.780487804877</v>
      </c>
      <c r="EV51" s="131">
        <v>210</v>
      </c>
      <c r="EW51" s="132">
        <f t="shared" si="155"/>
        <v>0.60546619589381456</v>
      </c>
      <c r="EX51" s="132">
        <f t="shared" si="156"/>
        <v>0.77339669939419264</v>
      </c>
      <c r="EY51" s="132">
        <f t="shared" si="157"/>
        <v>0.83782838658915071</v>
      </c>
      <c r="EZ51" s="132">
        <f t="shared" si="158"/>
        <v>0.45348837209302323</v>
      </c>
      <c r="FA51" s="132">
        <f t="shared" si="159"/>
        <v>0.48198019801980196</v>
      </c>
      <c r="FB51" s="132">
        <f t="shared" si="160"/>
        <v>0.57337380745880318</v>
      </c>
      <c r="FC51" s="132">
        <f t="shared" si="161"/>
        <v>0.37060642984347175</v>
      </c>
      <c r="FD51" s="132">
        <f t="shared" si="162"/>
        <v>0.60824304227745907</v>
      </c>
      <c r="FE51" s="132">
        <f t="shared" si="163"/>
        <v>0.36304849884526558</v>
      </c>
      <c r="FF51" s="132">
        <f t="shared" si="164"/>
        <v>0.12817796610169491</v>
      </c>
      <c r="FG51" s="132">
        <f t="shared" si="165"/>
        <v>0.62290278698245494</v>
      </c>
      <c r="FH51" s="133">
        <f t="shared" si="166"/>
        <v>0.55689010852627663</v>
      </c>
      <c r="FI51" s="132">
        <f t="shared" si="167"/>
        <v>0.49117431559315261</v>
      </c>
      <c r="FJ51" s="132">
        <f t="shared" si="168"/>
        <v>0.46124523506988563</v>
      </c>
      <c r="FK51" s="132">
        <f t="shared" si="169"/>
        <v>0.58323552029789127</v>
      </c>
      <c r="FL51" s="132">
        <f t="shared" si="170"/>
        <v>0.55507955936352504</v>
      </c>
      <c r="FM51" s="132">
        <f t="shared" si="171"/>
        <v>0.5033610007014262</v>
      </c>
      <c r="FN51" s="133">
        <f t="shared" si="172"/>
        <v>0.49532710280373832</v>
      </c>
      <c r="FO51" s="133">
        <f t="shared" si="173"/>
        <v>0.50744835922778819</v>
      </c>
      <c r="FP51" s="132"/>
      <c r="FQ51" s="132">
        <f t="shared" si="175"/>
        <v>0.38291948702778889</v>
      </c>
      <c r="FR51" s="132">
        <f t="shared" si="176"/>
        <v>0.53188602442333788</v>
      </c>
      <c r="FS51" s="132">
        <f t="shared" si="177"/>
        <v>0.70390603660202133</v>
      </c>
      <c r="FT51" s="132">
        <f t="shared" si="178"/>
        <v>0.64749666863569844</v>
      </c>
      <c r="FU51" s="132">
        <f t="shared" si="179"/>
        <v>0.37265062483001477</v>
      </c>
      <c r="FV51" s="132">
        <f t="shared" si="180"/>
        <v>0.40248413347350387</v>
      </c>
      <c r="FW51" s="132">
        <f t="shared" si="181"/>
        <v>0.27100051871967779</v>
      </c>
      <c r="FX51" s="132">
        <f t="shared" si="182"/>
        <v>0.59867216796778377</v>
      </c>
      <c r="FY51" s="132">
        <f t="shared" si="183"/>
        <v>0.43568987227918693</v>
      </c>
      <c r="FZ51" s="133">
        <f t="shared" si="184"/>
        <v>0.5079333399860293</v>
      </c>
      <c r="GA51" s="132">
        <f t="shared" si="185"/>
        <v>0.55650643845477088</v>
      </c>
      <c r="GB51" s="132">
        <f t="shared" si="186"/>
        <v>0.54920728126834994</v>
      </c>
      <c r="GC51" s="132">
        <f t="shared" si="187"/>
        <v>0.41306381966573469</v>
      </c>
      <c r="GD51" s="132">
        <f t="shared" si="188"/>
        <v>0.60098827969805324</v>
      </c>
      <c r="GE51" s="132">
        <f t="shared" si="189"/>
        <v>0.66144142281046425</v>
      </c>
      <c r="GF51" s="132">
        <f t="shared" si="190"/>
        <v>0.66264966770101275</v>
      </c>
      <c r="GG51" s="132">
        <f t="shared" si="191"/>
        <v>0.40969305941034834</v>
      </c>
      <c r="GH51" s="132">
        <f t="shared" si="192"/>
        <v>0.61428634771427304</v>
      </c>
      <c r="GI51" s="132">
        <f t="shared" si="193"/>
        <v>0.4486344025849775</v>
      </c>
      <c r="GJ51" s="132">
        <f t="shared" si="194"/>
        <v>0.60290847822784466</v>
      </c>
      <c r="GK51" s="134">
        <f t="shared" si="195"/>
        <v>0.54909823029810845</v>
      </c>
      <c r="GL51" s="128">
        <f t="shared" si="196"/>
        <v>0.44607522584707793</v>
      </c>
      <c r="GM51" s="128">
        <f t="shared" si="197"/>
        <v>0.43888740750616628</v>
      </c>
      <c r="GN51" s="128">
        <f t="shared" si="97"/>
        <v>0.63141574867401062</v>
      </c>
      <c r="GO51" s="128">
        <f t="shared" si="98"/>
        <v>0.52833657092942909</v>
      </c>
      <c r="GP51" s="128">
        <f t="shared" si="99"/>
        <v>0.59002962392357694</v>
      </c>
      <c r="GQ51" s="129">
        <f t="shared" si="100"/>
        <v>0.52593650951158133</v>
      </c>
      <c r="GR51" s="129">
        <f t="shared" si="101"/>
        <v>0.50877938560419222</v>
      </c>
    </row>
    <row r="52" spans="1:200" x14ac:dyDescent="0.25">
      <c r="A52" s="42">
        <v>211</v>
      </c>
      <c r="B52" s="81">
        <v>915</v>
      </c>
      <c r="C52" s="81">
        <v>736</v>
      </c>
      <c r="D52" s="81">
        <v>272</v>
      </c>
      <c r="E52" s="81">
        <v>1</v>
      </c>
      <c r="F52" s="81">
        <v>37</v>
      </c>
      <c r="G52" s="81">
        <v>622</v>
      </c>
      <c r="H52" s="81">
        <v>89</v>
      </c>
      <c r="I52" s="81">
        <v>321</v>
      </c>
      <c r="J52" s="81">
        <v>254</v>
      </c>
      <c r="K52" s="81">
        <v>38</v>
      </c>
      <c r="L52" s="81">
        <v>264</v>
      </c>
      <c r="M52" s="81">
        <v>1016</v>
      </c>
      <c r="N52" s="81">
        <v>639</v>
      </c>
      <c r="O52" s="81">
        <v>374</v>
      </c>
      <c r="P52" s="81">
        <v>760</v>
      </c>
      <c r="Q52" s="81">
        <v>249</v>
      </c>
      <c r="R52" s="81">
        <v>78</v>
      </c>
      <c r="S52" s="81">
        <v>139</v>
      </c>
      <c r="T52" s="81">
        <v>1085</v>
      </c>
      <c r="V52" s="81">
        <v>53</v>
      </c>
      <c r="W52" s="81">
        <v>87</v>
      </c>
      <c r="X52" s="81">
        <v>80</v>
      </c>
      <c r="Y52" s="81">
        <v>522</v>
      </c>
      <c r="Z52" s="81">
        <v>1140</v>
      </c>
      <c r="AA52" s="81">
        <v>1235</v>
      </c>
      <c r="AB52" s="81">
        <v>4194</v>
      </c>
      <c r="AC52" s="81">
        <v>1504</v>
      </c>
      <c r="AD52" s="81">
        <v>801</v>
      </c>
      <c r="AE52" s="81">
        <v>390</v>
      </c>
      <c r="AF52" s="84">
        <v>151</v>
      </c>
      <c r="AG52" s="84">
        <v>189</v>
      </c>
      <c r="AH52" s="84">
        <v>315</v>
      </c>
      <c r="AI52" s="83">
        <v>518</v>
      </c>
      <c r="AJ52" s="83">
        <v>715</v>
      </c>
      <c r="AK52" s="83">
        <v>351</v>
      </c>
      <c r="AL52" s="81">
        <v>192</v>
      </c>
      <c r="AM52" s="86">
        <v>138</v>
      </c>
      <c r="AN52" s="86">
        <v>350</v>
      </c>
      <c r="AO52" s="86">
        <v>499</v>
      </c>
      <c r="AP52" s="126">
        <v>1295</v>
      </c>
      <c r="AQ52" s="126">
        <v>337</v>
      </c>
      <c r="AR52" s="126">
        <v>3446</v>
      </c>
      <c r="AS52" s="126">
        <v>1156</v>
      </c>
      <c r="AT52" s="126">
        <v>159</v>
      </c>
      <c r="AU52" s="126">
        <v>8570</v>
      </c>
      <c r="AV52" s="71">
        <f t="shared" si="113"/>
        <v>1614.2</v>
      </c>
      <c r="AW52" s="71">
        <f t="shared" si="102"/>
        <v>44077.593253968247</v>
      </c>
      <c r="AY52" s="42">
        <v>211</v>
      </c>
      <c r="AZ52" s="48">
        <f t="shared" si="154"/>
        <v>3.9884922191709166E-2</v>
      </c>
      <c r="BA52" s="48">
        <f t="shared" si="1"/>
        <v>3.8437434719030709E-2</v>
      </c>
      <c r="BB52" s="48">
        <f t="shared" si="2"/>
        <v>1.1889670848450409E-2</v>
      </c>
      <c r="BC52" s="48">
        <f t="shared" si="3"/>
        <v>2.3255813953488372E-3</v>
      </c>
      <c r="BD52" s="48">
        <f t="shared" si="4"/>
        <v>1.4653465346534653E-2</v>
      </c>
      <c r="BE52" s="48">
        <f t="shared" si="5"/>
        <v>5.3946227233304424E-2</v>
      </c>
      <c r="BF52" s="48">
        <f t="shared" si="6"/>
        <v>8.341925203861655E-3</v>
      </c>
      <c r="BG52" s="48">
        <f t="shared" si="7"/>
        <v>3.4098151688973871E-2</v>
      </c>
      <c r="BH52" s="48">
        <f t="shared" si="8"/>
        <v>1.9553502694380293E-2</v>
      </c>
      <c r="BI52" s="48">
        <f t="shared" si="9"/>
        <v>2.0127118644067795E-2</v>
      </c>
      <c r="BJ52" s="48">
        <f t="shared" si="10"/>
        <v>9.2085527922145874E-3</v>
      </c>
      <c r="BK52" s="48">
        <f t="shared" si="11"/>
        <v>1.4010507880910683E-2</v>
      </c>
      <c r="BL52" s="48">
        <f t="shared" si="12"/>
        <v>1.4187703989875441E-2</v>
      </c>
      <c r="BM52" s="48">
        <f t="shared" si="13"/>
        <v>3.6555566415795132E-2</v>
      </c>
      <c r="BN52" s="48">
        <f t="shared" si="14"/>
        <v>3.0760513214878375E-2</v>
      </c>
      <c r="BO52" s="48">
        <f t="shared" si="15"/>
        <v>6.3494492044063652E-3</v>
      </c>
      <c r="BP52" s="48">
        <f t="shared" si="16"/>
        <v>2.2796352583586625E-3</v>
      </c>
      <c r="BQ52" s="48">
        <f t="shared" si="17"/>
        <v>7.4232309746328435E-3</v>
      </c>
      <c r="BR52" s="48">
        <f t="shared" si="18"/>
        <v>3.857503466420166E-2</v>
      </c>
      <c r="BS52" s="48"/>
      <c r="BT52" s="48">
        <f t="shared" si="19"/>
        <v>9.2223633611164275E-4</v>
      </c>
      <c r="BU52" s="48">
        <f t="shared" si="20"/>
        <v>2.9511533242876527E-2</v>
      </c>
      <c r="BV52" s="48">
        <f t="shared" si="21"/>
        <v>2.185195301830101E-2</v>
      </c>
      <c r="BW52" s="48">
        <f t="shared" si="22"/>
        <v>2.1818685754814705E-2</v>
      </c>
      <c r="BX52" s="48">
        <f t="shared" si="23"/>
        <v>1.631858457750612E-2</v>
      </c>
      <c r="BY52" s="48">
        <f t="shared" si="24"/>
        <v>1.6028760918376617E-2</v>
      </c>
      <c r="BZ52" s="48">
        <f t="shared" si="25"/>
        <v>6.3985597900710955E-2</v>
      </c>
      <c r="CA52" s="48">
        <f t="shared" si="26"/>
        <v>1.4881217410232815E-2</v>
      </c>
      <c r="CB52" s="48">
        <f t="shared" si="27"/>
        <v>1.2007555315704263E-2</v>
      </c>
      <c r="CC52" s="48">
        <f t="shared" si="28"/>
        <v>3.8918271629577887E-2</v>
      </c>
      <c r="CD52" s="48">
        <f t="shared" si="29"/>
        <v>1.2077101495641045E-2</v>
      </c>
      <c r="CE52" s="48">
        <f t="shared" si="30"/>
        <v>1.1098062243100412E-2</v>
      </c>
      <c r="CF52" s="48">
        <f t="shared" si="31"/>
        <v>1.3981850762379802E-2</v>
      </c>
      <c r="CG52" s="48">
        <f t="shared" si="32"/>
        <v>1.2862534763607469E-2</v>
      </c>
      <c r="CH52" s="48">
        <f t="shared" si="33"/>
        <v>1.4786475028435529E-2</v>
      </c>
      <c r="CI52" s="48">
        <f t="shared" si="34"/>
        <v>1.801347842031099E-2</v>
      </c>
      <c r="CJ52" s="48">
        <f t="shared" si="35"/>
        <v>1.418083061236468E-2</v>
      </c>
      <c r="CK52" s="48">
        <f t="shared" si="36"/>
        <v>6.1189198776216026E-3</v>
      </c>
      <c r="CL52" s="48">
        <f t="shared" si="37"/>
        <v>6.3180316623643882E-3</v>
      </c>
      <c r="CM52" s="48">
        <f t="shared" si="61"/>
        <v>6.8914085265643771E-3</v>
      </c>
      <c r="CN52" s="48">
        <f t="shared" si="62"/>
        <v>2.1909789192298582E-2</v>
      </c>
      <c r="CO52" s="48">
        <f t="shared" si="174"/>
        <v>8.1619801884279114E-3</v>
      </c>
      <c r="CP52" s="48">
        <f t="shared" si="64"/>
        <v>5.742950469968669E-2</v>
      </c>
      <c r="CQ52" s="48">
        <f t="shared" si="112"/>
        <v>1.3475549338462435E-2</v>
      </c>
      <c r="CR52" s="48">
        <f t="shared" si="65"/>
        <v>1.0364653273014094E-3</v>
      </c>
      <c r="CS52" s="48">
        <f t="shared" si="66"/>
        <v>4.0750726332957683E-2</v>
      </c>
      <c r="CT52" s="68">
        <f t="shared" si="67"/>
        <v>0.54356383008738629</v>
      </c>
      <c r="CU52" s="68">
        <f t="shared" si="68"/>
        <v>0.52842347559887826</v>
      </c>
      <c r="CW52" s="42">
        <v>211</v>
      </c>
      <c r="CX52" s="58">
        <f t="shared" si="128"/>
        <v>14805</v>
      </c>
      <c r="CY52" s="58">
        <f t="shared" si="129"/>
        <v>15545</v>
      </c>
      <c r="CZ52" s="58">
        <f t="shared" si="130"/>
        <v>19439</v>
      </c>
      <c r="DA52" s="58">
        <f t="shared" si="131"/>
        <v>196</v>
      </c>
      <c r="DB52" s="58">
        <f t="shared" si="132"/>
        <v>1254</v>
      </c>
      <c r="DC52" s="58">
        <f t="shared" si="133"/>
        <v>7233</v>
      </c>
      <c r="DD52" s="58">
        <f t="shared" si="134"/>
        <v>4043</v>
      </c>
      <c r="DE52" s="58">
        <f t="shared" si="135"/>
        <v>6047</v>
      </c>
      <c r="DF52" s="58">
        <f t="shared" si="136"/>
        <v>4970</v>
      </c>
      <c r="DG52" s="58">
        <f t="shared" si="137"/>
        <v>280</v>
      </c>
      <c r="DH52" s="58">
        <f t="shared" si="138"/>
        <v>18122</v>
      </c>
      <c r="DI52" s="58">
        <f t="shared" si="139"/>
        <v>41400</v>
      </c>
      <c r="DJ52" s="58">
        <f t="shared" si="140"/>
        <v>22761</v>
      </c>
      <c r="DK52" s="58">
        <f t="shared" si="141"/>
        <v>5093</v>
      </c>
      <c r="DL52" s="58">
        <f t="shared" si="142"/>
        <v>15170</v>
      </c>
      <c r="DM52" s="58">
        <f t="shared" si="143"/>
        <v>22017</v>
      </c>
      <c r="DN52" s="58">
        <f t="shared" si="144"/>
        <v>17301</v>
      </c>
      <c r="DO52" s="58">
        <f t="shared" si="145"/>
        <v>9414</v>
      </c>
      <c r="DP52" s="58">
        <f t="shared" si="146"/>
        <v>15358</v>
      </c>
      <c r="DQ52" s="58"/>
      <c r="DR52" s="58">
        <f t="shared" si="147"/>
        <v>22059</v>
      </c>
      <c r="DS52" s="58">
        <f t="shared" si="148"/>
        <v>1655</v>
      </c>
      <c r="DT52" s="58">
        <f t="shared" si="149"/>
        <v>2657</v>
      </c>
      <c r="DU52" s="58">
        <f t="shared" si="150"/>
        <v>16013</v>
      </c>
      <c r="DV52" s="58">
        <f t="shared" si="151"/>
        <v>27173</v>
      </c>
      <c r="DW52" s="58">
        <f t="shared" si="152"/>
        <v>32246</v>
      </c>
      <c r="DX52" s="58">
        <f t="shared" si="153"/>
        <v>21957</v>
      </c>
      <c r="DY52" s="58">
        <f t="shared" si="115"/>
        <v>62010</v>
      </c>
      <c r="DZ52" s="58">
        <f t="shared" si="116"/>
        <v>29865</v>
      </c>
      <c r="EA52" s="58">
        <f t="shared" si="117"/>
        <v>5480</v>
      </c>
      <c r="EB52" s="58">
        <f t="shared" si="118"/>
        <v>7109</v>
      </c>
      <c r="EC52" s="58">
        <f t="shared" si="119"/>
        <v>9542</v>
      </c>
      <c r="ED52" s="58">
        <f t="shared" si="120"/>
        <v>9621</v>
      </c>
      <c r="EE52" s="58">
        <f t="shared" si="121"/>
        <v>24721</v>
      </c>
      <c r="EF52" s="58">
        <f t="shared" si="122"/>
        <v>32699</v>
      </c>
      <c r="EG52" s="58">
        <f t="shared" si="123"/>
        <v>13263</v>
      </c>
      <c r="EH52" s="58">
        <f t="shared" si="124"/>
        <v>5739</v>
      </c>
      <c r="EI52" s="58">
        <f t="shared" si="125"/>
        <v>13992</v>
      </c>
      <c r="EJ52" s="58">
        <f t="shared" si="198"/>
        <v>25203</v>
      </c>
      <c r="EK52" s="58">
        <f t="shared" si="199"/>
        <v>44155</v>
      </c>
      <c r="EL52" s="58">
        <f t="shared" si="105"/>
        <v>33750</v>
      </c>
      <c r="EM52" s="58">
        <f t="shared" si="106"/>
        <v>18755</v>
      </c>
      <c r="EN52" s="58">
        <f t="shared" si="107"/>
        <v>29781</v>
      </c>
      <c r="EO52" s="58">
        <f t="shared" si="108"/>
        <v>55322</v>
      </c>
      <c r="EP52" s="58">
        <f t="shared" si="109"/>
        <v>81209</v>
      </c>
      <c r="EQ52" s="58">
        <f t="shared" si="110"/>
        <v>132655</v>
      </c>
      <c r="ER52" s="67">
        <f t="shared" si="72"/>
        <v>44056.1</v>
      </c>
      <c r="ES52" s="67">
        <f t="shared" si="73"/>
        <v>23148.634146341465</v>
      </c>
      <c r="EV52" s="42">
        <v>211</v>
      </c>
      <c r="EW52" s="128">
        <f t="shared" si="155"/>
        <v>0.6453511180855237</v>
      </c>
      <c r="EX52" s="128">
        <f t="shared" si="156"/>
        <v>0.81183413411322336</v>
      </c>
      <c r="EY52" s="128">
        <f t="shared" si="157"/>
        <v>0.84971805743760109</v>
      </c>
      <c r="EZ52" s="128">
        <f t="shared" si="158"/>
        <v>0.45581395348837211</v>
      </c>
      <c r="FA52" s="130">
        <f t="shared" si="159"/>
        <v>0.49663366336633663</v>
      </c>
      <c r="FB52" s="128">
        <f t="shared" si="160"/>
        <v>0.62732003469210751</v>
      </c>
      <c r="FC52" s="128">
        <f t="shared" si="161"/>
        <v>0.37894835504733337</v>
      </c>
      <c r="FD52" s="128">
        <f t="shared" si="162"/>
        <v>0.64234119396643297</v>
      </c>
      <c r="FE52" s="128">
        <f t="shared" si="163"/>
        <v>0.38260200153964591</v>
      </c>
      <c r="FF52" s="128">
        <f t="shared" si="164"/>
        <v>0.14830508474576271</v>
      </c>
      <c r="FG52" s="128">
        <f t="shared" si="165"/>
        <v>0.63211133977466949</v>
      </c>
      <c r="FH52" s="128">
        <f t="shared" si="166"/>
        <v>0.57090061640718726</v>
      </c>
      <c r="FI52" s="130">
        <f t="shared" si="167"/>
        <v>0.50536201958302807</v>
      </c>
      <c r="FJ52" s="130">
        <f t="shared" si="168"/>
        <v>0.49780080148568079</v>
      </c>
      <c r="FK52" s="128">
        <f t="shared" si="169"/>
        <v>0.61399603351276966</v>
      </c>
      <c r="FL52" s="128">
        <f t="shared" si="170"/>
        <v>0.56142900856793143</v>
      </c>
      <c r="FM52" s="128">
        <f t="shared" si="171"/>
        <v>0.50564063595978492</v>
      </c>
      <c r="FN52" s="128">
        <f t="shared" si="172"/>
        <v>0.50275033377837119</v>
      </c>
      <c r="FO52" s="128">
        <f t="shared" si="173"/>
        <v>0.54602339389198995</v>
      </c>
      <c r="FP52" s="128"/>
      <c r="FQ52" s="128">
        <f t="shared" si="175"/>
        <v>0.38384172336390054</v>
      </c>
      <c r="FR52" s="128">
        <f t="shared" si="176"/>
        <v>0.56139755766621435</v>
      </c>
      <c r="FS52" s="128">
        <f t="shared" si="177"/>
        <v>0.72575798962032234</v>
      </c>
      <c r="FT52" s="128">
        <f t="shared" si="178"/>
        <v>0.66931535439051315</v>
      </c>
      <c r="FU52" s="128">
        <f t="shared" si="179"/>
        <v>0.38896920940752089</v>
      </c>
      <c r="FV52" s="128">
        <f t="shared" si="180"/>
        <v>0.4185128943918805</v>
      </c>
      <c r="FW52" s="128">
        <f t="shared" si="181"/>
        <v>0.33498611662038874</v>
      </c>
      <c r="FX52" s="128">
        <f t="shared" si="182"/>
        <v>0.61355338537801651</v>
      </c>
      <c r="FY52" s="128">
        <f t="shared" si="183"/>
        <v>0.44769742759489117</v>
      </c>
      <c r="FZ52" s="128">
        <f t="shared" si="184"/>
        <v>0.54685161161560725</v>
      </c>
      <c r="GA52" s="128">
        <f t="shared" si="185"/>
        <v>0.56858353995041189</v>
      </c>
      <c r="GB52" s="128">
        <f t="shared" si="186"/>
        <v>0.56030534351145034</v>
      </c>
      <c r="GC52" s="128">
        <f t="shared" si="187"/>
        <v>0.42704567042811453</v>
      </c>
      <c r="GD52" s="128">
        <f t="shared" si="188"/>
        <v>0.61385081446166068</v>
      </c>
      <c r="GE52" s="128">
        <f t="shared" si="189"/>
        <v>0.67622789783889981</v>
      </c>
      <c r="GF52" s="128">
        <f t="shared" si="190"/>
        <v>0.68066314612132373</v>
      </c>
      <c r="GG52" s="128">
        <f t="shared" si="191"/>
        <v>0.42387389002271303</v>
      </c>
      <c r="GH52" s="128">
        <f t="shared" si="192"/>
        <v>0.62040526759189463</v>
      </c>
      <c r="GI52" s="128">
        <f t="shared" si="193"/>
        <v>0.45495243424734194</v>
      </c>
      <c r="GJ52" s="128">
        <f t="shared" si="194"/>
        <v>0.60979988675440899</v>
      </c>
      <c r="GK52" s="128">
        <f t="shared" si="195"/>
        <v>0.57100801949040703</v>
      </c>
      <c r="GL52" s="128">
        <f t="shared" si="196"/>
        <v>0.45423720603550582</v>
      </c>
      <c r="GM52" s="130">
        <f t="shared" si="197"/>
        <v>0.49631691220585294</v>
      </c>
      <c r="GN52" s="128">
        <f t="shared" si="97"/>
        <v>0.64489129801247302</v>
      </c>
      <c r="GO52" s="128">
        <f t="shared" si="98"/>
        <v>0.52937303625673049</v>
      </c>
      <c r="GP52" s="128">
        <f t="shared" si="99"/>
        <v>0.63078035025653467</v>
      </c>
      <c r="GQ52" s="129">
        <f t="shared" si="100"/>
        <v>0.54356383008738629</v>
      </c>
      <c r="GR52" s="129">
        <f t="shared" si="101"/>
        <v>0.52842347559887826</v>
      </c>
    </row>
    <row r="53" spans="1:200" x14ac:dyDescent="0.25">
      <c r="A53" s="42">
        <v>212</v>
      </c>
      <c r="B53" s="81">
        <v>634</v>
      </c>
      <c r="C53" s="81">
        <v>319</v>
      </c>
      <c r="D53" s="81">
        <v>385</v>
      </c>
      <c r="E53" s="81">
        <v>15</v>
      </c>
      <c r="F53" s="81">
        <v>49</v>
      </c>
      <c r="G53" s="81">
        <v>339</v>
      </c>
      <c r="H53" s="81">
        <v>68</v>
      </c>
      <c r="I53" s="81">
        <v>334</v>
      </c>
      <c r="J53" s="81">
        <v>159</v>
      </c>
      <c r="K53" s="81">
        <v>44</v>
      </c>
      <c r="L53" s="81">
        <v>54</v>
      </c>
      <c r="M53" s="81">
        <v>1233</v>
      </c>
      <c r="N53" s="81">
        <v>432</v>
      </c>
      <c r="O53" s="81">
        <v>351</v>
      </c>
      <c r="P53" s="81">
        <v>118</v>
      </c>
      <c r="Q53" s="81">
        <v>1100</v>
      </c>
      <c r="R53" s="81">
        <v>387</v>
      </c>
      <c r="S53" s="81">
        <v>861</v>
      </c>
      <c r="T53" s="81">
        <v>599</v>
      </c>
      <c r="V53" s="81">
        <v>1057</v>
      </c>
      <c r="W53" s="81">
        <v>56</v>
      </c>
      <c r="X53" s="81">
        <v>15</v>
      </c>
      <c r="Y53" s="81">
        <v>602</v>
      </c>
      <c r="Z53" s="81">
        <v>2557</v>
      </c>
      <c r="AA53" s="81">
        <v>6155</v>
      </c>
      <c r="AB53" s="81">
        <v>1019</v>
      </c>
      <c r="AC53" s="81">
        <v>331</v>
      </c>
      <c r="AD53" s="81">
        <v>2195</v>
      </c>
      <c r="AE53" s="81">
        <v>238</v>
      </c>
      <c r="AF53" s="84">
        <v>294</v>
      </c>
      <c r="AG53" s="84">
        <v>928</v>
      </c>
      <c r="AH53" s="84">
        <v>1245</v>
      </c>
      <c r="AI53" s="83">
        <v>1541</v>
      </c>
      <c r="AJ53" s="83">
        <v>1158</v>
      </c>
      <c r="AK53" s="83">
        <v>267</v>
      </c>
      <c r="AL53" s="80">
        <v>380.50540556431184</v>
      </c>
      <c r="AM53" s="86">
        <v>194</v>
      </c>
      <c r="AN53" s="86">
        <v>1286</v>
      </c>
      <c r="AO53" s="86">
        <v>2216</v>
      </c>
      <c r="AP53" s="126">
        <v>988</v>
      </c>
      <c r="AQ53" s="126">
        <v>801</v>
      </c>
      <c r="AR53" s="126">
        <v>1062</v>
      </c>
      <c r="AS53" s="126">
        <v>1450</v>
      </c>
      <c r="AT53" s="126">
        <v>1573</v>
      </c>
      <c r="AU53" s="126">
        <v>4108</v>
      </c>
      <c r="AV53" s="71">
        <f t="shared" si="113"/>
        <v>1405.8505405564313</v>
      </c>
      <c r="AW53" s="71">
        <f t="shared" si="102"/>
        <v>45483.443794524675</v>
      </c>
      <c r="AY53" s="42">
        <v>212</v>
      </c>
      <c r="AZ53" s="48">
        <f t="shared" si="154"/>
        <v>2.7636110021359139E-2</v>
      </c>
      <c r="BA53" s="48">
        <f t="shared" si="1"/>
        <v>1.665970336327554E-2</v>
      </c>
      <c r="BB53" s="48">
        <f t="shared" si="2"/>
        <v>1.6829129693578703E-2</v>
      </c>
      <c r="BC53" s="48">
        <f t="shared" si="3"/>
        <v>3.4883720930232558E-2</v>
      </c>
      <c r="BD53" s="48">
        <f t="shared" si="4"/>
        <v>1.9405940594059406E-2</v>
      </c>
      <c r="BE53" s="48">
        <f t="shared" si="5"/>
        <v>2.940156114483955E-2</v>
      </c>
      <c r="BF53" s="48">
        <f t="shared" si="6"/>
        <v>6.3736057737369947E-3</v>
      </c>
      <c r="BG53" s="48">
        <f t="shared" si="7"/>
        <v>3.5479073719991504E-2</v>
      </c>
      <c r="BH53" s="48">
        <f t="shared" si="8"/>
        <v>1.2240184757505773E-2</v>
      </c>
      <c r="BI53" s="48">
        <f t="shared" si="9"/>
        <v>2.3305084745762712E-2</v>
      </c>
      <c r="BJ53" s="48">
        <f t="shared" si="10"/>
        <v>1.8835676165893473E-3</v>
      </c>
      <c r="BK53" s="48">
        <f t="shared" si="11"/>
        <v>1.700290966256188E-2</v>
      </c>
      <c r="BL53" s="48">
        <f t="shared" si="12"/>
        <v>9.5916872044228343E-3</v>
      </c>
      <c r="BM53" s="48">
        <f t="shared" si="13"/>
        <v>3.4307496823379927E-2</v>
      </c>
      <c r="BN53" s="48">
        <f t="shared" si="14"/>
        <v>4.7759744202048003E-3</v>
      </c>
      <c r="BO53" s="48">
        <f t="shared" si="15"/>
        <v>2.8049775601795186E-2</v>
      </c>
      <c r="BP53" s="48">
        <f t="shared" si="16"/>
        <v>1.1310498012625672E-2</v>
      </c>
      <c r="BQ53" s="48">
        <f t="shared" si="17"/>
        <v>4.5981308411214956E-2</v>
      </c>
      <c r="BR53" s="48">
        <f t="shared" si="18"/>
        <v>2.1296263376826538E-2</v>
      </c>
      <c r="BS53" s="48"/>
      <c r="BT53" s="48">
        <f t="shared" si="19"/>
        <v>1.839252466547182E-2</v>
      </c>
      <c r="BU53" s="48">
        <f t="shared" si="20"/>
        <v>1.8995929443690638E-2</v>
      </c>
      <c r="BV53" s="48">
        <f t="shared" si="21"/>
        <v>4.0972411909314397E-3</v>
      </c>
      <c r="BW53" s="48">
        <f t="shared" si="22"/>
        <v>2.5162545640610059E-2</v>
      </c>
      <c r="BX53" s="48">
        <f t="shared" si="23"/>
        <v>3.6602298916388727E-2</v>
      </c>
      <c r="BY53" s="48">
        <f t="shared" si="24"/>
        <v>7.9884229516281852E-2</v>
      </c>
      <c r="BZ53" s="48">
        <f t="shared" si="25"/>
        <v>1.5546333872394959E-2</v>
      </c>
      <c r="CA53" s="48">
        <f t="shared" si="26"/>
        <v>3.2750551614275677E-3</v>
      </c>
      <c r="CB53" s="48">
        <f t="shared" si="27"/>
        <v>3.2904599148527912E-2</v>
      </c>
      <c r="CC53" s="48">
        <f t="shared" si="28"/>
        <v>2.3750124738050094E-2</v>
      </c>
      <c r="CD53" s="48">
        <f t="shared" si="29"/>
        <v>2.3514356554426939E-2</v>
      </c>
      <c r="CE53" s="48">
        <f t="shared" si="30"/>
        <v>5.4492072812683499E-2</v>
      </c>
      <c r="CF53" s="48">
        <f t="shared" si="31"/>
        <v>5.5261600632263028E-2</v>
      </c>
      <c r="CG53" s="48">
        <f t="shared" si="32"/>
        <v>3.8264799364322609E-2</v>
      </c>
      <c r="CH53" s="48">
        <f t="shared" si="33"/>
        <v>2.3947885430669009E-2</v>
      </c>
      <c r="CI53" s="48">
        <f t="shared" si="34"/>
        <v>1.3702560507757932E-2</v>
      </c>
      <c r="CJ53" s="48">
        <f t="shared" si="35"/>
        <v>2.8103555746857453E-2</v>
      </c>
      <c r="CK53" s="48">
        <f t="shared" si="36"/>
        <v>8.6019598279608034E-3</v>
      </c>
      <c r="CL53" s="48">
        <f t="shared" si="37"/>
        <v>2.3214253479430295E-2</v>
      </c>
      <c r="CM53" s="48">
        <f t="shared" si="61"/>
        <v>3.060393045063459E-2</v>
      </c>
      <c r="CN53" s="48">
        <f t="shared" si="62"/>
        <v>1.671573105945251E-2</v>
      </c>
      <c r="CO53" s="48">
        <f t="shared" si="174"/>
        <v>1.9399840151129839E-2</v>
      </c>
      <c r="CP53" s="48">
        <f t="shared" si="64"/>
        <v>1.7698820078661422E-2</v>
      </c>
      <c r="CQ53" s="48">
        <f t="shared" si="112"/>
        <v>1.6902721921081776E-2</v>
      </c>
      <c r="CR53" s="48">
        <f t="shared" si="65"/>
        <v>1.0253836225440986E-2</v>
      </c>
      <c r="CS53" s="48">
        <f t="shared" si="66"/>
        <v>1.9533720393907838E-2</v>
      </c>
      <c r="CT53" s="68">
        <f t="shared" si="67"/>
        <v>0.562666667020842</v>
      </c>
      <c r="CU53" s="68">
        <f t="shared" si="68"/>
        <v>0.55181926727682884</v>
      </c>
      <c r="CW53" s="42">
        <v>212</v>
      </c>
      <c r="CX53" s="58">
        <f t="shared" si="128"/>
        <v>15439</v>
      </c>
      <c r="CY53" s="58">
        <f t="shared" si="129"/>
        <v>15864</v>
      </c>
      <c r="CZ53" s="58">
        <f t="shared" si="130"/>
        <v>19824</v>
      </c>
      <c r="DA53" s="108">
        <f t="shared" si="131"/>
        <v>211</v>
      </c>
      <c r="DB53" s="58">
        <f t="shared" si="132"/>
        <v>1303</v>
      </c>
      <c r="DC53" s="58">
        <f t="shared" si="133"/>
        <v>7572</v>
      </c>
      <c r="DD53" s="58">
        <f t="shared" si="134"/>
        <v>4111</v>
      </c>
      <c r="DE53" s="58">
        <f t="shared" si="135"/>
        <v>6381</v>
      </c>
      <c r="DF53" s="58">
        <f t="shared" si="136"/>
        <v>5129</v>
      </c>
      <c r="DG53" s="58">
        <f t="shared" si="137"/>
        <v>324</v>
      </c>
      <c r="DH53" s="58">
        <f t="shared" si="138"/>
        <v>18176</v>
      </c>
      <c r="DI53" s="58">
        <f t="shared" si="139"/>
        <v>42633</v>
      </c>
      <c r="DJ53" s="58">
        <f t="shared" si="140"/>
        <v>23193</v>
      </c>
      <c r="DK53" s="58">
        <f t="shared" si="141"/>
        <v>5444</v>
      </c>
      <c r="DL53" s="58">
        <f t="shared" si="142"/>
        <v>15288</v>
      </c>
      <c r="DM53" s="58">
        <f t="shared" si="143"/>
        <v>23117</v>
      </c>
      <c r="DN53" s="58">
        <f t="shared" si="144"/>
        <v>17688</v>
      </c>
      <c r="DO53" s="58">
        <f t="shared" si="145"/>
        <v>10275</v>
      </c>
      <c r="DP53" s="58">
        <f t="shared" si="146"/>
        <v>15957</v>
      </c>
      <c r="DQ53" s="58"/>
      <c r="DR53" s="58">
        <f t="shared" si="147"/>
        <v>23116</v>
      </c>
      <c r="DS53" s="58">
        <f t="shared" si="148"/>
        <v>1711</v>
      </c>
      <c r="DT53" s="58">
        <f t="shared" si="149"/>
        <v>2672</v>
      </c>
      <c r="DU53" s="58">
        <f t="shared" si="150"/>
        <v>16615</v>
      </c>
      <c r="DV53" s="58">
        <f t="shared" si="151"/>
        <v>29730</v>
      </c>
      <c r="DW53" s="58">
        <f t="shared" si="152"/>
        <v>38401</v>
      </c>
      <c r="DX53" s="58">
        <f t="shared" si="153"/>
        <v>22976</v>
      </c>
      <c r="DY53" s="58">
        <f t="shared" si="115"/>
        <v>62341</v>
      </c>
      <c r="DZ53" s="58">
        <f t="shared" si="116"/>
        <v>32060</v>
      </c>
      <c r="EA53" s="58">
        <f t="shared" si="117"/>
        <v>5718</v>
      </c>
      <c r="EB53" s="58">
        <f t="shared" si="118"/>
        <v>7403</v>
      </c>
      <c r="EC53" s="58">
        <f t="shared" si="119"/>
        <v>10470</v>
      </c>
      <c r="ED53" s="58">
        <f t="shared" si="120"/>
        <v>10866</v>
      </c>
      <c r="EE53" s="58">
        <f t="shared" si="121"/>
        <v>26262</v>
      </c>
      <c r="EF53" s="58">
        <f t="shared" si="122"/>
        <v>33857</v>
      </c>
      <c r="EG53" s="58">
        <f t="shared" si="123"/>
        <v>13530</v>
      </c>
      <c r="EH53" s="58">
        <f t="shared" si="124"/>
        <v>6119.5054055643122</v>
      </c>
      <c r="EI53" s="58">
        <f t="shared" si="125"/>
        <v>14186</v>
      </c>
      <c r="EJ53" s="58">
        <f t="shared" si="198"/>
        <v>26489</v>
      </c>
      <c r="EK53" s="58">
        <f t="shared" si="199"/>
        <v>46371</v>
      </c>
      <c r="EL53" s="58">
        <f t="shared" si="105"/>
        <v>34738</v>
      </c>
      <c r="EM53" s="58">
        <f t="shared" si="106"/>
        <v>19556</v>
      </c>
      <c r="EN53" s="58">
        <f t="shared" si="107"/>
        <v>30843</v>
      </c>
      <c r="EO53" s="58">
        <f t="shared" si="108"/>
        <v>56772</v>
      </c>
      <c r="EP53" s="58">
        <f t="shared" si="109"/>
        <v>82782</v>
      </c>
      <c r="EQ53" s="58">
        <f t="shared" si="110"/>
        <v>136763</v>
      </c>
      <c r="ER53" s="67">
        <f t="shared" si="72"/>
        <v>45461.950540556434</v>
      </c>
      <c r="ES53" s="67">
        <f t="shared" si="73"/>
        <v>24120.451351355227</v>
      </c>
      <c r="EV53" s="42">
        <v>212</v>
      </c>
      <c r="EW53" s="128">
        <f t="shared" si="155"/>
        <v>0.67298722810688283</v>
      </c>
      <c r="EX53" s="128">
        <f t="shared" si="156"/>
        <v>0.82849383747649885</v>
      </c>
      <c r="EY53" s="128">
        <f t="shared" si="157"/>
        <v>0.86654718713117984</v>
      </c>
      <c r="EZ53" s="128">
        <f t="shared" si="158"/>
        <v>0.49069767441860462</v>
      </c>
      <c r="FA53" s="128">
        <f t="shared" si="159"/>
        <v>0.51603960396039605</v>
      </c>
      <c r="FB53" s="128">
        <f t="shared" si="160"/>
        <v>0.65672159583694711</v>
      </c>
      <c r="FC53" s="128">
        <f t="shared" si="161"/>
        <v>0.3853219608210704</v>
      </c>
      <c r="FD53" s="128">
        <f t="shared" si="162"/>
        <v>0.67782026768642445</v>
      </c>
      <c r="FE53" s="128">
        <f t="shared" si="163"/>
        <v>0.39484218629715168</v>
      </c>
      <c r="FF53" s="128">
        <f t="shared" si="164"/>
        <v>0.17161016949152541</v>
      </c>
      <c r="FG53" s="128">
        <f t="shared" si="165"/>
        <v>0.63399490739125886</v>
      </c>
      <c r="FH53" s="128">
        <f t="shared" si="166"/>
        <v>0.58790352606974916</v>
      </c>
      <c r="FI53" s="128">
        <f t="shared" si="167"/>
        <v>0.51495370678745089</v>
      </c>
      <c r="FJ53" s="128">
        <f t="shared" si="168"/>
        <v>0.5321082983090607</v>
      </c>
      <c r="FK53" s="128">
        <f t="shared" si="169"/>
        <v>0.61877200793297449</v>
      </c>
      <c r="FL53" s="128">
        <f t="shared" si="170"/>
        <v>0.58947878416972666</v>
      </c>
      <c r="FM53" s="128">
        <f t="shared" si="171"/>
        <v>0.51695113397241055</v>
      </c>
      <c r="FN53" s="128">
        <f t="shared" si="172"/>
        <v>0.54873164218958614</v>
      </c>
      <c r="FO53" s="128">
        <f t="shared" si="173"/>
        <v>0.56731965726881639</v>
      </c>
      <c r="FP53" s="128"/>
      <c r="FQ53" s="128">
        <f t="shared" si="175"/>
        <v>0.40223424802937235</v>
      </c>
      <c r="FR53" s="128">
        <f t="shared" si="176"/>
        <v>0.58039348710990502</v>
      </c>
      <c r="FS53" s="128">
        <f t="shared" si="177"/>
        <v>0.72985523081125381</v>
      </c>
      <c r="FT53" s="128">
        <f t="shared" si="178"/>
        <v>0.6944779000311232</v>
      </c>
      <c r="FU53" s="128">
        <f t="shared" si="179"/>
        <v>0.42557150832390961</v>
      </c>
      <c r="FV53" s="130">
        <f t="shared" si="180"/>
        <v>0.49839712390816232</v>
      </c>
      <c r="FW53" s="128">
        <f t="shared" si="181"/>
        <v>0.3505324504927837</v>
      </c>
      <c r="FX53" s="128">
        <f t="shared" si="182"/>
        <v>0.61682844053944408</v>
      </c>
      <c r="FY53" s="128">
        <f t="shared" si="183"/>
        <v>0.48060202674341906</v>
      </c>
      <c r="FZ53" s="128">
        <f t="shared" si="184"/>
        <v>0.5706017363536573</v>
      </c>
      <c r="GA53" s="128">
        <f t="shared" si="185"/>
        <v>0.59209789650483879</v>
      </c>
      <c r="GB53" s="128">
        <f t="shared" si="186"/>
        <v>0.61479741632413387</v>
      </c>
      <c r="GC53" s="128">
        <f t="shared" si="187"/>
        <v>0.48230727106037752</v>
      </c>
      <c r="GD53" s="128">
        <f t="shared" si="188"/>
        <v>0.65211561382598326</v>
      </c>
      <c r="GE53" s="128">
        <f t="shared" si="189"/>
        <v>0.70017578326956886</v>
      </c>
      <c r="GF53" s="128">
        <f t="shared" si="190"/>
        <v>0.6943657066290817</v>
      </c>
      <c r="GG53" s="128">
        <f t="shared" si="191"/>
        <v>0.4519774457695705</v>
      </c>
      <c r="GH53" s="128">
        <f t="shared" si="192"/>
        <v>0.62900722741985549</v>
      </c>
      <c r="GI53" s="128">
        <f t="shared" si="193"/>
        <v>0.47816668772677223</v>
      </c>
      <c r="GJ53" s="128">
        <f t="shared" si="194"/>
        <v>0.64040381720504358</v>
      </c>
      <c r="GK53" s="128">
        <f t="shared" si="195"/>
        <v>0.58772375054985959</v>
      </c>
      <c r="GL53" s="128">
        <f t="shared" si="196"/>
        <v>0.47363704618663566</v>
      </c>
      <c r="GM53" s="128">
        <f t="shared" si="197"/>
        <v>0.51401573228451436</v>
      </c>
      <c r="GN53" s="128">
        <f t="shared" si="97"/>
        <v>0.6617940199335548</v>
      </c>
      <c r="GO53" s="128">
        <f t="shared" si="98"/>
        <v>0.53962687248217145</v>
      </c>
      <c r="GP53" s="128">
        <f t="shared" si="99"/>
        <v>0.65031407065044244</v>
      </c>
      <c r="GQ53" s="129">
        <f t="shared" si="100"/>
        <v>0.562666667020842</v>
      </c>
      <c r="GR53" s="129">
        <f t="shared" si="101"/>
        <v>0.55181926727682884</v>
      </c>
    </row>
    <row r="54" spans="1:200" x14ac:dyDescent="0.25">
      <c r="A54" s="42">
        <v>213</v>
      </c>
      <c r="B54" s="81">
        <v>737</v>
      </c>
      <c r="C54" s="81">
        <v>357</v>
      </c>
      <c r="D54" s="81">
        <v>101</v>
      </c>
      <c r="E54" s="81">
        <v>42</v>
      </c>
      <c r="F54" s="81">
        <v>68</v>
      </c>
      <c r="G54" s="81">
        <v>155</v>
      </c>
      <c r="H54" s="81">
        <v>143</v>
      </c>
      <c r="I54" s="81">
        <v>261</v>
      </c>
      <c r="J54" s="81">
        <v>290</v>
      </c>
      <c r="K54" s="81">
        <v>5</v>
      </c>
      <c r="L54" s="81">
        <v>598</v>
      </c>
      <c r="M54" s="81">
        <v>5502</v>
      </c>
      <c r="N54" s="81">
        <v>1706</v>
      </c>
      <c r="O54" s="81">
        <v>227</v>
      </c>
      <c r="P54" s="81">
        <v>679</v>
      </c>
      <c r="Q54" s="81">
        <v>1319</v>
      </c>
      <c r="R54" s="81">
        <v>174</v>
      </c>
      <c r="S54" s="81">
        <v>112</v>
      </c>
      <c r="T54" s="81">
        <v>1001</v>
      </c>
      <c r="V54" s="81">
        <v>1509</v>
      </c>
      <c r="W54" s="81">
        <v>307</v>
      </c>
      <c r="X54" s="81">
        <v>36</v>
      </c>
      <c r="Y54" s="81">
        <v>1262</v>
      </c>
      <c r="Z54" s="81">
        <v>1077</v>
      </c>
      <c r="AA54" s="81">
        <v>4165</v>
      </c>
      <c r="AB54" s="81">
        <v>948</v>
      </c>
      <c r="AC54" s="81">
        <v>1783</v>
      </c>
      <c r="AD54" s="81">
        <v>1039</v>
      </c>
      <c r="AE54" s="81">
        <v>112</v>
      </c>
      <c r="AF54" s="84">
        <v>384</v>
      </c>
      <c r="AG54" s="84">
        <v>570</v>
      </c>
      <c r="AH54" s="84">
        <v>580</v>
      </c>
      <c r="AI54" s="83">
        <v>1797</v>
      </c>
      <c r="AJ54" s="83">
        <v>1817</v>
      </c>
      <c r="AK54" s="83">
        <v>553</v>
      </c>
      <c r="AL54" s="80">
        <v>440.47156572640699</v>
      </c>
      <c r="AM54" s="86">
        <v>48</v>
      </c>
      <c r="AN54" s="86">
        <v>161</v>
      </c>
      <c r="AO54" s="86">
        <v>3902</v>
      </c>
      <c r="AP54" s="126">
        <v>1091</v>
      </c>
      <c r="AQ54" s="126">
        <v>693</v>
      </c>
      <c r="AR54" s="126">
        <v>982</v>
      </c>
      <c r="AS54" s="126">
        <v>88</v>
      </c>
      <c r="AT54" s="126">
        <v>4006</v>
      </c>
      <c r="AU54" s="126">
        <v>5634</v>
      </c>
      <c r="AV54" s="71">
        <f t="shared" si="113"/>
        <v>1704.5471565726407</v>
      </c>
      <c r="AW54" s="71">
        <f t="shared" si="102"/>
        <v>47187.990951097316</v>
      </c>
      <c r="AY54" s="42">
        <v>213</v>
      </c>
      <c r="AZ54" s="48">
        <f t="shared" si="154"/>
        <v>3.2125888147857551E-2</v>
      </c>
      <c r="BA54" s="48">
        <f t="shared" si="1"/>
        <v>1.8644244829747234E-2</v>
      </c>
      <c r="BB54" s="48">
        <f t="shared" si="2"/>
        <v>4.4149145429907772E-3</v>
      </c>
      <c r="BC54" s="48">
        <f t="shared" si="3"/>
        <v>9.7674418604651161E-2</v>
      </c>
      <c r="BD54" s="48">
        <f t="shared" si="4"/>
        <v>2.693069306930693E-2</v>
      </c>
      <c r="BE54" s="48">
        <f t="shared" si="5"/>
        <v>1.3443191673894189E-2</v>
      </c>
      <c r="BF54" s="48">
        <f t="shared" si="6"/>
        <v>1.3403318024182211E-2</v>
      </c>
      <c r="BG54" s="48">
        <f t="shared" si="7"/>
        <v>2.7724665391969407E-2</v>
      </c>
      <c r="BH54" s="48">
        <f t="shared" si="8"/>
        <v>2.2324865280985373E-2</v>
      </c>
      <c r="BI54" s="48">
        <f t="shared" si="9"/>
        <v>2.6483050847457626E-3</v>
      </c>
      <c r="BJ54" s="48">
        <f t="shared" si="10"/>
        <v>2.0858767309637587E-2</v>
      </c>
      <c r="BK54" s="48">
        <f t="shared" si="11"/>
        <v>7.5871864528317498E-2</v>
      </c>
      <c r="BL54" s="48">
        <f t="shared" si="12"/>
        <v>3.7878283265614245E-2</v>
      </c>
      <c r="BM54" s="48">
        <f t="shared" si="13"/>
        <v>2.2187469455576189E-2</v>
      </c>
      <c r="BN54" s="48">
        <f t="shared" si="14"/>
        <v>2.7482090095924231E-2</v>
      </c>
      <c r="BO54" s="48">
        <f t="shared" si="15"/>
        <v>3.3634230926152593E-2</v>
      </c>
      <c r="BP54" s="48">
        <f t="shared" si="16"/>
        <v>5.0853401917231702E-3</v>
      </c>
      <c r="BQ54" s="48">
        <f t="shared" si="17"/>
        <v>5.981308411214953E-3</v>
      </c>
      <c r="BR54" s="48">
        <f t="shared" si="18"/>
        <v>3.5588580367618305E-2</v>
      </c>
      <c r="BS54" s="48"/>
      <c r="BT54" s="48">
        <f t="shared" si="19"/>
        <v>2.6257634550801302E-2</v>
      </c>
      <c r="BU54" s="48">
        <f t="shared" si="20"/>
        <v>0.10413839891451832</v>
      </c>
      <c r="BV54" s="48">
        <f t="shared" si="21"/>
        <v>9.8333788582354552E-3</v>
      </c>
      <c r="BW54" s="48">
        <f t="shared" si="22"/>
        <v>5.2749389698421752E-2</v>
      </c>
      <c r="BX54" s="48">
        <f t="shared" si="23"/>
        <v>1.5416768061380781E-2</v>
      </c>
      <c r="BY54" s="48">
        <f t="shared" si="24"/>
        <v>5.4056509493958391E-2</v>
      </c>
      <c r="BZ54" s="48">
        <f t="shared" si="25"/>
        <v>1.4463125133494036E-2</v>
      </c>
      <c r="CA54" s="48">
        <f t="shared" si="26"/>
        <v>1.764176239524276E-2</v>
      </c>
      <c r="CB54" s="48">
        <f t="shared" si="27"/>
        <v>1.5575343287161959E-2</v>
      </c>
      <c r="CC54" s="48">
        <f t="shared" si="28"/>
        <v>1.1176529288494162E-2</v>
      </c>
      <c r="CD54" s="48">
        <f t="shared" si="29"/>
        <v>3.0712628969047428E-2</v>
      </c>
      <c r="CE54" s="48">
        <f t="shared" si="30"/>
        <v>3.3470346447445683E-2</v>
      </c>
      <c r="CF54" s="48">
        <f t="shared" si="31"/>
        <v>2.5744360133905665E-2</v>
      </c>
      <c r="CG54" s="48">
        <f t="shared" si="32"/>
        <v>4.4621573301549464E-2</v>
      </c>
      <c r="CH54" s="48">
        <f t="shared" si="33"/>
        <v>3.7576258918415879E-2</v>
      </c>
      <c r="CI54" s="48">
        <f t="shared" si="34"/>
        <v>2.8380209590974294E-2</v>
      </c>
      <c r="CJ54" s="48">
        <f t="shared" si="35"/>
        <v>3.2532565953798089E-2</v>
      </c>
      <c r="CK54" s="48">
        <f t="shared" si="36"/>
        <v>2.1283199574336008E-3</v>
      </c>
      <c r="CL54" s="48">
        <f t="shared" si="37"/>
        <v>2.9062945646876185E-3</v>
      </c>
      <c r="CM54" s="48">
        <f t="shared" si="61"/>
        <v>5.3888328798906211E-2</v>
      </c>
      <c r="CN54" s="48">
        <f t="shared" si="62"/>
        <v>1.8458362941156565E-2</v>
      </c>
      <c r="CO54" s="48">
        <f t="shared" si="174"/>
        <v>1.6784131366707838E-2</v>
      </c>
      <c r="CP54" s="48">
        <f t="shared" si="64"/>
        <v>1.6365575628291447E-2</v>
      </c>
      <c r="CQ54" s="48">
        <f t="shared" si="112"/>
        <v>1.0258203648656524E-3</v>
      </c>
      <c r="CR54" s="48">
        <f t="shared" si="65"/>
        <v>2.6113711328109721E-2</v>
      </c>
      <c r="CS54" s="48">
        <f t="shared" si="66"/>
        <v>2.6789917404887235E-2</v>
      </c>
      <c r="CT54" s="68">
        <f t="shared" si="67"/>
        <v>0.58236596985172639</v>
      </c>
      <c r="CU54" s="68">
        <f t="shared" si="68"/>
        <v>0.57840097992143258</v>
      </c>
      <c r="CW54" s="42">
        <v>213</v>
      </c>
      <c r="CX54" s="58">
        <f t="shared" si="128"/>
        <v>16176</v>
      </c>
      <c r="CY54" s="58">
        <f t="shared" si="129"/>
        <v>16221</v>
      </c>
      <c r="CZ54" s="58">
        <f t="shared" si="130"/>
        <v>19925</v>
      </c>
      <c r="DA54" s="58">
        <f t="shared" si="131"/>
        <v>253</v>
      </c>
      <c r="DB54" s="58">
        <f t="shared" si="132"/>
        <v>1371</v>
      </c>
      <c r="DC54" s="58">
        <f t="shared" si="133"/>
        <v>7727</v>
      </c>
      <c r="DD54" s="58">
        <f t="shared" si="134"/>
        <v>4254</v>
      </c>
      <c r="DE54" s="58">
        <f t="shared" si="135"/>
        <v>6642</v>
      </c>
      <c r="DF54" s="58">
        <f t="shared" si="136"/>
        <v>5419</v>
      </c>
      <c r="DG54" s="58">
        <f t="shared" si="137"/>
        <v>329</v>
      </c>
      <c r="DH54" s="58">
        <f t="shared" si="138"/>
        <v>18774</v>
      </c>
      <c r="DI54" s="58">
        <f t="shared" si="139"/>
        <v>48135</v>
      </c>
      <c r="DJ54" s="58">
        <f t="shared" si="140"/>
        <v>24899</v>
      </c>
      <c r="DK54" s="58">
        <f t="shared" si="141"/>
        <v>5671</v>
      </c>
      <c r="DL54" s="58">
        <f t="shared" si="142"/>
        <v>15967</v>
      </c>
      <c r="DM54" s="58">
        <f t="shared" si="143"/>
        <v>24436</v>
      </c>
      <c r="DN54" s="58">
        <f t="shared" si="144"/>
        <v>17862</v>
      </c>
      <c r="DO54" s="58">
        <f t="shared" si="145"/>
        <v>10387</v>
      </c>
      <c r="DP54" s="58">
        <f t="shared" si="146"/>
        <v>16958</v>
      </c>
      <c r="DQ54" s="58"/>
      <c r="DR54" s="58">
        <f t="shared" si="147"/>
        <v>24625</v>
      </c>
      <c r="DS54" s="58">
        <f t="shared" si="148"/>
        <v>2018</v>
      </c>
      <c r="DT54" s="58">
        <f t="shared" si="149"/>
        <v>2708</v>
      </c>
      <c r="DU54" s="58">
        <f t="shared" si="150"/>
        <v>17877</v>
      </c>
      <c r="DV54" s="58">
        <f t="shared" si="151"/>
        <v>30807</v>
      </c>
      <c r="DW54" s="58">
        <f t="shared" si="152"/>
        <v>42566</v>
      </c>
      <c r="DX54" s="58">
        <f t="shared" si="153"/>
        <v>23924</v>
      </c>
      <c r="DY54" s="58">
        <f t="shared" si="115"/>
        <v>64124</v>
      </c>
      <c r="DZ54" s="58">
        <f t="shared" si="116"/>
        <v>33099</v>
      </c>
      <c r="EA54" s="58">
        <f t="shared" si="117"/>
        <v>5830</v>
      </c>
      <c r="EB54" s="58">
        <f t="shared" si="118"/>
        <v>7787</v>
      </c>
      <c r="EC54" s="58">
        <f t="shared" si="119"/>
        <v>11040</v>
      </c>
      <c r="ED54" s="108">
        <f t="shared" si="120"/>
        <v>11446</v>
      </c>
      <c r="EE54" s="58">
        <f t="shared" si="121"/>
        <v>28059</v>
      </c>
      <c r="EF54" s="58">
        <f t="shared" si="122"/>
        <v>35674</v>
      </c>
      <c r="EG54" s="58">
        <f t="shared" si="123"/>
        <v>14083</v>
      </c>
      <c r="EH54" s="58">
        <f t="shared" si="124"/>
        <v>6559.9769712907191</v>
      </c>
      <c r="EI54" s="58">
        <f t="shared" si="125"/>
        <v>14234</v>
      </c>
      <c r="EJ54" s="108">
        <f t="shared" si="198"/>
        <v>26650</v>
      </c>
      <c r="EK54" s="58">
        <f t="shared" si="199"/>
        <v>50273</v>
      </c>
      <c r="EL54" s="58">
        <f t="shared" si="105"/>
        <v>35829</v>
      </c>
      <c r="EM54" s="58">
        <f t="shared" si="106"/>
        <v>20249</v>
      </c>
      <c r="EN54" s="58">
        <f t="shared" si="107"/>
        <v>31825</v>
      </c>
      <c r="EO54" s="58">
        <f t="shared" si="108"/>
        <v>56860</v>
      </c>
      <c r="EP54" s="58">
        <f t="shared" si="109"/>
        <v>86788</v>
      </c>
      <c r="EQ54" s="58">
        <f t="shared" si="110"/>
        <v>142397</v>
      </c>
      <c r="ER54" s="67">
        <f t="shared" si="72"/>
        <v>47166.497697129074</v>
      </c>
      <c r="ES54" s="67">
        <f t="shared" si="73"/>
        <v>25272.26773100709</v>
      </c>
      <c r="EV54" s="42">
        <v>213</v>
      </c>
      <c r="EW54" s="128">
        <f t="shared" si="155"/>
        <v>0.70511311625474038</v>
      </c>
      <c r="EX54" s="128">
        <f t="shared" si="156"/>
        <v>0.8471380823062461</v>
      </c>
      <c r="EY54" s="128">
        <f t="shared" si="157"/>
        <v>0.87096210167417054</v>
      </c>
      <c r="EZ54" s="130">
        <f t="shared" si="158"/>
        <v>0.58837209302325577</v>
      </c>
      <c r="FA54" s="128">
        <f t="shared" si="159"/>
        <v>0.54297029702970301</v>
      </c>
      <c r="FB54" s="128">
        <f t="shared" si="160"/>
        <v>0.6701647875108413</v>
      </c>
      <c r="FC54" s="128">
        <f t="shared" si="161"/>
        <v>0.39872527884525261</v>
      </c>
      <c r="FD54" s="128">
        <f t="shared" si="162"/>
        <v>0.70554493307839383</v>
      </c>
      <c r="FE54" s="128">
        <f t="shared" si="163"/>
        <v>0.41716705157813705</v>
      </c>
      <c r="FF54" s="128">
        <f t="shared" si="164"/>
        <v>0.17425847457627119</v>
      </c>
      <c r="FG54" s="128">
        <f t="shared" si="165"/>
        <v>0.65485367470089639</v>
      </c>
      <c r="FH54" s="128">
        <f t="shared" si="166"/>
        <v>0.66377539059806667</v>
      </c>
      <c r="FI54" s="128">
        <f t="shared" si="167"/>
        <v>0.55283199005306516</v>
      </c>
      <c r="FJ54" s="128">
        <f t="shared" si="168"/>
        <v>0.55429576776463685</v>
      </c>
      <c r="FK54" s="128">
        <f t="shared" si="169"/>
        <v>0.64625409802889866</v>
      </c>
      <c r="FL54" s="128">
        <f t="shared" si="170"/>
        <v>0.62311301509587924</v>
      </c>
      <c r="FM54" s="128">
        <f t="shared" si="171"/>
        <v>0.52203647416413379</v>
      </c>
      <c r="FN54" s="128">
        <f t="shared" si="172"/>
        <v>0.55471295060080106</v>
      </c>
      <c r="FO54" s="128">
        <f t="shared" si="173"/>
        <v>0.60290823763643475</v>
      </c>
      <c r="FP54" s="128"/>
      <c r="FQ54" s="128">
        <f t="shared" si="175"/>
        <v>0.42849188258017368</v>
      </c>
      <c r="FR54" s="128">
        <f t="shared" si="176"/>
        <v>0.68453188602442339</v>
      </c>
      <c r="FS54" s="128">
        <f t="shared" si="177"/>
        <v>0.73968860966948924</v>
      </c>
      <c r="FT54" s="128">
        <f t="shared" si="178"/>
        <v>0.74722728972954489</v>
      </c>
      <c r="FU54" s="128">
        <f t="shared" si="179"/>
        <v>0.44098827638529037</v>
      </c>
      <c r="FV54" s="128">
        <f t="shared" si="180"/>
        <v>0.55245363340212073</v>
      </c>
      <c r="FW54" s="128">
        <f t="shared" si="181"/>
        <v>0.36499557562627771</v>
      </c>
      <c r="FX54" s="128">
        <f t="shared" si="182"/>
        <v>0.63447020293468692</v>
      </c>
      <c r="FY54" s="130">
        <f t="shared" si="183"/>
        <v>0.49617737003058104</v>
      </c>
      <c r="FZ54" s="128">
        <f t="shared" si="184"/>
        <v>0.58177826564215152</v>
      </c>
      <c r="GA54" s="128">
        <f t="shared" si="185"/>
        <v>0.62281052547388627</v>
      </c>
      <c r="GB54" s="128">
        <f t="shared" si="186"/>
        <v>0.6482677627715796</v>
      </c>
      <c r="GC54" s="130">
        <f t="shared" si="187"/>
        <v>0.5080516311942832</v>
      </c>
      <c r="GD54" s="128">
        <f t="shared" si="188"/>
        <v>0.69673718712753274</v>
      </c>
      <c r="GE54" s="128">
        <f t="shared" si="189"/>
        <v>0.73775204218798474</v>
      </c>
      <c r="GF54" s="128">
        <f t="shared" si="190"/>
        <v>0.72274591622005602</v>
      </c>
      <c r="GG54" s="128">
        <f t="shared" si="191"/>
        <v>0.48451001172336855</v>
      </c>
      <c r="GH54" s="128">
        <f t="shared" si="192"/>
        <v>0.63113554737728905</v>
      </c>
      <c r="GI54" s="128">
        <f t="shared" si="193"/>
        <v>0.48107298229145984</v>
      </c>
      <c r="GJ54" s="128">
        <f t="shared" si="194"/>
        <v>0.69429214600394984</v>
      </c>
      <c r="GK54" s="128">
        <f t="shared" si="195"/>
        <v>0.60618211349101614</v>
      </c>
      <c r="GL54" s="128">
        <f t="shared" si="196"/>
        <v>0.49042117755334352</v>
      </c>
      <c r="GM54" s="128">
        <f t="shared" si="197"/>
        <v>0.5303813079128058</v>
      </c>
      <c r="GN54" s="128">
        <f t="shared" si="97"/>
        <v>0.66281984029842045</v>
      </c>
      <c r="GO54" s="128">
        <f t="shared" si="98"/>
        <v>0.56574058381028125</v>
      </c>
      <c r="GP54" s="128">
        <f t="shared" si="99"/>
        <v>0.67710398805532968</v>
      </c>
      <c r="GQ54" s="129">
        <f t="shared" si="100"/>
        <v>0.58236596985172639</v>
      </c>
      <c r="GR54" s="129">
        <f t="shared" si="101"/>
        <v>0.57840097992143258</v>
      </c>
    </row>
    <row r="55" spans="1:200" x14ac:dyDescent="0.25">
      <c r="A55" s="42">
        <v>214</v>
      </c>
      <c r="B55" s="81">
        <v>378</v>
      </c>
      <c r="C55" s="81">
        <v>363</v>
      </c>
      <c r="D55" s="81">
        <v>212</v>
      </c>
      <c r="E55" s="81">
        <v>46</v>
      </c>
      <c r="F55" s="81">
        <v>48</v>
      </c>
      <c r="G55" s="81">
        <v>47</v>
      </c>
      <c r="H55" s="81">
        <v>192</v>
      </c>
      <c r="I55" s="81">
        <v>155</v>
      </c>
      <c r="J55" s="81">
        <v>40</v>
      </c>
      <c r="K55" s="81">
        <v>24</v>
      </c>
      <c r="L55" s="81">
        <v>739</v>
      </c>
      <c r="M55" s="81">
        <v>1941</v>
      </c>
      <c r="N55" s="81">
        <v>2040</v>
      </c>
      <c r="O55" s="81">
        <v>127</v>
      </c>
      <c r="P55" s="81">
        <v>614</v>
      </c>
      <c r="Q55" s="81">
        <v>1685</v>
      </c>
      <c r="R55" s="81">
        <v>2610</v>
      </c>
      <c r="S55" s="81">
        <v>254</v>
      </c>
      <c r="T55" s="81">
        <v>126</v>
      </c>
      <c r="V55" s="81">
        <v>2583</v>
      </c>
      <c r="W55" s="81">
        <v>41</v>
      </c>
      <c r="X55" s="81">
        <v>50</v>
      </c>
      <c r="Y55" s="81">
        <v>547</v>
      </c>
      <c r="Z55" s="81">
        <v>365</v>
      </c>
      <c r="AA55" s="81">
        <v>1195</v>
      </c>
      <c r="AB55" s="81">
        <v>560</v>
      </c>
      <c r="AC55" s="81">
        <v>2878</v>
      </c>
      <c r="AD55" s="81">
        <v>3756</v>
      </c>
      <c r="AE55" s="81">
        <v>86</v>
      </c>
      <c r="AF55" s="84">
        <v>332</v>
      </c>
      <c r="AG55" s="84">
        <v>120</v>
      </c>
      <c r="AH55" s="84">
        <v>627</v>
      </c>
      <c r="AI55" s="83">
        <v>1107</v>
      </c>
      <c r="AJ55" s="83">
        <v>944</v>
      </c>
      <c r="AK55" s="83">
        <v>329</v>
      </c>
      <c r="AL55" s="81">
        <v>10</v>
      </c>
      <c r="AM55" s="86">
        <v>354</v>
      </c>
      <c r="AN55" s="86">
        <v>2426</v>
      </c>
      <c r="AO55" s="86">
        <v>328</v>
      </c>
      <c r="AP55" s="126">
        <v>1308</v>
      </c>
      <c r="AQ55" s="126">
        <v>1071</v>
      </c>
      <c r="AR55" s="126">
        <v>1346</v>
      </c>
      <c r="AS55" s="126">
        <v>695</v>
      </c>
      <c r="AT55" s="126">
        <v>1404</v>
      </c>
      <c r="AU55" s="126">
        <v>4884</v>
      </c>
      <c r="AV55" s="71">
        <f t="shared" si="113"/>
        <v>1382.6</v>
      </c>
      <c r="AW55" s="71">
        <f t="shared" si="102"/>
        <v>48570.590951097314</v>
      </c>
      <c r="AY55" s="42">
        <v>214</v>
      </c>
      <c r="AZ55" s="48">
        <f t="shared" si="154"/>
        <v>1.6477049823460179E-2</v>
      </c>
      <c r="BA55" s="48">
        <f t="shared" si="1"/>
        <v>1.8957593482348024E-2</v>
      </c>
      <c r="BB55" s="48">
        <f t="shared" si="2"/>
        <v>9.2669493377628177E-3</v>
      </c>
      <c r="BC55" s="48">
        <f t="shared" si="3"/>
        <v>0.10697674418604651</v>
      </c>
      <c r="BD55" s="48">
        <f t="shared" si="4"/>
        <v>1.9009900990099009E-2</v>
      </c>
      <c r="BE55" s="48">
        <f t="shared" si="5"/>
        <v>4.076322636600173E-3</v>
      </c>
      <c r="BF55" s="48">
        <f t="shared" si="6"/>
        <v>1.799606336113975E-2</v>
      </c>
      <c r="BG55" s="48">
        <f t="shared" si="7"/>
        <v>1.6464839600594857E-2</v>
      </c>
      <c r="BH55" s="48">
        <f t="shared" si="8"/>
        <v>3.0792917628945341E-3</v>
      </c>
      <c r="BI55" s="48">
        <f t="shared" si="9"/>
        <v>1.2711864406779662E-2</v>
      </c>
      <c r="BJ55" s="48">
        <f t="shared" si="10"/>
        <v>2.5776971641843106E-2</v>
      </c>
      <c r="BK55" s="48">
        <f t="shared" si="11"/>
        <v>2.6766137595322478E-2</v>
      </c>
      <c r="BL55" s="48">
        <f t="shared" si="12"/>
        <v>4.5294078465330047E-2</v>
      </c>
      <c r="BM55" s="48">
        <f t="shared" si="13"/>
        <v>1.2413253836379631E-2</v>
      </c>
      <c r="BN55" s="48">
        <f t="shared" si="14"/>
        <v>2.4851256728862264E-2</v>
      </c>
      <c r="BO55" s="48">
        <f t="shared" si="15"/>
        <v>4.2967156262749898E-2</v>
      </c>
      <c r="BP55" s="48">
        <f t="shared" si="16"/>
        <v>7.6280102875847564E-2</v>
      </c>
      <c r="BQ55" s="48">
        <f t="shared" si="17"/>
        <v>1.356475300400534E-2</v>
      </c>
      <c r="BR55" s="48">
        <f t="shared" si="18"/>
        <v>4.479681444875031E-3</v>
      </c>
      <c r="BS55" s="48"/>
      <c r="BT55" s="48">
        <f t="shared" si="19"/>
        <v>4.4945970871252329E-2</v>
      </c>
      <c r="BU55" s="48">
        <f t="shared" si="20"/>
        <v>1.3907734056987787E-2</v>
      </c>
      <c r="BV55" s="48">
        <f t="shared" si="21"/>
        <v>1.3657470636438131E-2</v>
      </c>
      <c r="BW55" s="48">
        <f t="shared" si="22"/>
        <v>2.2863641969125752E-2</v>
      </c>
      <c r="BX55" s="48">
        <f t="shared" si="23"/>
        <v>5.2248099743769597E-3</v>
      </c>
      <c r="BY55" s="48">
        <f t="shared" si="24"/>
        <v>1.5509610767174137E-2</v>
      </c>
      <c r="BZ55" s="48">
        <f t="shared" si="25"/>
        <v>8.5436182223171519E-3</v>
      </c>
      <c r="CA55" s="48">
        <f t="shared" si="26"/>
        <v>2.8476159379421571E-2</v>
      </c>
      <c r="CB55" s="48">
        <f t="shared" si="27"/>
        <v>5.6305090843676922E-2</v>
      </c>
      <c r="CC55" s="48">
        <f t="shared" si="28"/>
        <v>8.581977846522303E-3</v>
      </c>
      <c r="CD55" s="48">
        <f t="shared" si="29"/>
        <v>2.6553627129488923E-2</v>
      </c>
      <c r="CE55" s="48">
        <f t="shared" si="30"/>
        <v>7.046388725778039E-3</v>
      </c>
      <c r="CF55" s="48">
        <f t="shared" si="31"/>
        <v>2.7830541041308367E-2</v>
      </c>
      <c r="CG55" s="48">
        <f t="shared" si="32"/>
        <v>2.7488081048867699E-2</v>
      </c>
      <c r="CH55" s="48">
        <f t="shared" si="33"/>
        <v>1.9522283114465928E-2</v>
      </c>
      <c r="CI55" s="48">
        <f t="shared" si="34"/>
        <v>1.6884428490832808E-2</v>
      </c>
      <c r="CJ55" s="48">
        <f t="shared" si="35"/>
        <v>7.3858492772732706E-4</v>
      </c>
      <c r="CK55" s="48">
        <f t="shared" si="36"/>
        <v>1.5696359686072806E-2</v>
      </c>
      <c r="CL55" s="48">
        <f t="shared" si="37"/>
        <v>4.379298517970287E-2</v>
      </c>
      <c r="CM55" s="48">
        <f t="shared" si="61"/>
        <v>4.5298236407076472E-3</v>
      </c>
      <c r="CN55" s="48">
        <f t="shared" si="62"/>
        <v>2.2129733022028222E-2</v>
      </c>
      <c r="CO55" s="48">
        <f t="shared" si="174"/>
        <v>2.5939112112184845E-2</v>
      </c>
      <c r="CP55" s="48">
        <f t="shared" si="64"/>
        <v>2.2431837877474835E-2</v>
      </c>
      <c r="CQ55" s="48">
        <f t="shared" si="112"/>
        <v>8.1016494725185059E-3</v>
      </c>
      <c r="CR55" s="48">
        <f t="shared" si="65"/>
        <v>9.1521843995671613E-3</v>
      </c>
      <c r="CS55" s="48">
        <f t="shared" si="66"/>
        <v>2.3223634470264334E-2</v>
      </c>
      <c r="CT55" s="68">
        <f t="shared" si="67"/>
        <v>0.59993956033055129</v>
      </c>
      <c r="CU55" s="68">
        <f t="shared" si="68"/>
        <v>0.59949388269020343</v>
      </c>
      <c r="CW55" s="42">
        <v>214</v>
      </c>
      <c r="CX55" s="58">
        <f t="shared" si="128"/>
        <v>16554</v>
      </c>
      <c r="CY55" s="58">
        <f t="shared" si="129"/>
        <v>16584</v>
      </c>
      <c r="CZ55" s="58">
        <f t="shared" si="130"/>
        <v>20137</v>
      </c>
      <c r="DA55" s="58">
        <f t="shared" si="131"/>
        <v>299</v>
      </c>
      <c r="DB55" s="58">
        <f t="shared" si="132"/>
        <v>1419</v>
      </c>
      <c r="DC55" s="58">
        <f t="shared" si="133"/>
        <v>7774</v>
      </c>
      <c r="DD55" s="58">
        <f t="shared" si="134"/>
        <v>4446</v>
      </c>
      <c r="DE55" s="58">
        <f t="shared" si="135"/>
        <v>6797</v>
      </c>
      <c r="DF55" s="58">
        <f t="shared" si="136"/>
        <v>5459</v>
      </c>
      <c r="DG55" s="58">
        <f t="shared" si="137"/>
        <v>353</v>
      </c>
      <c r="DH55" s="58">
        <f t="shared" si="138"/>
        <v>19513</v>
      </c>
      <c r="DI55" s="58">
        <f t="shared" si="139"/>
        <v>50076</v>
      </c>
      <c r="DJ55" s="58">
        <f t="shared" si="140"/>
        <v>26939</v>
      </c>
      <c r="DK55" s="58">
        <f t="shared" si="141"/>
        <v>5798</v>
      </c>
      <c r="DL55" s="58">
        <f t="shared" si="142"/>
        <v>16581</v>
      </c>
      <c r="DM55" s="58">
        <f t="shared" si="143"/>
        <v>26121</v>
      </c>
      <c r="DN55" s="58">
        <f t="shared" si="144"/>
        <v>20472</v>
      </c>
      <c r="DO55" s="58">
        <f t="shared" si="145"/>
        <v>10641</v>
      </c>
      <c r="DP55" s="58">
        <f t="shared" si="146"/>
        <v>17084</v>
      </c>
      <c r="DQ55" s="58"/>
      <c r="DR55" s="58">
        <f t="shared" si="147"/>
        <v>27208</v>
      </c>
      <c r="DS55" s="58">
        <f t="shared" si="148"/>
        <v>2059</v>
      </c>
      <c r="DT55" s="58">
        <f t="shared" si="149"/>
        <v>2758</v>
      </c>
      <c r="DU55" s="58">
        <f t="shared" si="150"/>
        <v>18424</v>
      </c>
      <c r="DV55" s="58">
        <f t="shared" si="151"/>
        <v>31172</v>
      </c>
      <c r="DW55" s="58">
        <f t="shared" si="152"/>
        <v>43761</v>
      </c>
      <c r="DX55" s="58">
        <f t="shared" si="153"/>
        <v>24484</v>
      </c>
      <c r="DY55" s="58">
        <f t="shared" si="115"/>
        <v>67002</v>
      </c>
      <c r="DZ55" s="58">
        <f t="shared" si="116"/>
        <v>36855</v>
      </c>
      <c r="EA55" s="58">
        <f t="shared" si="117"/>
        <v>5916</v>
      </c>
      <c r="EB55" s="58">
        <f t="shared" si="118"/>
        <v>8119</v>
      </c>
      <c r="EC55" s="58">
        <f t="shared" si="119"/>
        <v>11160</v>
      </c>
      <c r="ED55" s="58">
        <f t="shared" si="120"/>
        <v>12073</v>
      </c>
      <c r="EE55" s="58">
        <f t="shared" si="121"/>
        <v>29166</v>
      </c>
      <c r="EF55" s="58">
        <f t="shared" si="122"/>
        <v>36618</v>
      </c>
      <c r="EG55" s="58">
        <f t="shared" si="123"/>
        <v>14412</v>
      </c>
      <c r="EH55" s="58">
        <f t="shared" si="124"/>
        <v>6569.9769712907191</v>
      </c>
      <c r="EI55" s="58">
        <f t="shared" si="125"/>
        <v>14588</v>
      </c>
      <c r="EJ55" s="58">
        <f t="shared" si="198"/>
        <v>29076</v>
      </c>
      <c r="EK55" s="58">
        <f t="shared" si="199"/>
        <v>50601</v>
      </c>
      <c r="EL55" s="58">
        <f t="shared" si="105"/>
        <v>37137</v>
      </c>
      <c r="EM55" s="58">
        <f t="shared" si="106"/>
        <v>21320</v>
      </c>
      <c r="EN55" s="58">
        <f t="shared" si="107"/>
        <v>33171</v>
      </c>
      <c r="EO55" s="58">
        <f t="shared" si="108"/>
        <v>57555</v>
      </c>
      <c r="EP55" s="58">
        <f t="shared" si="109"/>
        <v>88192</v>
      </c>
      <c r="EQ55" s="58">
        <f t="shared" si="110"/>
        <v>147281</v>
      </c>
      <c r="ER55" s="67">
        <f t="shared" si="72"/>
        <v>48549.097697129073</v>
      </c>
      <c r="ES55" s="67">
        <f t="shared" si="73"/>
        <v>26247.584804177823</v>
      </c>
      <c r="EV55" s="42">
        <v>214</v>
      </c>
      <c r="EW55" s="128">
        <f t="shared" si="155"/>
        <v>0.72159016607820059</v>
      </c>
      <c r="EX55" s="128">
        <f t="shared" si="156"/>
        <v>0.86609567578859414</v>
      </c>
      <c r="EY55" s="128">
        <f t="shared" si="157"/>
        <v>0.88022905101193338</v>
      </c>
      <c r="EZ55" s="128">
        <f t="shared" si="158"/>
        <v>0.6953488372093023</v>
      </c>
      <c r="FA55" s="128">
        <f t="shared" si="159"/>
        <v>0.56198019801980204</v>
      </c>
      <c r="FB55" s="128">
        <f t="shared" si="160"/>
        <v>0.67424111014744148</v>
      </c>
      <c r="FC55" s="128">
        <f t="shared" si="161"/>
        <v>0.41672134220639234</v>
      </c>
      <c r="FD55" s="128">
        <f t="shared" si="162"/>
        <v>0.72200977267898869</v>
      </c>
      <c r="FE55" s="128">
        <f t="shared" si="163"/>
        <v>0.42024634334103156</v>
      </c>
      <c r="FF55" s="128">
        <f t="shared" si="164"/>
        <v>0.18697033898305085</v>
      </c>
      <c r="FG55" s="128">
        <f t="shared" si="165"/>
        <v>0.68063064634273951</v>
      </c>
      <c r="FH55" s="128">
        <f t="shared" si="166"/>
        <v>0.6905415281933891</v>
      </c>
      <c r="FI55" s="128">
        <f t="shared" si="167"/>
        <v>0.59812606851839512</v>
      </c>
      <c r="FJ55" s="128">
        <f t="shared" si="168"/>
        <v>0.56670902160101655</v>
      </c>
      <c r="FK55" s="128">
        <f t="shared" si="169"/>
        <v>0.67110535475776101</v>
      </c>
      <c r="FL55" s="128">
        <f t="shared" si="170"/>
        <v>0.66608017135862918</v>
      </c>
      <c r="FM55" s="128">
        <f t="shared" si="171"/>
        <v>0.59831657703998131</v>
      </c>
      <c r="FN55" s="128">
        <f t="shared" si="172"/>
        <v>0.56827770360480645</v>
      </c>
      <c r="FO55" s="128">
        <f t="shared" si="173"/>
        <v>0.60738791908130974</v>
      </c>
      <c r="FP55" s="128"/>
      <c r="FQ55" s="128">
        <f t="shared" si="175"/>
        <v>0.47343785345142597</v>
      </c>
      <c r="FR55" s="128">
        <f t="shared" si="176"/>
        <v>0.69843962008141114</v>
      </c>
      <c r="FS55" s="128">
        <f t="shared" si="177"/>
        <v>0.75334608030592731</v>
      </c>
      <c r="FT55" s="128">
        <f t="shared" si="178"/>
        <v>0.77009093169867071</v>
      </c>
      <c r="FU55" s="128">
        <f t="shared" si="179"/>
        <v>0.44621308635966733</v>
      </c>
      <c r="FV55" s="128">
        <f t="shared" si="180"/>
        <v>0.56796324416929489</v>
      </c>
      <c r="FW55" s="128">
        <f t="shared" si="181"/>
        <v>0.37353919384859485</v>
      </c>
      <c r="FX55" s="128">
        <f t="shared" si="182"/>
        <v>0.66294636231410842</v>
      </c>
      <c r="FY55" s="128">
        <f t="shared" si="183"/>
        <v>0.55248246087425801</v>
      </c>
      <c r="FZ55" s="128">
        <f t="shared" si="184"/>
        <v>0.59036024348867377</v>
      </c>
      <c r="GA55" s="128">
        <f t="shared" si="185"/>
        <v>0.64936415260337521</v>
      </c>
      <c r="GB55" s="128">
        <f t="shared" si="186"/>
        <v>0.65531415149735761</v>
      </c>
      <c r="GC55" s="128">
        <f t="shared" si="187"/>
        <v>0.53588217223559154</v>
      </c>
      <c r="GD55" s="128">
        <f t="shared" si="188"/>
        <v>0.72422526817640043</v>
      </c>
      <c r="GE55" s="128">
        <f t="shared" si="189"/>
        <v>0.75727432530245065</v>
      </c>
      <c r="GF55" s="128">
        <f t="shared" si="190"/>
        <v>0.73963034471088884</v>
      </c>
      <c r="GG55" s="128">
        <f t="shared" si="191"/>
        <v>0.48524859665109588</v>
      </c>
      <c r="GH55" s="128">
        <f t="shared" si="192"/>
        <v>0.64683190706336191</v>
      </c>
      <c r="GI55" s="130">
        <f t="shared" si="193"/>
        <v>0.52486596747116265</v>
      </c>
      <c r="GJ55" s="128">
        <f t="shared" si="194"/>
        <v>0.69882196964465748</v>
      </c>
      <c r="GK55" s="128">
        <f t="shared" si="195"/>
        <v>0.62831184651304439</v>
      </c>
      <c r="GL55" s="130">
        <f t="shared" si="196"/>
        <v>0.51636028966552838</v>
      </c>
      <c r="GM55" s="128">
        <f t="shared" si="197"/>
        <v>0.55281314579028062</v>
      </c>
      <c r="GN55" s="128">
        <f t="shared" si="97"/>
        <v>0.67092148977093902</v>
      </c>
      <c r="GO55" s="128">
        <f t="shared" si="98"/>
        <v>0.57489276820984836</v>
      </c>
      <c r="GP55" s="128">
        <f t="shared" si="99"/>
        <v>0.700327622525594</v>
      </c>
      <c r="GQ55" s="129">
        <f t="shared" si="100"/>
        <v>0.59993956033055129</v>
      </c>
      <c r="GR55" s="129">
        <f t="shared" si="101"/>
        <v>0.59949388269020365</v>
      </c>
    </row>
    <row r="56" spans="1:200" x14ac:dyDescent="0.25">
      <c r="A56" s="42">
        <v>215</v>
      </c>
      <c r="B56" s="81">
        <v>405</v>
      </c>
      <c r="C56" s="81">
        <v>404</v>
      </c>
      <c r="D56" s="81">
        <v>264</v>
      </c>
      <c r="E56" s="81">
        <v>2</v>
      </c>
      <c r="F56" s="81">
        <v>34</v>
      </c>
      <c r="G56" s="81">
        <v>332</v>
      </c>
      <c r="H56" s="81">
        <v>173</v>
      </c>
      <c r="I56" s="81">
        <v>129</v>
      </c>
      <c r="J56" s="81">
        <v>636</v>
      </c>
      <c r="K56" s="81">
        <v>33</v>
      </c>
      <c r="L56" s="81">
        <v>703</v>
      </c>
      <c r="M56" s="81">
        <v>406</v>
      </c>
      <c r="N56" s="81">
        <v>1114</v>
      </c>
      <c r="O56" s="81">
        <v>169</v>
      </c>
      <c r="P56" s="81">
        <v>157</v>
      </c>
      <c r="Q56" s="81">
        <v>956</v>
      </c>
      <c r="R56" s="81">
        <v>684</v>
      </c>
      <c r="S56" s="81">
        <v>1135</v>
      </c>
      <c r="T56" s="81">
        <v>592</v>
      </c>
      <c r="V56" s="81">
        <v>753</v>
      </c>
      <c r="W56" s="81">
        <v>29</v>
      </c>
      <c r="X56" s="81">
        <v>26</v>
      </c>
      <c r="Y56" s="81">
        <v>216</v>
      </c>
      <c r="Z56" s="81">
        <v>2631</v>
      </c>
      <c r="AA56" s="81">
        <v>431</v>
      </c>
      <c r="AB56" s="81">
        <v>2034</v>
      </c>
      <c r="AC56" s="81">
        <v>2833</v>
      </c>
      <c r="AD56" s="81">
        <v>1146</v>
      </c>
      <c r="AE56" s="81">
        <v>220</v>
      </c>
      <c r="AF56" s="84">
        <v>182</v>
      </c>
      <c r="AG56" s="84">
        <v>164</v>
      </c>
      <c r="AH56" s="84">
        <v>358</v>
      </c>
      <c r="AI56" s="83">
        <v>426</v>
      </c>
      <c r="AJ56" s="83">
        <v>572</v>
      </c>
      <c r="AK56" s="83">
        <v>364</v>
      </c>
      <c r="AL56" s="81">
        <v>105</v>
      </c>
      <c r="AM56" s="87">
        <v>162</v>
      </c>
      <c r="AN56" s="87">
        <v>834</v>
      </c>
      <c r="AO56" s="87">
        <v>3980</v>
      </c>
      <c r="AP56" s="127">
        <v>189</v>
      </c>
      <c r="AQ56" s="127">
        <v>652</v>
      </c>
      <c r="AR56" s="127">
        <v>2471</v>
      </c>
      <c r="AS56" s="127">
        <v>2200</v>
      </c>
      <c r="AT56" s="127">
        <v>4483</v>
      </c>
      <c r="AU56" s="127">
        <v>3627</v>
      </c>
      <c r="AV56" s="71">
        <f t="shared" si="113"/>
        <v>1870.3</v>
      </c>
      <c r="AW56" s="71">
        <f t="shared" si="102"/>
        <v>50440.890951097317</v>
      </c>
      <c r="AY56" s="42">
        <v>215</v>
      </c>
      <c r="AZ56" s="48">
        <f t="shared" si="154"/>
        <v>1.7653981953707338E-2</v>
      </c>
      <c r="BA56" s="48">
        <f t="shared" si="1"/>
        <v>2.1098809275120117E-2</v>
      </c>
      <c r="BB56" s="48">
        <f t="shared" si="2"/>
        <v>1.1539974647025397E-2</v>
      </c>
      <c r="BC56" s="48">
        <f t="shared" si="3"/>
        <v>4.6511627906976744E-3</v>
      </c>
      <c r="BD56" s="48">
        <f t="shared" si="4"/>
        <v>1.3465346534653465E-2</v>
      </c>
      <c r="BE56" s="48">
        <f t="shared" si="5"/>
        <v>2.8794449262792714E-2</v>
      </c>
      <c r="BF56" s="48">
        <f t="shared" si="6"/>
        <v>1.6215202924360295E-2</v>
      </c>
      <c r="BG56" s="48">
        <f t="shared" si="7"/>
        <v>1.3702995538559592E-2</v>
      </c>
      <c r="BH56" s="48">
        <f t="shared" si="8"/>
        <v>4.8960739030023091E-2</v>
      </c>
      <c r="BI56" s="48">
        <f t="shared" si="9"/>
        <v>1.7478813559322032E-2</v>
      </c>
      <c r="BJ56" s="48">
        <f t="shared" si="10"/>
        <v>2.4521259897450208E-2</v>
      </c>
      <c r="BK56" s="48">
        <f t="shared" si="11"/>
        <v>5.5986872043796631E-3</v>
      </c>
      <c r="BL56" s="48">
        <f t="shared" si="12"/>
        <v>2.4734119318812586E-2</v>
      </c>
      <c r="BM56" s="48">
        <f t="shared" si="13"/>
        <v>1.6518424396442185E-2</v>
      </c>
      <c r="BN56" s="48">
        <f t="shared" si="14"/>
        <v>6.3544744404419803E-3</v>
      </c>
      <c r="BO56" s="48">
        <f t="shared" si="15"/>
        <v>2.4377804977560178E-2</v>
      </c>
      <c r="BP56" s="48">
        <f t="shared" si="16"/>
        <v>1.9990647650222119E-2</v>
      </c>
      <c r="BQ56" s="48">
        <f t="shared" si="17"/>
        <v>6.0614152202937248E-2</v>
      </c>
      <c r="BR56" s="48">
        <f t="shared" si="18"/>
        <v>2.1047392185444592E-2</v>
      </c>
      <c r="BS56" s="48"/>
      <c r="BT56" s="48">
        <f t="shared" si="19"/>
        <v>1.3102716247020132E-2</v>
      </c>
      <c r="BU56" s="48">
        <f t="shared" si="20"/>
        <v>9.8371777476255091E-3</v>
      </c>
      <c r="BV56" s="48">
        <f t="shared" si="21"/>
        <v>7.1018847309478285E-3</v>
      </c>
      <c r="BW56" s="48">
        <f t="shared" si="22"/>
        <v>9.0284216916474633E-3</v>
      </c>
      <c r="BX56" s="48">
        <f t="shared" si="23"/>
        <v>3.7661575459139125E-2</v>
      </c>
      <c r="BY56" s="48">
        <f t="shared" si="24"/>
        <v>5.5938428792067386E-3</v>
      </c>
      <c r="BZ56" s="48">
        <f t="shared" si="25"/>
        <v>3.1031641900344797E-2</v>
      </c>
      <c r="CA56" s="48">
        <f t="shared" si="26"/>
        <v>2.8030910188290934E-2</v>
      </c>
      <c r="CB56" s="48">
        <f t="shared" si="27"/>
        <v>1.7179348803741681E-2</v>
      </c>
      <c r="CC56" s="48">
        <f t="shared" si="28"/>
        <v>2.1953896816684963E-2</v>
      </c>
      <c r="CD56" s="48">
        <f t="shared" si="29"/>
        <v>1.4556506438454771E-2</v>
      </c>
      <c r="CE56" s="48">
        <f t="shared" si="30"/>
        <v>9.6300645918966522E-3</v>
      </c>
      <c r="CF56" s="48">
        <f t="shared" si="31"/>
        <v>1.5890484358514187E-2</v>
      </c>
      <c r="CG56" s="48">
        <f t="shared" si="32"/>
        <v>1.0578069129916568E-2</v>
      </c>
      <c r="CH56" s="48">
        <f t="shared" si="33"/>
        <v>1.1829180022748423E-2</v>
      </c>
      <c r="CI56" s="48">
        <f t="shared" si="34"/>
        <v>1.8680644287729913E-2</v>
      </c>
      <c r="CJ56" s="48">
        <f t="shared" si="35"/>
        <v>7.7551417411369341E-3</v>
      </c>
      <c r="CK56" s="48">
        <f t="shared" si="36"/>
        <v>7.1830798563384032E-3</v>
      </c>
      <c r="CL56" s="48">
        <f t="shared" si="37"/>
        <v>1.505496687546257E-2</v>
      </c>
      <c r="CM56" s="48">
        <f t="shared" si="61"/>
        <v>5.4965542957367178E-2</v>
      </c>
      <c r="CN56" s="48">
        <f t="shared" si="62"/>
        <v>3.1976449091462794E-3</v>
      </c>
      <c r="CO56" s="48">
        <f t="shared" si="174"/>
        <v>1.5791130809658747E-2</v>
      </c>
      <c r="CP56" s="48">
        <f t="shared" si="64"/>
        <v>4.1180587960802616E-2</v>
      </c>
      <c r="CQ56" s="48">
        <f t="shared" si="112"/>
        <v>2.5645509121641312E-2</v>
      </c>
      <c r="CR56" s="48">
        <f t="shared" si="65"/>
        <v>2.922310731001395E-2</v>
      </c>
      <c r="CS56" s="48">
        <f t="shared" si="66"/>
        <v>1.7246544271836351E-2</v>
      </c>
      <c r="CT56" s="68">
        <f t="shared" si="67"/>
        <v>0.6216638859118917</v>
      </c>
      <c r="CU56" s="68">
        <f t="shared" si="68"/>
        <v>0.61952569074461117</v>
      </c>
      <c r="CW56" s="42">
        <v>215</v>
      </c>
      <c r="CX56" s="58">
        <f t="shared" si="128"/>
        <v>16959</v>
      </c>
      <c r="CY56" s="58">
        <f t="shared" si="129"/>
        <v>16988</v>
      </c>
      <c r="CZ56" s="58">
        <f t="shared" si="130"/>
        <v>20401</v>
      </c>
      <c r="DA56" s="58">
        <f t="shared" si="131"/>
        <v>301</v>
      </c>
      <c r="DB56" s="58">
        <f t="shared" si="132"/>
        <v>1453</v>
      </c>
      <c r="DC56" s="58">
        <f t="shared" si="133"/>
        <v>8106</v>
      </c>
      <c r="DD56" s="58">
        <f t="shared" si="134"/>
        <v>4619</v>
      </c>
      <c r="DE56" s="58">
        <f t="shared" si="135"/>
        <v>6926</v>
      </c>
      <c r="DF56" s="58">
        <f t="shared" si="136"/>
        <v>6095</v>
      </c>
      <c r="DG56" s="58">
        <f t="shared" si="137"/>
        <v>386</v>
      </c>
      <c r="DH56" s="58">
        <f t="shared" si="138"/>
        <v>20216</v>
      </c>
      <c r="DI56" s="58">
        <f t="shared" si="139"/>
        <v>50482</v>
      </c>
      <c r="DJ56" s="58">
        <f t="shared" si="140"/>
        <v>28053</v>
      </c>
      <c r="DK56" s="58">
        <f t="shared" si="141"/>
        <v>5967</v>
      </c>
      <c r="DL56" s="58">
        <f t="shared" si="142"/>
        <v>16738</v>
      </c>
      <c r="DM56" s="58">
        <f t="shared" si="143"/>
        <v>27077</v>
      </c>
      <c r="DN56" s="58">
        <f t="shared" si="144"/>
        <v>21156</v>
      </c>
      <c r="DO56" s="58">
        <f t="shared" si="145"/>
        <v>11776</v>
      </c>
      <c r="DP56" s="58">
        <f t="shared" si="146"/>
        <v>17676</v>
      </c>
      <c r="DQ56" s="58"/>
      <c r="DR56" s="58">
        <f t="shared" si="147"/>
        <v>27961</v>
      </c>
      <c r="DS56" s="58">
        <f t="shared" si="148"/>
        <v>2088</v>
      </c>
      <c r="DT56" s="58">
        <f t="shared" si="149"/>
        <v>2784</v>
      </c>
      <c r="DU56" s="58">
        <f t="shared" si="150"/>
        <v>18640</v>
      </c>
      <c r="DV56" s="58">
        <f t="shared" si="151"/>
        <v>33803</v>
      </c>
      <c r="DW56" s="58">
        <f t="shared" si="152"/>
        <v>44192</v>
      </c>
      <c r="DX56" s="58">
        <f t="shared" si="153"/>
        <v>26518</v>
      </c>
      <c r="DY56" s="58">
        <f t="shared" si="115"/>
        <v>69835</v>
      </c>
      <c r="DZ56" s="58">
        <f t="shared" si="116"/>
        <v>38001</v>
      </c>
      <c r="EA56" s="58">
        <f t="shared" si="117"/>
        <v>6136</v>
      </c>
      <c r="EB56" s="58">
        <f t="shared" si="118"/>
        <v>8301</v>
      </c>
      <c r="EC56" s="58">
        <f t="shared" si="119"/>
        <v>11324</v>
      </c>
      <c r="ED56" s="58">
        <f t="shared" si="120"/>
        <v>12431</v>
      </c>
      <c r="EE56" s="58">
        <f t="shared" si="121"/>
        <v>29592</v>
      </c>
      <c r="EF56" s="58">
        <f t="shared" si="122"/>
        <v>37190</v>
      </c>
      <c r="EG56" s="58">
        <f t="shared" si="123"/>
        <v>14776</v>
      </c>
      <c r="EH56" s="108">
        <f t="shared" si="124"/>
        <v>6674.9769712907191</v>
      </c>
      <c r="EI56" s="58">
        <f t="shared" si="125"/>
        <v>14750</v>
      </c>
      <c r="EJ56" s="58">
        <f t="shared" si="198"/>
        <v>29910</v>
      </c>
      <c r="EK56" s="58">
        <f t="shared" si="199"/>
        <v>54581</v>
      </c>
      <c r="EL56" s="58">
        <f t="shared" si="105"/>
        <v>37326</v>
      </c>
      <c r="EM56" s="58">
        <f t="shared" si="106"/>
        <v>21972</v>
      </c>
      <c r="EN56" s="58">
        <f t="shared" si="107"/>
        <v>35642</v>
      </c>
      <c r="EO56" s="58">
        <f t="shared" si="108"/>
        <v>59755</v>
      </c>
      <c r="EP56" s="58">
        <f t="shared" si="109"/>
        <v>92675</v>
      </c>
      <c r="EQ56" s="58">
        <f t="shared" si="110"/>
        <v>150908</v>
      </c>
      <c r="ER56" s="67">
        <f t="shared" si="72"/>
        <v>50419.397697129069</v>
      </c>
      <c r="ES56" s="67">
        <f t="shared" si="73"/>
        <v>27182.731145641239</v>
      </c>
      <c r="EV56" s="42">
        <v>215</v>
      </c>
      <c r="EW56" s="128">
        <f t="shared" si="155"/>
        <v>0.73924414803190797</v>
      </c>
      <c r="EX56" s="128">
        <f t="shared" si="156"/>
        <v>0.88719448506371423</v>
      </c>
      <c r="EY56" s="128">
        <f t="shared" si="157"/>
        <v>0.89176902565895877</v>
      </c>
      <c r="EZ56" s="128">
        <f t="shared" si="158"/>
        <v>0.7</v>
      </c>
      <c r="FA56" s="128">
        <f t="shared" si="159"/>
        <v>0.5754455445544554</v>
      </c>
      <c r="FB56" s="128">
        <f t="shared" si="160"/>
        <v>0.70303555941023421</v>
      </c>
      <c r="FC56" s="128">
        <f t="shared" si="161"/>
        <v>0.43293654513075264</v>
      </c>
      <c r="FD56" s="128">
        <f t="shared" si="162"/>
        <v>0.73571276821754839</v>
      </c>
      <c r="FE56" s="128">
        <f t="shared" si="163"/>
        <v>0.46920708237105468</v>
      </c>
      <c r="FF56" s="128">
        <f t="shared" si="164"/>
        <v>0.20444915254237289</v>
      </c>
      <c r="FG56" s="128">
        <f t="shared" si="165"/>
        <v>0.70515190624018975</v>
      </c>
      <c r="FH56" s="128">
        <f t="shared" si="166"/>
        <v>0.69614021539776882</v>
      </c>
      <c r="FI56" s="128">
        <f t="shared" si="167"/>
        <v>0.62286018783720776</v>
      </c>
      <c r="FJ56" s="128">
        <f t="shared" si="168"/>
        <v>0.58322744599745868</v>
      </c>
      <c r="FK56" s="128">
        <f t="shared" si="169"/>
        <v>0.67745982919820291</v>
      </c>
      <c r="FL56" s="128">
        <f t="shared" si="170"/>
        <v>0.69045797633618933</v>
      </c>
      <c r="FM56" s="128">
        <f t="shared" si="171"/>
        <v>0.61830722469020338</v>
      </c>
      <c r="FN56" s="128">
        <f t="shared" si="172"/>
        <v>0.62889185580774365</v>
      </c>
      <c r="FO56" s="128">
        <f t="shared" si="173"/>
        <v>0.62843531126675434</v>
      </c>
      <c r="FP56" s="128"/>
      <c r="FQ56" s="128">
        <f t="shared" si="175"/>
        <v>0.48654056969844611</v>
      </c>
      <c r="FR56" s="128">
        <f t="shared" si="176"/>
        <v>0.70827679782903663</v>
      </c>
      <c r="FS56" s="128">
        <f t="shared" si="177"/>
        <v>0.76044796503687517</v>
      </c>
      <c r="FT56" s="128">
        <f t="shared" si="178"/>
        <v>0.77911935339031813</v>
      </c>
      <c r="FU56" s="128">
        <f t="shared" si="179"/>
        <v>0.48387466181880645</v>
      </c>
      <c r="FV56" s="128">
        <f t="shared" si="180"/>
        <v>0.57355708704850161</v>
      </c>
      <c r="FW56" s="128">
        <f t="shared" si="181"/>
        <v>0.40457083574893965</v>
      </c>
      <c r="FX56" s="128">
        <f t="shared" si="182"/>
        <v>0.69097727250239938</v>
      </c>
      <c r="FY56" s="128">
        <f t="shared" si="183"/>
        <v>0.56966180967799962</v>
      </c>
      <c r="FZ56" s="128">
        <f t="shared" si="184"/>
        <v>0.6123141403053588</v>
      </c>
      <c r="GA56" s="128">
        <f t="shared" si="185"/>
        <v>0.66392065904182995</v>
      </c>
      <c r="GB56" s="128">
        <f t="shared" si="186"/>
        <v>0.66494421608925425</v>
      </c>
      <c r="GC56" s="128">
        <f t="shared" si="187"/>
        <v>0.55177265659410579</v>
      </c>
      <c r="GD56" s="128">
        <f t="shared" si="188"/>
        <v>0.73480333730631708</v>
      </c>
      <c r="GE56" s="128">
        <f t="shared" si="189"/>
        <v>0.769103505325199</v>
      </c>
      <c r="GF56" s="128">
        <f t="shared" si="190"/>
        <v>0.75831098899861871</v>
      </c>
      <c r="GG56" s="128">
        <f t="shared" si="191"/>
        <v>0.49300373839223283</v>
      </c>
      <c r="GH56" s="128">
        <f t="shared" si="192"/>
        <v>0.65401498691970028</v>
      </c>
      <c r="GI56" s="128">
        <f t="shared" si="193"/>
        <v>0.53992093434662525</v>
      </c>
      <c r="GJ56" s="128">
        <f t="shared" si="194"/>
        <v>0.75378751260202459</v>
      </c>
      <c r="GK56" s="128">
        <f t="shared" si="195"/>
        <v>0.63150949142219059</v>
      </c>
      <c r="GL56" s="128">
        <f t="shared" si="196"/>
        <v>0.53215142047518704</v>
      </c>
      <c r="GM56" s="128">
        <f t="shared" si="197"/>
        <v>0.59399373375108322</v>
      </c>
      <c r="GN56" s="128">
        <f t="shared" si="97"/>
        <v>0.69656699889258034</v>
      </c>
      <c r="GO56" s="128">
        <f t="shared" si="98"/>
        <v>0.60411587551986234</v>
      </c>
      <c r="GP56" s="128">
        <f t="shared" si="99"/>
        <v>0.71757416679743036</v>
      </c>
      <c r="GQ56" s="129">
        <f t="shared" si="100"/>
        <v>0.62166388591189148</v>
      </c>
      <c r="GR56" s="129">
        <f t="shared" si="101"/>
        <v>0.61952569074461128</v>
      </c>
    </row>
    <row r="57" spans="1:200" x14ac:dyDescent="0.25">
      <c r="A57" s="42">
        <v>216</v>
      </c>
      <c r="B57" s="81">
        <v>225</v>
      </c>
      <c r="C57" s="81">
        <v>303</v>
      </c>
      <c r="D57" s="81">
        <v>151</v>
      </c>
      <c r="E57" s="81">
        <v>1</v>
      </c>
      <c r="F57" s="81">
        <v>47</v>
      </c>
      <c r="G57" s="81">
        <v>119</v>
      </c>
      <c r="H57" s="81">
        <v>228</v>
      </c>
      <c r="I57" s="81">
        <v>48</v>
      </c>
      <c r="J57" s="81">
        <v>255</v>
      </c>
      <c r="K57" s="81">
        <v>114</v>
      </c>
      <c r="L57" s="81">
        <v>982</v>
      </c>
      <c r="M57" s="81">
        <v>1134</v>
      </c>
      <c r="N57" s="81">
        <v>341</v>
      </c>
      <c r="O57" s="81">
        <v>337</v>
      </c>
      <c r="P57" s="81">
        <v>542</v>
      </c>
      <c r="Q57" s="81">
        <v>669</v>
      </c>
      <c r="R57" s="81">
        <v>1582</v>
      </c>
      <c r="S57" s="81">
        <v>457</v>
      </c>
      <c r="T57" s="81">
        <v>680</v>
      </c>
      <c r="V57" s="81">
        <v>2523</v>
      </c>
      <c r="W57" s="81">
        <v>28</v>
      </c>
      <c r="X57" s="81">
        <v>18</v>
      </c>
      <c r="Y57" s="81">
        <v>416</v>
      </c>
      <c r="Z57" s="81">
        <v>1786</v>
      </c>
      <c r="AA57" s="81">
        <v>2260</v>
      </c>
      <c r="AB57" s="81">
        <v>372</v>
      </c>
      <c r="AC57" s="81">
        <v>1841</v>
      </c>
      <c r="AD57" s="81">
        <v>1085</v>
      </c>
      <c r="AE57" s="81">
        <v>100</v>
      </c>
      <c r="AF57" s="84">
        <v>38</v>
      </c>
      <c r="AG57" s="84">
        <v>261</v>
      </c>
      <c r="AH57" s="84">
        <v>225</v>
      </c>
      <c r="AI57" s="83">
        <v>720</v>
      </c>
      <c r="AJ57" s="83">
        <v>1063</v>
      </c>
      <c r="AK57" s="83">
        <v>211</v>
      </c>
      <c r="AL57" s="81">
        <v>389</v>
      </c>
      <c r="AM57" s="87">
        <v>138</v>
      </c>
      <c r="AN57" s="87">
        <v>911</v>
      </c>
      <c r="AO57" s="87">
        <v>2494</v>
      </c>
      <c r="AP57" s="127">
        <v>982</v>
      </c>
      <c r="AQ57" s="127">
        <v>1669</v>
      </c>
      <c r="AR57" s="127">
        <v>2674</v>
      </c>
      <c r="AS57" s="127">
        <v>1217</v>
      </c>
      <c r="AT57" s="127">
        <v>1621</v>
      </c>
      <c r="AU57" s="127">
        <v>9655</v>
      </c>
      <c r="AV57" s="71">
        <f t="shared" si="113"/>
        <v>2175</v>
      </c>
      <c r="AW57" s="71">
        <f t="shared" si="102"/>
        <v>52615.890951097317</v>
      </c>
      <c r="AY57" s="42">
        <v>216</v>
      </c>
      <c r="AZ57" s="48">
        <f t="shared" si="154"/>
        <v>9.8077677520596318E-3</v>
      </c>
      <c r="BA57" s="48">
        <f t="shared" si="1"/>
        <v>1.5824106956340088E-2</v>
      </c>
      <c r="BB57" s="48">
        <f t="shared" si="2"/>
        <v>6.600515801897102E-3</v>
      </c>
      <c r="BC57" s="48">
        <f t="shared" si="3"/>
        <v>2.3255813953488372E-3</v>
      </c>
      <c r="BD57" s="48">
        <f t="shared" si="4"/>
        <v>1.8613861386138613E-2</v>
      </c>
      <c r="BE57" s="48">
        <f t="shared" si="5"/>
        <v>1.0320901994796183E-2</v>
      </c>
      <c r="BF57" s="48">
        <f t="shared" si="6"/>
        <v>2.1370325241353454E-2</v>
      </c>
      <c r="BG57" s="48">
        <f t="shared" si="7"/>
        <v>5.098789037603569E-3</v>
      </c>
      <c r="BH57" s="48">
        <f t="shared" si="8"/>
        <v>1.9630484988452657E-2</v>
      </c>
      <c r="BI57" s="48">
        <f t="shared" si="9"/>
        <v>6.0381355932203389E-2</v>
      </c>
      <c r="BJ57" s="48">
        <f t="shared" si="10"/>
        <v>3.4253025916495171E-2</v>
      </c>
      <c r="BK57" s="48">
        <f t="shared" si="11"/>
        <v>1.5637712536370783E-2</v>
      </c>
      <c r="BL57" s="48">
        <f t="shared" si="12"/>
        <v>7.571216057194876E-3</v>
      </c>
      <c r="BM57" s="48">
        <f t="shared" si="13"/>
        <v>3.2939106636692403E-2</v>
      </c>
      <c r="BN57" s="48">
        <f t="shared" si="14"/>
        <v>2.1937102845347473E-2</v>
      </c>
      <c r="BO57" s="48">
        <f t="shared" si="15"/>
        <v>1.7059363525091801E-2</v>
      </c>
      <c r="BP57" s="48">
        <f t="shared" si="16"/>
        <v>4.6235679214402615E-2</v>
      </c>
      <c r="BQ57" s="48">
        <f t="shared" si="17"/>
        <v>2.4405874499332444E-2</v>
      </c>
      <c r="BR57" s="48">
        <f t="shared" si="18"/>
        <v>2.4176058591389056E-2</v>
      </c>
      <c r="BS57" s="48"/>
      <c r="BT57" s="48">
        <f t="shared" si="19"/>
        <v>4.3901929736031603E-2</v>
      </c>
      <c r="BU57" s="48">
        <f t="shared" si="20"/>
        <v>9.497964721845319E-3</v>
      </c>
      <c r="BV57" s="48">
        <f t="shared" si="21"/>
        <v>4.9166894291177276E-3</v>
      </c>
      <c r="BW57" s="48">
        <f t="shared" si="22"/>
        <v>1.7388071406135856E-2</v>
      </c>
      <c r="BX57" s="48">
        <f t="shared" si="23"/>
        <v>2.5565782504759587E-2</v>
      </c>
      <c r="BY57" s="48">
        <f t="shared" si="24"/>
        <v>2.9331983542940206E-2</v>
      </c>
      <c r="BZ57" s="48">
        <f t="shared" si="25"/>
        <v>5.6754035333963938E-3</v>
      </c>
      <c r="CA57" s="48">
        <f t="shared" si="26"/>
        <v>1.8215639130477801E-2</v>
      </c>
      <c r="CB57" s="48">
        <f t="shared" si="27"/>
        <v>1.6264915752233614E-2</v>
      </c>
      <c r="CC57" s="48">
        <f t="shared" si="28"/>
        <v>9.9790440075840734E-3</v>
      </c>
      <c r="CD57" s="48">
        <f t="shared" si="29"/>
        <v>3.0392705750619852E-3</v>
      </c>
      <c r="CE57" s="48">
        <f t="shared" si="30"/>
        <v>1.5325895478567234E-2</v>
      </c>
      <c r="CF57" s="48">
        <f t="shared" si="31"/>
        <v>9.9870362588427158E-3</v>
      </c>
      <c r="CG57" s="48">
        <f t="shared" si="32"/>
        <v>1.7878426698450536E-2</v>
      </c>
      <c r="CH57" s="48">
        <f t="shared" si="33"/>
        <v>2.1983248888429324E-2</v>
      </c>
      <c r="CI57" s="48">
        <f t="shared" si="34"/>
        <v>1.082861523272256E-2</v>
      </c>
      <c r="CJ57" s="48">
        <f t="shared" si="35"/>
        <v>2.8730953688593023E-2</v>
      </c>
      <c r="CK57" s="48">
        <f t="shared" si="36"/>
        <v>6.1189198776216026E-3</v>
      </c>
      <c r="CL57" s="48">
        <f t="shared" si="37"/>
        <v>1.6444933841182736E-2</v>
      </c>
      <c r="CM57" s="48">
        <f t="shared" si="61"/>
        <v>3.4443232194892898E-2</v>
      </c>
      <c r="CN57" s="48">
        <f t="shared" si="62"/>
        <v>1.6614218522654215E-2</v>
      </c>
      <c r="CO57" s="48">
        <f t="shared" si="174"/>
        <v>4.0422388529632591E-2</v>
      </c>
      <c r="CP57" s="48">
        <f t="shared" si="64"/>
        <v>4.4563695753616427E-2</v>
      </c>
      <c r="CQ57" s="48">
        <f t="shared" si="112"/>
        <v>1.4186629364107944E-2</v>
      </c>
      <c r="CR57" s="48">
        <f t="shared" si="65"/>
        <v>1.0566731418588582E-2</v>
      </c>
      <c r="CS57" s="48">
        <f t="shared" si="66"/>
        <v>4.5909948978378814E-2</v>
      </c>
      <c r="CT57" s="68">
        <f t="shared" si="67"/>
        <v>0.64746405112881855</v>
      </c>
      <c r="CU57" s="68">
        <f t="shared" si="68"/>
        <v>0.6409259938536046</v>
      </c>
      <c r="CW57" s="42">
        <v>216</v>
      </c>
      <c r="CX57" s="58">
        <f t="shared" si="128"/>
        <v>17184</v>
      </c>
      <c r="CY57" s="58">
        <f t="shared" si="129"/>
        <v>17291</v>
      </c>
      <c r="CZ57" s="58">
        <f t="shared" si="130"/>
        <v>20552</v>
      </c>
      <c r="DA57" s="58">
        <f t="shared" si="131"/>
        <v>302</v>
      </c>
      <c r="DB57" s="58">
        <f t="shared" si="132"/>
        <v>1500</v>
      </c>
      <c r="DC57" s="58">
        <f t="shared" si="133"/>
        <v>8225</v>
      </c>
      <c r="DD57" s="58">
        <f t="shared" si="134"/>
        <v>4847</v>
      </c>
      <c r="DE57" s="58">
        <f t="shared" si="135"/>
        <v>6974</v>
      </c>
      <c r="DF57" s="58">
        <f t="shared" si="136"/>
        <v>6350</v>
      </c>
      <c r="DG57" s="58">
        <f t="shared" si="137"/>
        <v>500</v>
      </c>
      <c r="DH57" s="58">
        <f t="shared" si="138"/>
        <v>21198</v>
      </c>
      <c r="DI57" s="58">
        <f t="shared" si="139"/>
        <v>51616</v>
      </c>
      <c r="DJ57" s="58">
        <f t="shared" si="140"/>
        <v>28394</v>
      </c>
      <c r="DK57" s="58">
        <f t="shared" si="141"/>
        <v>6304</v>
      </c>
      <c r="DL57" s="58">
        <f t="shared" si="142"/>
        <v>17280</v>
      </c>
      <c r="DM57" s="58">
        <f t="shared" si="143"/>
        <v>27746</v>
      </c>
      <c r="DN57" s="58">
        <f t="shared" si="144"/>
        <v>22738</v>
      </c>
      <c r="DO57" s="58">
        <f t="shared" si="145"/>
        <v>12233</v>
      </c>
      <c r="DP57" s="58">
        <f t="shared" si="146"/>
        <v>18356</v>
      </c>
      <c r="DQ57" s="58"/>
      <c r="DR57" s="58">
        <f t="shared" si="147"/>
        <v>30484</v>
      </c>
      <c r="DS57" s="58">
        <f t="shared" si="148"/>
        <v>2116</v>
      </c>
      <c r="DT57" s="58">
        <f t="shared" si="149"/>
        <v>2802</v>
      </c>
      <c r="DU57" s="58">
        <f t="shared" si="150"/>
        <v>19056</v>
      </c>
      <c r="DV57" s="58">
        <f t="shared" si="151"/>
        <v>35589</v>
      </c>
      <c r="DW57" s="58">
        <f t="shared" si="152"/>
        <v>46452</v>
      </c>
      <c r="DX57" s="58">
        <f t="shared" si="153"/>
        <v>26890</v>
      </c>
      <c r="DY57" s="58">
        <f t="shared" si="115"/>
        <v>71676</v>
      </c>
      <c r="DZ57" s="58">
        <f t="shared" si="116"/>
        <v>39086</v>
      </c>
      <c r="EA57" s="58">
        <f t="shared" si="117"/>
        <v>6236</v>
      </c>
      <c r="EB57" s="58">
        <f t="shared" si="118"/>
        <v>8339</v>
      </c>
      <c r="EC57" s="58">
        <f t="shared" si="119"/>
        <v>11585</v>
      </c>
      <c r="ED57" s="58">
        <f t="shared" si="120"/>
        <v>12656</v>
      </c>
      <c r="EE57" s="58">
        <f t="shared" si="121"/>
        <v>30312</v>
      </c>
      <c r="EF57" s="58">
        <f t="shared" si="122"/>
        <v>38253</v>
      </c>
      <c r="EG57" s="58">
        <f t="shared" si="123"/>
        <v>14987</v>
      </c>
      <c r="EH57" s="58">
        <f t="shared" si="124"/>
        <v>7063.9769712907191</v>
      </c>
      <c r="EI57" s="58">
        <f t="shared" si="125"/>
        <v>14888</v>
      </c>
      <c r="EJ57" s="58">
        <f t="shared" si="198"/>
        <v>30821</v>
      </c>
      <c r="EK57" s="58">
        <f t="shared" si="199"/>
        <v>57075</v>
      </c>
      <c r="EL57" s="58">
        <f t="shared" si="105"/>
        <v>38308</v>
      </c>
      <c r="EM57" s="58">
        <f t="shared" si="106"/>
        <v>23641</v>
      </c>
      <c r="EN57" s="58">
        <f t="shared" si="107"/>
        <v>38316</v>
      </c>
      <c r="EO57" s="58">
        <f t="shared" si="108"/>
        <v>60972</v>
      </c>
      <c r="EP57" s="58">
        <f t="shared" si="109"/>
        <v>94296</v>
      </c>
      <c r="EQ57" s="58">
        <f t="shared" si="110"/>
        <v>160563</v>
      </c>
      <c r="ER57" s="67">
        <f t="shared" si="72"/>
        <v>52594.397697129076</v>
      </c>
      <c r="ES57" s="67">
        <f t="shared" si="73"/>
        <v>28212.779926129042</v>
      </c>
      <c r="EV57" s="42">
        <v>216</v>
      </c>
      <c r="EW57" s="128">
        <f t="shared" si="155"/>
        <v>0.74905191578396757</v>
      </c>
      <c r="EX57" s="128">
        <f t="shared" si="156"/>
        <v>0.9030185920200543</v>
      </c>
      <c r="EY57" s="128">
        <f t="shared" si="157"/>
        <v>0.8983695414608559</v>
      </c>
      <c r="EZ57" s="128">
        <f t="shared" si="158"/>
        <v>0.70232558139534884</v>
      </c>
      <c r="FA57" s="128">
        <f t="shared" si="159"/>
        <v>0.59405940594059403</v>
      </c>
      <c r="FB57" s="128">
        <f t="shared" si="160"/>
        <v>0.7133564614050304</v>
      </c>
      <c r="FC57" s="128">
        <f t="shared" si="161"/>
        <v>0.4543068703721061</v>
      </c>
      <c r="FD57" s="128">
        <f t="shared" si="162"/>
        <v>0.74081155725515191</v>
      </c>
      <c r="FE57" s="128">
        <f t="shared" si="163"/>
        <v>0.48883756735950729</v>
      </c>
      <c r="FF57" s="128">
        <f t="shared" si="164"/>
        <v>0.26483050847457629</v>
      </c>
      <c r="FG57" s="128">
        <f t="shared" si="165"/>
        <v>0.7394049321566849</v>
      </c>
      <c r="FH57" s="128">
        <f t="shared" si="166"/>
        <v>0.71177792793413963</v>
      </c>
      <c r="FI57" s="128">
        <f t="shared" si="167"/>
        <v>0.63043140389440266</v>
      </c>
      <c r="FJ57" s="128">
        <f t="shared" si="168"/>
        <v>0.6161665526341511</v>
      </c>
      <c r="FK57" s="128">
        <f t="shared" si="169"/>
        <v>0.69939693204355036</v>
      </c>
      <c r="FL57" s="128">
        <f t="shared" si="170"/>
        <v>0.70751733986128107</v>
      </c>
      <c r="FM57" s="128">
        <f t="shared" si="171"/>
        <v>0.66454290390460602</v>
      </c>
      <c r="FN57" s="128">
        <f t="shared" si="172"/>
        <v>0.65329773030707605</v>
      </c>
      <c r="FO57" s="128">
        <f t="shared" si="173"/>
        <v>0.65261136985814339</v>
      </c>
      <c r="FP57" s="128"/>
      <c r="FQ57" s="130">
        <f t="shared" si="175"/>
        <v>0.53044249943447774</v>
      </c>
      <c r="FR57" s="128">
        <f t="shared" si="176"/>
        <v>0.71777476255088191</v>
      </c>
      <c r="FS57" s="128">
        <f t="shared" si="177"/>
        <v>0.76536465446599289</v>
      </c>
      <c r="FT57" s="128">
        <f t="shared" si="178"/>
        <v>0.79650742479645398</v>
      </c>
      <c r="FU57" s="130">
        <f t="shared" si="179"/>
        <v>0.50944044432356606</v>
      </c>
      <c r="FV57" s="128">
        <f t="shared" si="180"/>
        <v>0.60288907059144181</v>
      </c>
      <c r="FW57" s="128">
        <f t="shared" si="181"/>
        <v>0.41024623928233606</v>
      </c>
      <c r="FX57" s="128">
        <f t="shared" si="182"/>
        <v>0.70919291163287723</v>
      </c>
      <c r="FY57" s="128">
        <f t="shared" si="183"/>
        <v>0.58592672543023328</v>
      </c>
      <c r="FZ57" s="128">
        <f t="shared" si="184"/>
        <v>0.62229318431294278</v>
      </c>
      <c r="GA57" s="128">
        <f t="shared" si="185"/>
        <v>0.66695992961689199</v>
      </c>
      <c r="GB57" s="128">
        <f t="shared" si="186"/>
        <v>0.68027011156782147</v>
      </c>
      <c r="GC57" s="128">
        <f t="shared" si="187"/>
        <v>0.56175969285294847</v>
      </c>
      <c r="GD57" s="128">
        <f t="shared" si="188"/>
        <v>0.75268176400476761</v>
      </c>
      <c r="GE57" s="128">
        <f t="shared" si="189"/>
        <v>0.7910867542136284</v>
      </c>
      <c r="GF57" s="128">
        <f t="shared" si="190"/>
        <v>0.76913960423134131</v>
      </c>
      <c r="GG57" s="130">
        <f t="shared" si="191"/>
        <v>0.5217346920808259</v>
      </c>
      <c r="GH57" s="128">
        <f t="shared" si="192"/>
        <v>0.66013390679732187</v>
      </c>
      <c r="GI57" s="128">
        <f t="shared" si="193"/>
        <v>0.55636586818780798</v>
      </c>
      <c r="GJ57" s="128">
        <f t="shared" si="194"/>
        <v>0.78823074479691746</v>
      </c>
      <c r="GK57" s="128">
        <f t="shared" si="195"/>
        <v>0.64812370994484481</v>
      </c>
      <c r="GL57" s="128">
        <f t="shared" si="196"/>
        <v>0.57257380900481969</v>
      </c>
      <c r="GM57" s="128">
        <f t="shared" si="197"/>
        <v>0.63855742950469974</v>
      </c>
      <c r="GN57" s="128">
        <f t="shared" si="97"/>
        <v>0.7107536282566882</v>
      </c>
      <c r="GO57" s="128">
        <f t="shared" si="98"/>
        <v>0.61468260693845089</v>
      </c>
      <c r="GP57" s="128">
        <f t="shared" si="99"/>
        <v>0.76348411577580921</v>
      </c>
      <c r="GQ57" s="129">
        <f t="shared" si="100"/>
        <v>0.64746405112881855</v>
      </c>
      <c r="GR57" s="129">
        <f t="shared" si="101"/>
        <v>0.64092599385360449</v>
      </c>
    </row>
    <row r="58" spans="1:200" x14ac:dyDescent="0.25">
      <c r="A58" s="42">
        <v>217</v>
      </c>
      <c r="B58" s="81">
        <v>365</v>
      </c>
      <c r="C58" s="81">
        <v>263</v>
      </c>
      <c r="D58" s="81">
        <v>317</v>
      </c>
      <c r="E58" s="81">
        <v>0</v>
      </c>
      <c r="F58" s="81">
        <v>101</v>
      </c>
      <c r="G58" s="81">
        <v>29</v>
      </c>
      <c r="H58" s="81">
        <v>104</v>
      </c>
      <c r="I58" s="81">
        <v>176</v>
      </c>
      <c r="J58" s="81">
        <v>758</v>
      </c>
      <c r="K58" s="81">
        <v>136</v>
      </c>
      <c r="L58" s="81">
        <v>186</v>
      </c>
      <c r="M58" s="81">
        <v>1906</v>
      </c>
      <c r="N58" s="81">
        <v>1432</v>
      </c>
      <c r="O58" s="81">
        <v>855</v>
      </c>
      <c r="P58" s="81">
        <v>894</v>
      </c>
      <c r="Q58" s="81">
        <v>643</v>
      </c>
      <c r="R58" s="81">
        <v>514</v>
      </c>
      <c r="S58" s="81">
        <v>324</v>
      </c>
      <c r="T58" s="81">
        <v>100</v>
      </c>
      <c r="V58" s="81">
        <v>2321</v>
      </c>
      <c r="W58" s="81">
        <v>18</v>
      </c>
      <c r="X58" s="81">
        <v>16</v>
      </c>
      <c r="Y58" s="81">
        <v>161</v>
      </c>
      <c r="Z58" s="81">
        <v>1275</v>
      </c>
      <c r="AA58" s="81">
        <v>1006</v>
      </c>
      <c r="AB58" s="81">
        <v>335</v>
      </c>
      <c r="AC58" s="81">
        <v>3273</v>
      </c>
      <c r="AD58" s="81">
        <v>1979</v>
      </c>
      <c r="AE58" s="81">
        <v>54</v>
      </c>
      <c r="AF58" s="84">
        <v>588</v>
      </c>
      <c r="AG58" s="84">
        <v>109</v>
      </c>
      <c r="AH58" s="84">
        <v>123</v>
      </c>
      <c r="AI58" s="83">
        <v>1278</v>
      </c>
      <c r="AJ58" s="83">
        <v>874</v>
      </c>
      <c r="AK58" s="83">
        <v>72</v>
      </c>
      <c r="AL58" s="81">
        <v>377</v>
      </c>
      <c r="AM58" s="87">
        <v>33</v>
      </c>
      <c r="AN58" s="87">
        <v>1178</v>
      </c>
      <c r="AO58" s="87">
        <v>0</v>
      </c>
      <c r="AP58" s="127">
        <v>3333</v>
      </c>
      <c r="AQ58" s="127">
        <v>1621</v>
      </c>
      <c r="AR58" s="127">
        <v>577</v>
      </c>
      <c r="AS58" s="127">
        <v>6599</v>
      </c>
      <c r="AT58" s="127">
        <v>2681</v>
      </c>
      <c r="AU58" s="127">
        <v>2008</v>
      </c>
      <c r="AV58" s="71">
        <f t="shared" si="113"/>
        <v>1840.7</v>
      </c>
      <c r="AW58" s="71">
        <f t="shared" si="102"/>
        <v>54456.590951097314</v>
      </c>
      <c r="AY58" s="42">
        <v>217</v>
      </c>
      <c r="AZ58" s="48">
        <f t="shared" si="154"/>
        <v>1.5910378797785625E-2</v>
      </c>
      <c r="BA58" s="48">
        <f t="shared" si="1"/>
        <v>1.3735115939001463E-2</v>
      </c>
      <c r="BB58" s="48">
        <f t="shared" si="2"/>
        <v>1.3856711981466102E-2</v>
      </c>
      <c r="BC58" s="48">
        <f t="shared" si="3"/>
        <v>0</v>
      </c>
      <c r="BD58" s="48">
        <f t="shared" si="4"/>
        <v>0.04</v>
      </c>
      <c r="BE58" s="48">
        <f t="shared" si="5"/>
        <v>2.5151777970511707E-3</v>
      </c>
      <c r="BF58" s="48">
        <f t="shared" si="6"/>
        <v>9.7478676539506977E-3</v>
      </c>
      <c r="BG58" s="48">
        <f t="shared" si="7"/>
        <v>1.869555980454642E-2</v>
      </c>
      <c r="BH58" s="48">
        <f t="shared" si="8"/>
        <v>5.8352578906851423E-2</v>
      </c>
      <c r="BI58" s="48">
        <f t="shared" si="9"/>
        <v>7.2033898305084748E-2</v>
      </c>
      <c r="BJ58" s="48">
        <f t="shared" si="10"/>
        <v>6.487844012696641E-3</v>
      </c>
      <c r="BK58" s="48">
        <f t="shared" si="11"/>
        <v>2.6283492146669057E-2</v>
      </c>
      <c r="BL58" s="48">
        <f t="shared" si="12"/>
        <v>3.1794666844290505E-2</v>
      </c>
      <c r="BM58" s="48">
        <f t="shared" si="13"/>
        <v>8.3569543544130584E-2</v>
      </c>
      <c r="BN58" s="48">
        <f t="shared" si="14"/>
        <v>3.618407738697535E-2</v>
      </c>
      <c r="BO58" s="48">
        <f t="shared" si="15"/>
        <v>1.6396368829049369E-2</v>
      </c>
      <c r="BP58" s="48">
        <f t="shared" si="16"/>
        <v>1.5022211830722469E-2</v>
      </c>
      <c r="BQ58" s="48">
        <f t="shared" si="17"/>
        <v>1.7303070761014686E-2</v>
      </c>
      <c r="BR58" s="48">
        <f t="shared" si="18"/>
        <v>3.5553027340278023E-3</v>
      </c>
      <c r="BS58" s="48"/>
      <c r="BT58" s="48">
        <f t="shared" si="19"/>
        <v>4.0386991247455151E-2</v>
      </c>
      <c r="BU58" s="48">
        <f t="shared" si="20"/>
        <v>6.1058344640434192E-3</v>
      </c>
      <c r="BV58" s="48">
        <f t="shared" si="21"/>
        <v>4.3703906036602017E-3</v>
      </c>
      <c r="BW58" s="48">
        <f t="shared" si="22"/>
        <v>6.7295180201631553E-3</v>
      </c>
      <c r="BX58" s="48">
        <f t="shared" si="23"/>
        <v>1.8251048540631844E-2</v>
      </c>
      <c r="BY58" s="48">
        <f t="shared" si="24"/>
        <v>1.3056626302742411E-2</v>
      </c>
      <c r="BZ58" s="48">
        <f t="shared" si="25"/>
        <v>5.1109144722790104E-3</v>
      </c>
      <c r="CA58" s="48">
        <f t="shared" si="26"/>
        <v>3.2384457834901598E-2</v>
      </c>
      <c r="CB58" s="48">
        <f t="shared" si="27"/>
        <v>2.9666606703843617E-2</v>
      </c>
      <c r="CC58" s="48">
        <f t="shared" si="28"/>
        <v>5.3886837640953998E-3</v>
      </c>
      <c r="CD58" s="48">
        <f t="shared" si="29"/>
        <v>4.7028713108853877E-2</v>
      </c>
      <c r="CE58" s="48">
        <f t="shared" si="30"/>
        <v>6.4004697592483853E-3</v>
      </c>
      <c r="CF58" s="48">
        <f t="shared" si="31"/>
        <v>5.4595798215006843E-3</v>
      </c>
      <c r="CG58" s="48">
        <f t="shared" si="32"/>
        <v>3.1734207389749705E-2</v>
      </c>
      <c r="CH58" s="48">
        <f t="shared" si="33"/>
        <v>1.8074656188605109E-2</v>
      </c>
      <c r="CI58" s="48">
        <f t="shared" si="34"/>
        <v>3.6950724964740491E-3</v>
      </c>
      <c r="CJ58" s="48">
        <f t="shared" si="35"/>
        <v>2.784465177532023E-2</v>
      </c>
      <c r="CK58" s="48">
        <f t="shared" si="36"/>
        <v>1.4632199707356006E-3</v>
      </c>
      <c r="CL58" s="48">
        <f t="shared" si="37"/>
        <v>2.1264689423614997E-2</v>
      </c>
      <c r="CM58" s="48">
        <f t="shared" si="61"/>
        <v>0</v>
      </c>
      <c r="CN58" s="48">
        <f t="shared" si="62"/>
        <v>5.6390214191452646E-2</v>
      </c>
      <c r="CO58" s="48">
        <f t="shared" si="174"/>
        <v>3.9259851292111701E-2</v>
      </c>
      <c r="CP58" s="48">
        <f t="shared" si="64"/>
        <v>9.6160255982934463E-3</v>
      </c>
      <c r="CQ58" s="48">
        <f t="shared" si="112"/>
        <v>7.6924870315323191E-2</v>
      </c>
      <c r="CR58" s="48">
        <f t="shared" si="65"/>
        <v>1.7476500267264643E-2</v>
      </c>
      <c r="CS58" s="48">
        <f t="shared" si="66"/>
        <v>9.548128176963714E-3</v>
      </c>
      <c r="CT58" s="68">
        <f t="shared" si="67"/>
        <v>0.67344286622992655</v>
      </c>
      <c r="CU58" s="68">
        <f t="shared" si="68"/>
        <v>0.66462291049473599</v>
      </c>
      <c r="CW58" s="42">
        <v>217</v>
      </c>
      <c r="CX58" s="58">
        <f t="shared" si="128"/>
        <v>17549</v>
      </c>
      <c r="CY58" s="58">
        <f t="shared" si="129"/>
        <v>17554</v>
      </c>
      <c r="CZ58" s="58">
        <f t="shared" si="130"/>
        <v>20869</v>
      </c>
      <c r="DA58" s="58">
        <f t="shared" si="131"/>
        <v>302</v>
      </c>
      <c r="DB58" s="58">
        <f t="shared" si="132"/>
        <v>1601</v>
      </c>
      <c r="DC58" s="58">
        <f t="shared" si="133"/>
        <v>8254</v>
      </c>
      <c r="DD58" s="58">
        <f t="shared" si="134"/>
        <v>4951</v>
      </c>
      <c r="DE58" s="58">
        <f t="shared" si="135"/>
        <v>7150</v>
      </c>
      <c r="DF58" s="58">
        <f t="shared" si="136"/>
        <v>7108</v>
      </c>
      <c r="DG58" s="58">
        <f t="shared" si="137"/>
        <v>636</v>
      </c>
      <c r="DH58" s="58">
        <f t="shared" si="138"/>
        <v>21384</v>
      </c>
      <c r="DI58" s="58">
        <f t="shared" si="139"/>
        <v>53522</v>
      </c>
      <c r="DJ58" s="58">
        <f t="shared" si="140"/>
        <v>29826</v>
      </c>
      <c r="DK58" s="58">
        <f t="shared" si="141"/>
        <v>7159</v>
      </c>
      <c r="DL58" s="58">
        <f t="shared" si="142"/>
        <v>18174</v>
      </c>
      <c r="DM58" s="58">
        <f t="shared" si="143"/>
        <v>28389</v>
      </c>
      <c r="DN58" s="58">
        <f t="shared" si="144"/>
        <v>23252</v>
      </c>
      <c r="DO58" s="58">
        <f t="shared" si="145"/>
        <v>12557</v>
      </c>
      <c r="DP58" s="58">
        <f t="shared" si="146"/>
        <v>18456</v>
      </c>
      <c r="DQ58" s="58"/>
      <c r="DR58" s="58">
        <f t="shared" si="147"/>
        <v>32805</v>
      </c>
      <c r="DS58" s="58">
        <f t="shared" si="148"/>
        <v>2134</v>
      </c>
      <c r="DT58" s="58">
        <f t="shared" si="149"/>
        <v>2818</v>
      </c>
      <c r="DU58" s="58">
        <f t="shared" si="150"/>
        <v>19217</v>
      </c>
      <c r="DV58" s="58">
        <f t="shared" si="151"/>
        <v>36864</v>
      </c>
      <c r="DW58" s="58">
        <f t="shared" si="152"/>
        <v>47458</v>
      </c>
      <c r="DX58" s="58">
        <f t="shared" si="153"/>
        <v>27225</v>
      </c>
      <c r="DY58" s="58">
        <f t="shared" si="115"/>
        <v>74949</v>
      </c>
      <c r="DZ58" s="58">
        <f t="shared" si="116"/>
        <v>41065</v>
      </c>
      <c r="EA58" s="58">
        <f t="shared" si="117"/>
        <v>6290</v>
      </c>
      <c r="EB58" s="58">
        <f t="shared" si="118"/>
        <v>8927</v>
      </c>
      <c r="EC58" s="58">
        <f t="shared" si="119"/>
        <v>11694</v>
      </c>
      <c r="ED58" s="58">
        <f t="shared" si="120"/>
        <v>12779</v>
      </c>
      <c r="EE58" s="58">
        <f t="shared" si="121"/>
        <v>31590</v>
      </c>
      <c r="EF58" s="58">
        <f t="shared" si="122"/>
        <v>39127</v>
      </c>
      <c r="EG58" s="58">
        <f t="shared" si="123"/>
        <v>15059</v>
      </c>
      <c r="EH58" s="58">
        <f t="shared" si="124"/>
        <v>7440.9769712907191</v>
      </c>
      <c r="EI58" s="58">
        <f t="shared" si="125"/>
        <v>14921</v>
      </c>
      <c r="EJ58" s="58">
        <f t="shared" si="198"/>
        <v>31999</v>
      </c>
      <c r="EK58" s="58">
        <f t="shared" si="199"/>
        <v>57075</v>
      </c>
      <c r="EL58" s="58">
        <f t="shared" si="105"/>
        <v>41641</v>
      </c>
      <c r="EM58" s="58">
        <f t="shared" si="106"/>
        <v>25262</v>
      </c>
      <c r="EN58" s="58">
        <f t="shared" si="107"/>
        <v>38893</v>
      </c>
      <c r="EO58" s="58">
        <f t="shared" si="108"/>
        <v>67571</v>
      </c>
      <c r="EP58" s="58">
        <f t="shared" si="109"/>
        <v>96977</v>
      </c>
      <c r="EQ58" s="58">
        <f t="shared" si="110"/>
        <v>162571</v>
      </c>
      <c r="ER58" s="67">
        <f t="shared" si="72"/>
        <v>54435.09769712908</v>
      </c>
      <c r="ES58" s="67">
        <f t="shared" si="73"/>
        <v>29189.53602369002</v>
      </c>
      <c r="EV58" s="42">
        <v>217</v>
      </c>
      <c r="EW58" s="128">
        <f t="shared" si="155"/>
        <v>0.76496229458175324</v>
      </c>
      <c r="EX58" s="128">
        <f t="shared" si="156"/>
        <v>0.91675370795905575</v>
      </c>
      <c r="EY58" s="128">
        <f t="shared" si="157"/>
        <v>0.912226253442322</v>
      </c>
      <c r="EZ58" s="128">
        <f t="shared" si="158"/>
        <v>0.70232558139534884</v>
      </c>
      <c r="FA58" s="128">
        <f t="shared" si="159"/>
        <v>0.63405940594059407</v>
      </c>
      <c r="FB58" s="128">
        <f t="shared" si="160"/>
        <v>0.71587163920208152</v>
      </c>
      <c r="FC58" s="128">
        <f t="shared" si="161"/>
        <v>0.46405473802605679</v>
      </c>
      <c r="FD58" s="128">
        <f t="shared" si="162"/>
        <v>0.75950711705969831</v>
      </c>
      <c r="FE58" s="130">
        <f t="shared" si="163"/>
        <v>0.54719014626635876</v>
      </c>
      <c r="FF58" s="128">
        <f t="shared" si="164"/>
        <v>0.33686440677966101</v>
      </c>
      <c r="FG58" s="128">
        <f t="shared" si="165"/>
        <v>0.74589277616938154</v>
      </c>
      <c r="FH58" s="128">
        <f t="shared" si="166"/>
        <v>0.73806142008080866</v>
      </c>
      <c r="FI58" s="128">
        <f t="shared" si="167"/>
        <v>0.66222607073869311</v>
      </c>
      <c r="FJ58" s="128">
        <f t="shared" si="168"/>
        <v>0.6997360961782817</v>
      </c>
      <c r="FK58" s="128">
        <f t="shared" si="169"/>
        <v>0.73558100943052573</v>
      </c>
      <c r="FL58" s="128">
        <f t="shared" si="170"/>
        <v>0.72391370869033045</v>
      </c>
      <c r="FM58" s="128">
        <f t="shared" si="171"/>
        <v>0.67956511573532852</v>
      </c>
      <c r="FN58" s="128">
        <f t="shared" si="172"/>
        <v>0.67060080106809083</v>
      </c>
      <c r="FO58" s="128">
        <f t="shared" si="173"/>
        <v>0.65616667259217121</v>
      </c>
      <c r="FP58" s="128"/>
      <c r="FQ58" s="128">
        <f t="shared" si="175"/>
        <v>0.57082949068193289</v>
      </c>
      <c r="FR58" s="128">
        <f t="shared" si="176"/>
        <v>0.72388059701492535</v>
      </c>
      <c r="FS58" s="128">
        <f t="shared" si="177"/>
        <v>0.76973504506965307</v>
      </c>
      <c r="FT58" s="128">
        <f t="shared" si="178"/>
        <v>0.80323694281661717</v>
      </c>
      <c r="FU58" s="128">
        <f t="shared" si="179"/>
        <v>0.52769149286419792</v>
      </c>
      <c r="FV58" s="128">
        <f t="shared" si="180"/>
        <v>0.61594569689418421</v>
      </c>
      <c r="FW58" s="128">
        <f t="shared" si="181"/>
        <v>0.41535715375461507</v>
      </c>
      <c r="FX58" s="128">
        <f t="shared" si="182"/>
        <v>0.74157736946777875</v>
      </c>
      <c r="FY58" s="128">
        <f t="shared" si="183"/>
        <v>0.61559333213407685</v>
      </c>
      <c r="FZ58" s="128">
        <f t="shared" si="184"/>
        <v>0.62768186807703819</v>
      </c>
      <c r="GA58" s="128">
        <f t="shared" si="185"/>
        <v>0.7139886427257458</v>
      </c>
      <c r="GB58" s="128">
        <f t="shared" si="186"/>
        <v>0.68667058132706993</v>
      </c>
      <c r="GC58" s="128">
        <f t="shared" si="187"/>
        <v>0.56721927267444916</v>
      </c>
      <c r="GD58" s="128">
        <f t="shared" si="188"/>
        <v>0.78441597139451724</v>
      </c>
      <c r="GE58" s="128">
        <f t="shared" si="189"/>
        <v>0.80916141040223344</v>
      </c>
      <c r="GF58" s="128">
        <f t="shared" si="190"/>
        <v>0.77283467672781536</v>
      </c>
      <c r="GG58" s="128">
        <f t="shared" si="191"/>
        <v>0.54957934385614604</v>
      </c>
      <c r="GH58" s="128">
        <f t="shared" si="192"/>
        <v>0.66159712676805749</v>
      </c>
      <c r="GI58" s="128">
        <f t="shared" si="193"/>
        <v>0.57763055761142301</v>
      </c>
      <c r="GJ58" s="128">
        <f t="shared" si="194"/>
        <v>0.78823074479691746</v>
      </c>
      <c r="GK58" s="128">
        <f t="shared" si="195"/>
        <v>0.70451392413629754</v>
      </c>
      <c r="GL58" s="128">
        <f t="shared" si="196"/>
        <v>0.61183366029693143</v>
      </c>
      <c r="GM58" s="128">
        <f t="shared" si="197"/>
        <v>0.64817345510299318</v>
      </c>
      <c r="GN58" s="128">
        <f t="shared" si="97"/>
        <v>0.78767849857201144</v>
      </c>
      <c r="GO58" s="128">
        <f t="shared" si="98"/>
        <v>0.63215910720571555</v>
      </c>
      <c r="GP58" s="128">
        <f t="shared" si="99"/>
        <v>0.77303224395277292</v>
      </c>
      <c r="GQ58" s="129">
        <f t="shared" si="100"/>
        <v>0.67344286622992677</v>
      </c>
      <c r="GR58" s="129">
        <f t="shared" si="101"/>
        <v>0.66462291049473587</v>
      </c>
    </row>
    <row r="59" spans="1:200" x14ac:dyDescent="0.25">
      <c r="A59" s="42">
        <v>218</v>
      </c>
      <c r="B59" s="81">
        <v>1574</v>
      </c>
      <c r="C59" s="81">
        <v>153</v>
      </c>
      <c r="D59" s="81">
        <v>113</v>
      </c>
      <c r="E59" s="81">
        <v>2</v>
      </c>
      <c r="F59" s="81">
        <v>168</v>
      </c>
      <c r="G59" s="81">
        <v>353</v>
      </c>
      <c r="H59" s="81">
        <v>321</v>
      </c>
      <c r="I59" s="81">
        <v>183</v>
      </c>
      <c r="J59" s="81">
        <v>356</v>
      </c>
      <c r="K59" s="81">
        <v>81</v>
      </c>
      <c r="L59" s="81">
        <v>1516</v>
      </c>
      <c r="M59" s="81">
        <v>689</v>
      </c>
      <c r="N59" s="81">
        <v>214</v>
      </c>
      <c r="O59" s="81">
        <v>75</v>
      </c>
      <c r="P59" s="81">
        <v>558</v>
      </c>
      <c r="Q59" s="81">
        <v>1090</v>
      </c>
      <c r="R59" s="81">
        <v>574</v>
      </c>
      <c r="S59" s="81">
        <v>796</v>
      </c>
      <c r="T59" s="81">
        <v>909</v>
      </c>
      <c r="V59" s="81">
        <v>3364</v>
      </c>
      <c r="W59" s="81">
        <v>48</v>
      </c>
      <c r="X59" s="81">
        <v>33</v>
      </c>
      <c r="Y59" s="81">
        <v>656</v>
      </c>
      <c r="Z59" s="81">
        <v>1307</v>
      </c>
      <c r="AA59" s="81">
        <v>2090</v>
      </c>
      <c r="AB59" s="81">
        <v>1121</v>
      </c>
      <c r="AC59" s="81">
        <v>732</v>
      </c>
      <c r="AD59" s="81">
        <v>1950</v>
      </c>
      <c r="AE59" s="81">
        <v>6</v>
      </c>
      <c r="AF59" s="84">
        <v>54</v>
      </c>
      <c r="AG59" s="84">
        <v>128</v>
      </c>
      <c r="AH59" s="84">
        <v>384</v>
      </c>
      <c r="AI59" s="83">
        <v>760</v>
      </c>
      <c r="AJ59" s="83">
        <v>798</v>
      </c>
      <c r="AK59" s="83">
        <v>218</v>
      </c>
      <c r="AL59" s="81">
        <v>346</v>
      </c>
      <c r="AM59" s="87">
        <v>257</v>
      </c>
      <c r="AN59" s="87">
        <v>2920</v>
      </c>
      <c r="AO59" s="87">
        <v>39</v>
      </c>
      <c r="AP59" s="127">
        <v>1081</v>
      </c>
      <c r="AQ59" s="127">
        <v>2092</v>
      </c>
      <c r="AR59" s="127">
        <v>978</v>
      </c>
      <c r="AS59" s="127">
        <v>695</v>
      </c>
      <c r="AT59" s="127">
        <v>3579</v>
      </c>
      <c r="AU59" s="127">
        <v>2235</v>
      </c>
      <c r="AV59" s="71">
        <f t="shared" si="113"/>
        <v>1422.2</v>
      </c>
      <c r="AW59" s="71">
        <f t="shared" si="102"/>
        <v>55878.790951097311</v>
      </c>
      <c r="AY59" s="42">
        <v>218</v>
      </c>
      <c r="AZ59" s="48">
        <f t="shared" si="154"/>
        <v>6.8610784185519372E-2</v>
      </c>
      <c r="BA59" s="48">
        <f t="shared" si="1"/>
        <v>7.9903906413202417E-3</v>
      </c>
      <c r="BB59" s="48">
        <f t="shared" si="2"/>
        <v>4.9394588451282945E-3</v>
      </c>
      <c r="BC59" s="48">
        <f t="shared" si="3"/>
        <v>4.6511627906976744E-3</v>
      </c>
      <c r="BD59" s="48">
        <f t="shared" si="4"/>
        <v>6.6534653465346538E-2</v>
      </c>
      <c r="BE59" s="48">
        <f t="shared" si="5"/>
        <v>3.0615784908933217E-2</v>
      </c>
      <c r="BF59" s="48">
        <f t="shared" si="6"/>
        <v>3.0087168431905519E-2</v>
      </c>
      <c r="BG59" s="48">
        <f t="shared" si="7"/>
        <v>1.9439133205863608E-2</v>
      </c>
      <c r="BH59" s="48">
        <f t="shared" si="8"/>
        <v>2.7405696689761356E-2</v>
      </c>
      <c r="BI59" s="48">
        <f t="shared" si="9"/>
        <v>4.2902542372881353E-2</v>
      </c>
      <c r="BJ59" s="48">
        <f t="shared" si="10"/>
        <v>5.2879416791656496E-2</v>
      </c>
      <c r="BK59" s="48">
        <f t="shared" si="11"/>
        <v>9.5012204034915955E-3</v>
      </c>
      <c r="BL59" s="48">
        <f t="shared" si="12"/>
        <v>4.7514376429316817E-3</v>
      </c>
      <c r="BM59" s="48">
        <f t="shared" si="13"/>
        <v>7.3306617143974193E-3</v>
      </c>
      <c r="BN59" s="48">
        <f t="shared" si="14"/>
        <v>2.258469259723965E-2</v>
      </c>
      <c r="BO59" s="48">
        <f t="shared" si="15"/>
        <v>2.7794777641778866E-2</v>
      </c>
      <c r="BP59" s="48">
        <f t="shared" si="16"/>
        <v>1.6775777414075287E-2</v>
      </c>
      <c r="BQ59" s="48">
        <f t="shared" si="17"/>
        <v>4.251001335113485E-2</v>
      </c>
      <c r="BR59" s="48">
        <f t="shared" si="18"/>
        <v>3.2317701852312725E-2</v>
      </c>
      <c r="BS59" s="48"/>
      <c r="BT59" s="48">
        <f t="shared" si="19"/>
        <v>5.8535906314708799E-2</v>
      </c>
      <c r="BU59" s="48">
        <f t="shared" si="20"/>
        <v>1.6282225237449117E-2</v>
      </c>
      <c r="BV59" s="48">
        <f t="shared" si="21"/>
        <v>9.0139306200491664E-3</v>
      </c>
      <c r="BW59" s="48">
        <f t="shared" si="22"/>
        <v>2.7419651063521927E-2</v>
      </c>
      <c r="BX59" s="48">
        <f t="shared" si="23"/>
        <v>1.8709114072632017E-2</v>
      </c>
      <c r="BY59" s="48">
        <f t="shared" si="24"/>
        <v>2.7125595400329661E-2</v>
      </c>
      <c r="BZ59" s="48">
        <f t="shared" si="25"/>
        <v>1.7102492905745583E-2</v>
      </c>
      <c r="CA59" s="48">
        <f t="shared" si="26"/>
        <v>7.2427201757250138E-3</v>
      </c>
      <c r="CB59" s="48">
        <f t="shared" si="27"/>
        <v>2.9231876236733224E-2</v>
      </c>
      <c r="CC59" s="48">
        <f t="shared" si="28"/>
        <v>5.9874264045504445E-4</v>
      </c>
      <c r="CD59" s="48">
        <f t="shared" si="29"/>
        <v>4.3189634487722948E-3</v>
      </c>
      <c r="CE59" s="48">
        <f t="shared" si="30"/>
        <v>7.5161479741632413E-3</v>
      </c>
      <c r="CF59" s="48">
        <f t="shared" si="31"/>
        <v>1.7044541881758236E-2</v>
      </c>
      <c r="CG59" s="48">
        <f t="shared" si="32"/>
        <v>1.8871672626142234E-2</v>
      </c>
      <c r="CH59" s="48">
        <f t="shared" si="33"/>
        <v>1.6502946954813358E-2</v>
      </c>
      <c r="CI59" s="48">
        <f t="shared" si="34"/>
        <v>1.1187858392101981E-2</v>
      </c>
      <c r="CJ59" s="48">
        <f t="shared" si="35"/>
        <v>2.5555038499365516E-2</v>
      </c>
      <c r="CK59" s="48">
        <f t="shared" si="36"/>
        <v>1.1395379772092405E-2</v>
      </c>
      <c r="CL59" s="48">
        <f t="shared" si="37"/>
        <v>5.2710435583154323E-2</v>
      </c>
      <c r="CM59" s="48">
        <f t="shared" si="61"/>
        <v>5.3860707923048239E-4</v>
      </c>
      <c r="CN59" s="48">
        <f t="shared" si="62"/>
        <v>1.8289175379826075E-2</v>
      </c>
      <c r="CO59" s="48">
        <f t="shared" si="174"/>
        <v>5.0667247935285424E-2</v>
      </c>
      <c r="CP59" s="48">
        <f t="shared" si="64"/>
        <v>1.6298913405772948E-2</v>
      </c>
      <c r="CQ59" s="48">
        <f t="shared" si="112"/>
        <v>8.1016494725185059E-3</v>
      </c>
      <c r="CR59" s="48">
        <f t="shared" si="65"/>
        <v>2.3330247839067571E-2</v>
      </c>
      <c r="CS59" s="48">
        <f t="shared" si="66"/>
        <v>1.0627523145176246E-2</v>
      </c>
      <c r="CT59" s="68">
        <f t="shared" si="67"/>
        <v>0.69519428804107553</v>
      </c>
      <c r="CU59" s="68">
        <f t="shared" si="68"/>
        <v>0.68749240519084087</v>
      </c>
      <c r="CW59" s="42">
        <v>218</v>
      </c>
      <c r="CX59" s="58">
        <f t="shared" si="128"/>
        <v>19123</v>
      </c>
      <c r="CY59" s="58">
        <f t="shared" si="129"/>
        <v>17707</v>
      </c>
      <c r="CZ59" s="58">
        <f t="shared" si="130"/>
        <v>20982</v>
      </c>
      <c r="DA59" s="58">
        <f t="shared" si="131"/>
        <v>304</v>
      </c>
      <c r="DB59" s="58">
        <f t="shared" si="132"/>
        <v>1769</v>
      </c>
      <c r="DC59" s="58">
        <f t="shared" si="133"/>
        <v>8607</v>
      </c>
      <c r="DD59" s="58">
        <f t="shared" si="134"/>
        <v>5272</v>
      </c>
      <c r="DE59" s="58">
        <f t="shared" si="135"/>
        <v>7333</v>
      </c>
      <c r="DF59" s="58">
        <f t="shared" si="136"/>
        <v>7464</v>
      </c>
      <c r="DG59" s="58">
        <f t="shared" si="137"/>
        <v>717</v>
      </c>
      <c r="DH59" s="58">
        <f t="shared" si="138"/>
        <v>22900</v>
      </c>
      <c r="DI59" s="58">
        <f t="shared" si="139"/>
        <v>54211</v>
      </c>
      <c r="DJ59" s="58">
        <f t="shared" si="140"/>
        <v>30040</v>
      </c>
      <c r="DK59" s="58">
        <f t="shared" si="141"/>
        <v>7234</v>
      </c>
      <c r="DL59" s="58">
        <f t="shared" si="142"/>
        <v>18732</v>
      </c>
      <c r="DM59" s="58">
        <f t="shared" si="143"/>
        <v>29479</v>
      </c>
      <c r="DN59" s="58">
        <f t="shared" si="144"/>
        <v>23826</v>
      </c>
      <c r="DO59" s="58">
        <f t="shared" si="145"/>
        <v>13353</v>
      </c>
      <c r="DP59" s="58">
        <f t="shared" si="146"/>
        <v>19365</v>
      </c>
      <c r="DQ59" s="58"/>
      <c r="DR59" s="58">
        <f t="shared" si="147"/>
        <v>36169</v>
      </c>
      <c r="DS59" s="58">
        <f t="shared" si="148"/>
        <v>2182</v>
      </c>
      <c r="DT59" s="58">
        <f t="shared" si="149"/>
        <v>2851</v>
      </c>
      <c r="DU59" s="58">
        <f t="shared" si="150"/>
        <v>19873</v>
      </c>
      <c r="DV59" s="58">
        <f t="shared" si="151"/>
        <v>38171</v>
      </c>
      <c r="DW59" s="58">
        <f t="shared" si="152"/>
        <v>49548</v>
      </c>
      <c r="DX59" s="58">
        <f t="shared" si="153"/>
        <v>28346</v>
      </c>
      <c r="DY59" s="58">
        <f t="shared" si="115"/>
        <v>75681</v>
      </c>
      <c r="DZ59" s="58">
        <f t="shared" si="116"/>
        <v>43015</v>
      </c>
      <c r="EA59" s="58">
        <f t="shared" si="117"/>
        <v>6296</v>
      </c>
      <c r="EB59" s="58">
        <f t="shared" si="118"/>
        <v>8981</v>
      </c>
      <c r="EC59" s="58">
        <f t="shared" si="119"/>
        <v>11822</v>
      </c>
      <c r="ED59" s="58">
        <f t="shared" si="120"/>
        <v>13163</v>
      </c>
      <c r="EE59" s="58">
        <f t="shared" si="121"/>
        <v>32350</v>
      </c>
      <c r="EF59" s="58">
        <f t="shared" si="122"/>
        <v>39925</v>
      </c>
      <c r="EG59" s="58">
        <f t="shared" si="123"/>
        <v>15277</v>
      </c>
      <c r="EH59" s="58">
        <f t="shared" si="124"/>
        <v>7786.9769712907191</v>
      </c>
      <c r="EI59" s="58">
        <f t="shared" si="125"/>
        <v>15178</v>
      </c>
      <c r="EJ59" s="58">
        <f t="shared" si="198"/>
        <v>34919</v>
      </c>
      <c r="EK59" s="58">
        <f t="shared" si="199"/>
        <v>57114</v>
      </c>
      <c r="EL59" s="58">
        <f t="shared" si="105"/>
        <v>42722</v>
      </c>
      <c r="EM59" s="58">
        <f t="shared" si="106"/>
        <v>27354</v>
      </c>
      <c r="EN59" s="58">
        <f t="shared" si="107"/>
        <v>39871</v>
      </c>
      <c r="EO59" s="58">
        <f t="shared" si="108"/>
        <v>68266</v>
      </c>
      <c r="EP59" s="58">
        <f t="shared" si="109"/>
        <v>100556</v>
      </c>
      <c r="EQ59" s="58">
        <f t="shared" si="110"/>
        <v>164806</v>
      </c>
      <c r="ER59" s="67">
        <f t="shared" si="72"/>
        <v>55857.297697129077</v>
      </c>
      <c r="ES59" s="67">
        <f t="shared" si="73"/>
        <v>30061.584804177823</v>
      </c>
      <c r="EV59" s="42">
        <v>218</v>
      </c>
      <c r="EW59" s="128">
        <f t="shared" si="155"/>
        <v>0.8335730787672726</v>
      </c>
      <c r="EX59" s="128">
        <f t="shared" si="156"/>
        <v>0.92474409860037599</v>
      </c>
      <c r="EY59" s="128">
        <f t="shared" si="157"/>
        <v>0.91716571228745025</v>
      </c>
      <c r="EZ59" s="128">
        <f t="shared" si="158"/>
        <v>0.7069767441860465</v>
      </c>
      <c r="FA59" s="128">
        <f t="shared" si="159"/>
        <v>0.70059405940594055</v>
      </c>
      <c r="FB59" s="128">
        <f t="shared" si="160"/>
        <v>0.74648742411101476</v>
      </c>
      <c r="FC59" s="128">
        <f t="shared" si="161"/>
        <v>0.4941419064579623</v>
      </c>
      <c r="FD59" s="128">
        <f t="shared" si="162"/>
        <v>0.77894625026556197</v>
      </c>
      <c r="FE59" s="128">
        <f t="shared" si="163"/>
        <v>0.5745958429561201</v>
      </c>
      <c r="FF59" s="128">
        <f t="shared" si="164"/>
        <v>0.37976694915254239</v>
      </c>
      <c r="FG59" s="128">
        <f t="shared" si="165"/>
        <v>0.79877219296103807</v>
      </c>
      <c r="FH59" s="128">
        <f t="shared" si="166"/>
        <v>0.74756264048430021</v>
      </c>
      <c r="FI59" s="128">
        <f t="shared" si="167"/>
        <v>0.66697750838162484</v>
      </c>
      <c r="FJ59" s="128">
        <f t="shared" si="168"/>
        <v>0.70706675789267914</v>
      </c>
      <c r="FK59" s="128">
        <f t="shared" si="169"/>
        <v>0.75816570202776545</v>
      </c>
      <c r="FL59" s="128">
        <f t="shared" si="170"/>
        <v>0.75170848633210929</v>
      </c>
      <c r="FM59" s="128">
        <f t="shared" si="171"/>
        <v>0.69634089314940384</v>
      </c>
      <c r="FN59" s="128">
        <f t="shared" si="172"/>
        <v>0.71311081441922564</v>
      </c>
      <c r="FO59" s="128">
        <f t="shared" si="173"/>
        <v>0.68848437444448396</v>
      </c>
      <c r="FP59" s="128"/>
      <c r="FQ59" s="128">
        <f t="shared" si="175"/>
        <v>0.62936539699664162</v>
      </c>
      <c r="FR59" s="128">
        <f t="shared" si="176"/>
        <v>0.74016282225237451</v>
      </c>
      <c r="FS59" s="128">
        <f t="shared" si="177"/>
        <v>0.77874897568970225</v>
      </c>
      <c r="FT59" s="128">
        <f t="shared" si="178"/>
        <v>0.83065659388013913</v>
      </c>
      <c r="FU59" s="128">
        <f t="shared" si="179"/>
        <v>0.5464006069368299</v>
      </c>
      <c r="FV59" s="128">
        <f t="shared" si="180"/>
        <v>0.64307129229451387</v>
      </c>
      <c r="FW59" s="128">
        <f t="shared" si="181"/>
        <v>0.43245964666036069</v>
      </c>
      <c r="FX59" s="128">
        <f t="shared" si="182"/>
        <v>0.74882008964350377</v>
      </c>
      <c r="FY59" s="128">
        <f t="shared" si="183"/>
        <v>0.64482520837081014</v>
      </c>
      <c r="FZ59" s="128">
        <f t="shared" si="184"/>
        <v>0.6282806107174933</v>
      </c>
      <c r="GA59" s="128">
        <f t="shared" si="185"/>
        <v>0.71830760617451817</v>
      </c>
      <c r="GB59" s="128">
        <f t="shared" si="186"/>
        <v>0.69418672930123315</v>
      </c>
      <c r="GC59" s="128">
        <f t="shared" si="187"/>
        <v>0.58426381455620735</v>
      </c>
      <c r="GD59" s="128">
        <f t="shared" si="188"/>
        <v>0.80328764402065955</v>
      </c>
      <c r="GE59" s="128">
        <f t="shared" si="189"/>
        <v>0.8256643573570468</v>
      </c>
      <c r="GF59" s="128">
        <f t="shared" si="190"/>
        <v>0.78402253511991726</v>
      </c>
      <c r="GG59" s="128">
        <f t="shared" si="191"/>
        <v>0.57513438235551162</v>
      </c>
      <c r="GH59" s="128">
        <f t="shared" si="192"/>
        <v>0.67299250654014986</v>
      </c>
      <c r="GI59" s="128">
        <f t="shared" si="193"/>
        <v>0.63034099319457737</v>
      </c>
      <c r="GJ59" s="128">
        <f t="shared" si="194"/>
        <v>0.78876935187614794</v>
      </c>
      <c r="GK59" s="128">
        <f t="shared" si="195"/>
        <v>0.72280309951612354</v>
      </c>
      <c r="GL59" s="128">
        <f t="shared" si="196"/>
        <v>0.66250090823221686</v>
      </c>
      <c r="GM59" s="128">
        <f t="shared" si="197"/>
        <v>0.66447236850876612</v>
      </c>
      <c r="GN59" s="128">
        <f t="shared" si="97"/>
        <v>0.7957801480445299</v>
      </c>
      <c r="GO59" s="128">
        <f t="shared" si="98"/>
        <v>0.65548935504478312</v>
      </c>
      <c r="GP59" s="128">
        <f t="shared" si="99"/>
        <v>0.78365976709794916</v>
      </c>
      <c r="GQ59" s="129">
        <f t="shared" si="100"/>
        <v>0.69519428804107553</v>
      </c>
      <c r="GR59" s="129">
        <f t="shared" si="101"/>
        <v>0.68749240519084087</v>
      </c>
    </row>
    <row r="60" spans="1:200" x14ac:dyDescent="0.25">
      <c r="A60" s="42">
        <v>219</v>
      </c>
      <c r="B60" s="81">
        <v>294</v>
      </c>
      <c r="C60" s="81">
        <v>110</v>
      </c>
      <c r="D60" s="81">
        <v>165</v>
      </c>
      <c r="E60" s="81">
        <v>1</v>
      </c>
      <c r="F60" s="81">
        <v>32</v>
      </c>
      <c r="G60" s="81">
        <v>20</v>
      </c>
      <c r="H60" s="81">
        <v>339</v>
      </c>
      <c r="I60" s="81">
        <v>37</v>
      </c>
      <c r="J60" s="81">
        <v>913</v>
      </c>
      <c r="K60" s="81">
        <v>73</v>
      </c>
      <c r="L60" s="81">
        <v>569</v>
      </c>
      <c r="M60" s="81">
        <v>3065</v>
      </c>
      <c r="N60" s="81">
        <v>2932</v>
      </c>
      <c r="O60" s="81">
        <v>151</v>
      </c>
      <c r="P60" s="81">
        <v>561</v>
      </c>
      <c r="Q60" s="81">
        <v>399</v>
      </c>
      <c r="R60" s="81">
        <v>653</v>
      </c>
      <c r="S60" s="81">
        <v>156</v>
      </c>
      <c r="T60" s="81">
        <v>405</v>
      </c>
      <c r="V60" s="81">
        <v>1212</v>
      </c>
      <c r="W60" s="81">
        <v>36</v>
      </c>
      <c r="X60" s="81">
        <v>27</v>
      </c>
      <c r="Y60" s="81">
        <v>222</v>
      </c>
      <c r="Z60" s="81">
        <v>4573</v>
      </c>
      <c r="AA60" s="81">
        <v>578</v>
      </c>
      <c r="AB60" s="81">
        <v>1491</v>
      </c>
      <c r="AC60" s="81">
        <v>836</v>
      </c>
      <c r="AD60" s="81">
        <v>706</v>
      </c>
      <c r="AE60" s="81">
        <v>113</v>
      </c>
      <c r="AF60" s="84">
        <v>289</v>
      </c>
      <c r="AG60" s="84">
        <v>265</v>
      </c>
      <c r="AH60" s="84">
        <v>346</v>
      </c>
      <c r="AI60" s="83">
        <v>1666</v>
      </c>
      <c r="AJ60" s="83">
        <v>403</v>
      </c>
      <c r="AK60" s="83">
        <v>327</v>
      </c>
      <c r="AL60" s="81">
        <v>390</v>
      </c>
      <c r="AM60" s="86">
        <v>134</v>
      </c>
      <c r="AN60" s="86">
        <v>949</v>
      </c>
      <c r="AO60" s="86">
        <v>177</v>
      </c>
      <c r="AP60" s="126">
        <v>325</v>
      </c>
      <c r="AQ60" s="126">
        <v>488</v>
      </c>
      <c r="AR60" s="126">
        <v>480</v>
      </c>
      <c r="AS60" s="126">
        <v>3361</v>
      </c>
      <c r="AT60" s="126">
        <v>3533</v>
      </c>
      <c r="AU60" s="126">
        <v>2731</v>
      </c>
      <c r="AV60" s="71">
        <f t="shared" si="113"/>
        <v>1256.8</v>
      </c>
      <c r="AW60" s="71">
        <f t="shared" si="102"/>
        <v>57135.590951097314</v>
      </c>
      <c r="AY60" s="42">
        <v>219</v>
      </c>
      <c r="AZ60" s="48">
        <f t="shared" si="154"/>
        <v>1.2815483196024584E-2</v>
      </c>
      <c r="BA60" s="48">
        <f t="shared" si="1"/>
        <v>5.74472529768122E-3</v>
      </c>
      <c r="BB60" s="48">
        <f t="shared" si="2"/>
        <v>7.2124841543908733E-3</v>
      </c>
      <c r="BC60" s="48">
        <f t="shared" si="3"/>
        <v>2.3255813953488372E-3</v>
      </c>
      <c r="BD60" s="48">
        <f t="shared" si="4"/>
        <v>1.2673267326732674E-2</v>
      </c>
      <c r="BE60" s="48">
        <f t="shared" si="5"/>
        <v>1.7346053772766695E-3</v>
      </c>
      <c r="BF60" s="48">
        <f t="shared" si="6"/>
        <v>3.1774299372012371E-2</v>
      </c>
      <c r="BG60" s="48">
        <f t="shared" si="7"/>
        <v>3.930316549819418E-3</v>
      </c>
      <c r="BH60" s="48">
        <f t="shared" si="8"/>
        <v>7.0284834488067743E-2</v>
      </c>
      <c r="BI60" s="48">
        <f t="shared" si="9"/>
        <v>3.8665254237288137E-2</v>
      </c>
      <c r="BJ60" s="48">
        <f t="shared" si="10"/>
        <v>1.9847221737765531E-2</v>
      </c>
      <c r="BK60" s="48">
        <f t="shared" si="11"/>
        <v>4.2265951432077994E-2</v>
      </c>
      <c r="BL60" s="48">
        <f t="shared" si="12"/>
        <v>6.5099136304092003E-2</v>
      </c>
      <c r="BM60" s="48">
        <f t="shared" si="13"/>
        <v>1.4759065584986806E-2</v>
      </c>
      <c r="BN60" s="48">
        <f t="shared" si="14"/>
        <v>2.2706115675719431E-2</v>
      </c>
      <c r="BO60" s="48">
        <f t="shared" si="15"/>
        <v>1.0174418604651164E-2</v>
      </c>
      <c r="BP60" s="48">
        <f t="shared" si="16"/>
        <v>1.9084638765489829E-2</v>
      </c>
      <c r="BQ60" s="48">
        <f t="shared" si="17"/>
        <v>8.3311081441922556E-3</v>
      </c>
      <c r="BR60" s="48">
        <f t="shared" si="18"/>
        <v>1.4398976072812601E-2</v>
      </c>
      <c r="BS60" s="48"/>
      <c r="BT60" s="48">
        <f t="shared" si="19"/>
        <v>2.10896309314587E-2</v>
      </c>
      <c r="BU60" s="48">
        <f t="shared" si="20"/>
        <v>1.2211668928086838E-2</v>
      </c>
      <c r="BV60" s="48">
        <f t="shared" si="21"/>
        <v>7.3750341436765914E-3</v>
      </c>
      <c r="BW60" s="48">
        <f t="shared" si="22"/>
        <v>9.2792111830821145E-3</v>
      </c>
      <c r="BX60" s="48">
        <f t="shared" si="23"/>
        <v>6.5460427432399548E-2</v>
      </c>
      <c r="BY60" s="48">
        <f t="shared" si="24"/>
        <v>7.5017196848758579E-3</v>
      </c>
      <c r="BZ60" s="48">
        <f t="shared" si="25"/>
        <v>2.2747383516919416E-2</v>
      </c>
      <c r="CA60" s="48">
        <f t="shared" si="26"/>
        <v>8.2717405285602612E-3</v>
      </c>
      <c r="CB60" s="48">
        <f t="shared" si="27"/>
        <v>1.0583438268273669E-2</v>
      </c>
      <c r="CC60" s="48">
        <f t="shared" si="28"/>
        <v>1.1276319728570003E-2</v>
      </c>
      <c r="CD60" s="48">
        <f t="shared" si="29"/>
        <v>2.3114452531392465E-2</v>
      </c>
      <c r="CE60" s="48">
        <f t="shared" si="30"/>
        <v>1.5560775102759836E-2</v>
      </c>
      <c r="CF60" s="48">
        <f t="shared" si="31"/>
        <v>1.5357842424709242E-2</v>
      </c>
      <c r="CG60" s="48">
        <f t="shared" si="32"/>
        <v>4.1368692888359156E-2</v>
      </c>
      <c r="CH60" s="48">
        <f t="shared" si="33"/>
        <v>8.3341950160272984E-3</v>
      </c>
      <c r="CI60" s="48">
        <f t="shared" si="34"/>
        <v>1.6781787588152974E-2</v>
      </c>
      <c r="CJ60" s="48">
        <f t="shared" si="35"/>
        <v>2.8804812181365755E-2</v>
      </c>
      <c r="CK60" s="48">
        <f t="shared" si="36"/>
        <v>5.9415598811688028E-3</v>
      </c>
      <c r="CL60" s="48">
        <f t="shared" si="37"/>
        <v>1.7130891564525155E-2</v>
      </c>
      <c r="CM60" s="48">
        <f t="shared" si="61"/>
        <v>2.4444475134306511E-3</v>
      </c>
      <c r="CN60" s="48">
        <f t="shared" si="62"/>
        <v>5.4985957432409568E-3</v>
      </c>
      <c r="CO60" s="48">
        <f t="shared" si="174"/>
        <v>1.1819128581462375E-2</v>
      </c>
      <c r="CP60" s="48">
        <f t="shared" si="64"/>
        <v>7.9994667022198519E-3</v>
      </c>
      <c r="CQ60" s="48">
        <f t="shared" si="112"/>
        <v>3.9179343708107481E-2</v>
      </c>
      <c r="CR60" s="48">
        <f t="shared" si="65"/>
        <v>2.3030389945634461E-2</v>
      </c>
      <c r="CS60" s="48">
        <f t="shared" si="66"/>
        <v>1.2986024925940191E-2</v>
      </c>
      <c r="CT60" s="68">
        <f t="shared" si="67"/>
        <v>0.71067775411578504</v>
      </c>
      <c r="CU60" s="68">
        <f t="shared" si="68"/>
        <v>0.70766016593028924</v>
      </c>
      <c r="CW60" s="42">
        <v>219</v>
      </c>
      <c r="CX60" s="58">
        <f t="shared" si="128"/>
        <v>19417</v>
      </c>
      <c r="CY60" s="58">
        <f t="shared" si="129"/>
        <v>17817</v>
      </c>
      <c r="CZ60" s="58">
        <f t="shared" si="130"/>
        <v>21147</v>
      </c>
      <c r="DA60" s="58">
        <f t="shared" si="131"/>
        <v>305</v>
      </c>
      <c r="DB60" s="58">
        <f t="shared" si="132"/>
        <v>1801</v>
      </c>
      <c r="DC60" s="58">
        <f t="shared" si="133"/>
        <v>8627</v>
      </c>
      <c r="DD60" s="58">
        <f t="shared" si="134"/>
        <v>5611</v>
      </c>
      <c r="DE60" s="58">
        <f t="shared" si="135"/>
        <v>7370</v>
      </c>
      <c r="DF60" s="58">
        <f t="shared" si="136"/>
        <v>8377</v>
      </c>
      <c r="DG60" s="58">
        <f t="shared" si="137"/>
        <v>790</v>
      </c>
      <c r="DH60" s="58">
        <f t="shared" si="138"/>
        <v>23469</v>
      </c>
      <c r="DI60" s="58">
        <f t="shared" si="139"/>
        <v>57276</v>
      </c>
      <c r="DJ60" s="58">
        <f t="shared" si="140"/>
        <v>32972</v>
      </c>
      <c r="DK60" s="58">
        <f t="shared" si="141"/>
        <v>7385</v>
      </c>
      <c r="DL60" s="58">
        <f t="shared" si="142"/>
        <v>19293</v>
      </c>
      <c r="DM60" s="58">
        <f t="shared" si="143"/>
        <v>29878</v>
      </c>
      <c r="DN60" s="58">
        <f t="shared" si="144"/>
        <v>24479</v>
      </c>
      <c r="DO60" s="58">
        <f t="shared" si="145"/>
        <v>13509</v>
      </c>
      <c r="DP60" s="58">
        <f t="shared" si="146"/>
        <v>19770</v>
      </c>
      <c r="DQ60" s="58"/>
      <c r="DR60" s="58">
        <f t="shared" si="147"/>
        <v>37381</v>
      </c>
      <c r="DS60" s="58">
        <f t="shared" si="148"/>
        <v>2218</v>
      </c>
      <c r="DT60" s="58">
        <f t="shared" si="149"/>
        <v>2878</v>
      </c>
      <c r="DU60" s="58">
        <f t="shared" si="150"/>
        <v>20095</v>
      </c>
      <c r="DV60" s="58">
        <f t="shared" si="151"/>
        <v>42744</v>
      </c>
      <c r="DW60" s="58">
        <f t="shared" si="152"/>
        <v>50126</v>
      </c>
      <c r="DX60" s="58">
        <f t="shared" si="153"/>
        <v>29837</v>
      </c>
      <c r="DY60" s="58">
        <f t="shared" si="115"/>
        <v>76517</v>
      </c>
      <c r="DZ60" s="58">
        <f t="shared" si="116"/>
        <v>43721</v>
      </c>
      <c r="EA60" s="58">
        <f t="shared" si="117"/>
        <v>6409</v>
      </c>
      <c r="EB60" s="58">
        <f t="shared" si="118"/>
        <v>9270</v>
      </c>
      <c r="EC60" s="58">
        <f t="shared" si="119"/>
        <v>12087</v>
      </c>
      <c r="ED60" s="58">
        <f t="shared" si="120"/>
        <v>13509</v>
      </c>
      <c r="EE60" s="58">
        <f t="shared" si="121"/>
        <v>34016</v>
      </c>
      <c r="EF60" s="58">
        <f t="shared" si="122"/>
        <v>40328</v>
      </c>
      <c r="EG60" s="58">
        <f t="shared" si="123"/>
        <v>15604</v>
      </c>
      <c r="EH60" s="58">
        <f t="shared" si="124"/>
        <v>8176.9769712907191</v>
      </c>
      <c r="EI60" s="58">
        <f t="shared" si="125"/>
        <v>15312</v>
      </c>
      <c r="EJ60" s="58">
        <f t="shared" si="198"/>
        <v>35868</v>
      </c>
      <c r="EK60" s="58">
        <f t="shared" si="199"/>
        <v>57291</v>
      </c>
      <c r="EL60" s="58">
        <f t="shared" si="105"/>
        <v>43047</v>
      </c>
      <c r="EM60" s="58">
        <f t="shared" si="106"/>
        <v>27842</v>
      </c>
      <c r="EN60" s="58">
        <f t="shared" si="107"/>
        <v>40351</v>
      </c>
      <c r="EO60" s="58">
        <f t="shared" si="108"/>
        <v>71627</v>
      </c>
      <c r="EP60" s="58">
        <f t="shared" si="109"/>
        <v>104089</v>
      </c>
      <c r="EQ60" s="58">
        <f t="shared" si="110"/>
        <v>167537</v>
      </c>
      <c r="ER60" s="67">
        <f t="shared" si="72"/>
        <v>57114.09769712908</v>
      </c>
      <c r="ES60" s="67">
        <f t="shared" si="73"/>
        <v>30938.731145641239</v>
      </c>
      <c r="EV60" s="42">
        <v>219</v>
      </c>
      <c r="EW60" s="128">
        <f t="shared" si="155"/>
        <v>0.84638856196329715</v>
      </c>
      <c r="EX60" s="128">
        <f t="shared" si="156"/>
        <v>0.9304888238980572</v>
      </c>
      <c r="EY60" s="128">
        <f t="shared" si="157"/>
        <v>0.92437819644184116</v>
      </c>
      <c r="EZ60" s="128">
        <f t="shared" si="158"/>
        <v>0.70930232558139539</v>
      </c>
      <c r="FA60" s="128">
        <f t="shared" si="159"/>
        <v>0.71326732673267323</v>
      </c>
      <c r="FB60" s="128">
        <f t="shared" si="160"/>
        <v>0.74822202948829142</v>
      </c>
      <c r="FC60" s="130">
        <f t="shared" si="161"/>
        <v>0.52591620582997467</v>
      </c>
      <c r="FD60" s="128">
        <f t="shared" si="162"/>
        <v>0.78287656681538131</v>
      </c>
      <c r="FE60" s="128">
        <f t="shared" si="163"/>
        <v>0.64488067744418787</v>
      </c>
      <c r="FF60" s="128">
        <f t="shared" si="164"/>
        <v>0.4184322033898305</v>
      </c>
      <c r="FG60" s="128">
        <f t="shared" si="165"/>
        <v>0.81861941469880362</v>
      </c>
      <c r="FH60" s="128">
        <f t="shared" si="166"/>
        <v>0.78982859191637822</v>
      </c>
      <c r="FI60" s="128">
        <f t="shared" si="167"/>
        <v>0.73207664468571687</v>
      </c>
      <c r="FJ60" s="128">
        <f t="shared" si="168"/>
        <v>0.72182582347766588</v>
      </c>
      <c r="FK60" s="128">
        <f t="shared" si="169"/>
        <v>0.78087181770348479</v>
      </c>
      <c r="FL60" s="128">
        <f t="shared" si="170"/>
        <v>0.76188290493676047</v>
      </c>
      <c r="FM60" s="128">
        <f t="shared" si="171"/>
        <v>0.71542553191489366</v>
      </c>
      <c r="FN60" s="128">
        <f t="shared" si="172"/>
        <v>0.72144192256341788</v>
      </c>
      <c r="FO60" s="128">
        <f t="shared" si="173"/>
        <v>0.70288335051729656</v>
      </c>
      <c r="FP60" s="128"/>
      <c r="FQ60" s="128">
        <f t="shared" si="175"/>
        <v>0.65045502792810039</v>
      </c>
      <c r="FR60" s="128">
        <f t="shared" si="176"/>
        <v>0.75237449118046129</v>
      </c>
      <c r="FS60" s="128">
        <f t="shared" si="177"/>
        <v>0.78612400983337882</v>
      </c>
      <c r="FT60" s="128">
        <f t="shared" si="178"/>
        <v>0.83993580506322119</v>
      </c>
      <c r="FU60" s="128">
        <f t="shared" si="179"/>
        <v>0.61186103436922945</v>
      </c>
      <c r="FV60" s="128">
        <f t="shared" si="180"/>
        <v>0.65057301197938977</v>
      </c>
      <c r="FW60" s="128">
        <f t="shared" si="181"/>
        <v>0.45520703017728009</v>
      </c>
      <c r="FX60" s="128">
        <f t="shared" si="182"/>
        <v>0.75709183017206405</v>
      </c>
      <c r="FY60" s="128">
        <f t="shared" si="183"/>
        <v>0.65540864663908371</v>
      </c>
      <c r="FZ60" s="128">
        <f t="shared" si="184"/>
        <v>0.63955693044606332</v>
      </c>
      <c r="GA60" s="128">
        <f t="shared" si="185"/>
        <v>0.7414220587059106</v>
      </c>
      <c r="GB60" s="128">
        <f t="shared" si="186"/>
        <v>0.70974750440399292</v>
      </c>
      <c r="GC60" s="128">
        <f t="shared" si="187"/>
        <v>0.59962165698091663</v>
      </c>
      <c r="GD60" s="128">
        <f t="shared" si="188"/>
        <v>0.84465633690901865</v>
      </c>
      <c r="GE60" s="128">
        <f t="shared" si="189"/>
        <v>0.83399855237307419</v>
      </c>
      <c r="GF60" s="128">
        <f t="shared" si="190"/>
        <v>0.80080432270807023</v>
      </c>
      <c r="GG60" s="128">
        <f t="shared" si="191"/>
        <v>0.60393919453687739</v>
      </c>
      <c r="GH60" s="128">
        <f t="shared" si="192"/>
        <v>0.6789340664213187</v>
      </c>
      <c r="GI60" s="128">
        <f t="shared" si="193"/>
        <v>0.64747188475910245</v>
      </c>
      <c r="GJ60" s="128">
        <f t="shared" si="194"/>
        <v>0.7912137993895787</v>
      </c>
      <c r="GK60" s="128">
        <f t="shared" si="195"/>
        <v>0.7283016952593645</v>
      </c>
      <c r="GL60" s="128">
        <f t="shared" si="196"/>
        <v>0.67432003681367914</v>
      </c>
      <c r="GM60" s="128">
        <f t="shared" si="197"/>
        <v>0.67247183521098597</v>
      </c>
      <c r="GN60" s="128">
        <f t="shared" si="97"/>
        <v>0.83495949175263739</v>
      </c>
      <c r="GO60" s="128">
        <f t="shared" si="98"/>
        <v>0.67851974499041756</v>
      </c>
      <c r="GP60" s="128">
        <f t="shared" si="99"/>
        <v>0.7966457920238893</v>
      </c>
      <c r="GQ60" s="129">
        <f t="shared" si="100"/>
        <v>0.71067775411578504</v>
      </c>
      <c r="GR60" s="129">
        <f t="shared" si="101"/>
        <v>0.70766016593028935</v>
      </c>
    </row>
    <row r="61" spans="1:200" x14ac:dyDescent="0.25">
      <c r="A61" s="42">
        <v>220</v>
      </c>
      <c r="B61" s="81">
        <v>18</v>
      </c>
      <c r="C61" s="81">
        <v>68</v>
      </c>
      <c r="D61" s="81">
        <v>179</v>
      </c>
      <c r="E61" s="81">
        <v>1</v>
      </c>
      <c r="F61" s="81">
        <v>45</v>
      </c>
      <c r="G61" s="81">
        <v>509</v>
      </c>
      <c r="H61" s="81">
        <v>387</v>
      </c>
      <c r="I61" s="81">
        <v>213</v>
      </c>
      <c r="J61" s="81">
        <v>891</v>
      </c>
      <c r="K61" s="81">
        <v>63</v>
      </c>
      <c r="L61" s="81">
        <v>252</v>
      </c>
      <c r="M61" s="81">
        <v>1312</v>
      </c>
      <c r="N61" s="81">
        <v>306</v>
      </c>
      <c r="O61" s="81">
        <v>60</v>
      </c>
      <c r="P61" s="81">
        <v>235</v>
      </c>
      <c r="Q61" s="81">
        <v>1014</v>
      </c>
      <c r="R61" s="81">
        <v>1167</v>
      </c>
      <c r="S61" s="81">
        <v>672</v>
      </c>
      <c r="T61" s="81">
        <v>203</v>
      </c>
      <c r="V61" s="81">
        <v>2580</v>
      </c>
      <c r="W61" s="81">
        <v>49</v>
      </c>
      <c r="X61" s="81">
        <v>7</v>
      </c>
      <c r="Y61" s="81">
        <v>203</v>
      </c>
      <c r="Z61" s="81">
        <v>1164</v>
      </c>
      <c r="AA61" s="81">
        <v>3129</v>
      </c>
      <c r="AB61" s="81">
        <v>1395</v>
      </c>
      <c r="AC61" s="81">
        <v>208</v>
      </c>
      <c r="AD61" s="81">
        <v>1986</v>
      </c>
      <c r="AE61" s="81">
        <v>34</v>
      </c>
      <c r="AF61" s="84">
        <v>119</v>
      </c>
      <c r="AG61" s="84">
        <v>158</v>
      </c>
      <c r="AH61" s="84">
        <v>237</v>
      </c>
      <c r="AI61" s="83">
        <v>187</v>
      </c>
      <c r="AJ61" s="83">
        <v>1432</v>
      </c>
      <c r="AK61" s="83">
        <v>333</v>
      </c>
      <c r="AL61" s="81">
        <v>389</v>
      </c>
      <c r="AM61" s="86">
        <v>396</v>
      </c>
      <c r="AN61" s="86">
        <v>513</v>
      </c>
      <c r="AO61" s="86">
        <v>103</v>
      </c>
      <c r="AP61" s="126">
        <v>955</v>
      </c>
      <c r="AQ61" s="126">
        <v>2669</v>
      </c>
      <c r="AR61" s="126">
        <v>2534</v>
      </c>
      <c r="AS61" s="126">
        <v>1663</v>
      </c>
      <c r="AT61" s="126">
        <v>4760</v>
      </c>
      <c r="AU61" s="126">
        <v>6065</v>
      </c>
      <c r="AV61" s="71">
        <f t="shared" si="113"/>
        <v>2004.7</v>
      </c>
      <c r="AW61" s="71">
        <f t="shared" si="102"/>
        <v>59140.290951097311</v>
      </c>
      <c r="AY61" s="42">
        <v>220</v>
      </c>
      <c r="AZ61" s="48">
        <f t="shared" si="154"/>
        <v>7.8462142016477048E-4</v>
      </c>
      <c r="BA61" s="48">
        <f t="shared" si="1"/>
        <v>3.5512847294756631E-3</v>
      </c>
      <c r="BB61" s="48">
        <f t="shared" si="2"/>
        <v>7.8244525068846445E-3</v>
      </c>
      <c r="BC61" s="48">
        <f t="shared" si="3"/>
        <v>2.3255813953488372E-3</v>
      </c>
      <c r="BD61" s="48">
        <f t="shared" si="4"/>
        <v>1.782178217821782E-2</v>
      </c>
      <c r="BE61" s="48">
        <f t="shared" si="5"/>
        <v>4.4145706851691238E-2</v>
      </c>
      <c r="BF61" s="48">
        <f t="shared" si="6"/>
        <v>3.6273315212297312E-2</v>
      </c>
      <c r="BG61" s="48">
        <f t="shared" si="7"/>
        <v>2.2625876354365838E-2</v>
      </c>
      <c r="BH61" s="48">
        <f t="shared" si="8"/>
        <v>6.8591224018475755E-2</v>
      </c>
      <c r="BI61" s="48">
        <f t="shared" si="9"/>
        <v>3.3368644067796611E-2</v>
      </c>
      <c r="BJ61" s="48">
        <f t="shared" si="10"/>
        <v>8.789982210750287E-3</v>
      </c>
      <c r="BK61" s="48">
        <f t="shared" si="11"/>
        <v>1.8092309389522457E-2</v>
      </c>
      <c r="BL61" s="48">
        <f t="shared" si="12"/>
        <v>6.7941117697995074E-3</v>
      </c>
      <c r="BM61" s="48">
        <f t="shared" si="13"/>
        <v>5.8645293715179356E-3</v>
      </c>
      <c r="BN61" s="48">
        <f t="shared" si="14"/>
        <v>9.5114744809163387E-3</v>
      </c>
      <c r="BO61" s="48">
        <f t="shared" si="15"/>
        <v>2.5856793145654835E-2</v>
      </c>
      <c r="BP61" s="48">
        <f t="shared" si="16"/>
        <v>3.4106850596212296E-2</v>
      </c>
      <c r="BQ61" s="48">
        <f t="shared" si="17"/>
        <v>3.588785046728972E-2</v>
      </c>
      <c r="BR61" s="48">
        <f t="shared" si="18"/>
        <v>7.2172645500764394E-3</v>
      </c>
      <c r="BS61" s="48"/>
      <c r="BT61" s="48">
        <f t="shared" si="19"/>
        <v>4.4893768814491294E-2</v>
      </c>
      <c r="BU61" s="48">
        <f t="shared" si="20"/>
        <v>1.6621438263229309E-2</v>
      </c>
      <c r="BV61" s="48">
        <f t="shared" si="21"/>
        <v>1.9120458891013384E-3</v>
      </c>
      <c r="BW61" s="48">
        <f t="shared" si="22"/>
        <v>8.4850444602057179E-3</v>
      </c>
      <c r="BX61" s="48">
        <f t="shared" si="23"/>
        <v>1.6662133726506247E-2</v>
      </c>
      <c r="BY61" s="48">
        <f t="shared" si="24"/>
        <v>4.061052057781412E-2</v>
      </c>
      <c r="BZ61" s="48">
        <f t="shared" si="25"/>
        <v>2.1282763250236474E-2</v>
      </c>
      <c r="CA61" s="48">
        <f t="shared" si="26"/>
        <v>2.0580407056704957E-3</v>
      </c>
      <c r="CB61" s="48">
        <f t="shared" si="27"/>
        <v>2.9771541644180607E-2</v>
      </c>
      <c r="CC61" s="48">
        <f t="shared" si="28"/>
        <v>3.3928749625785851E-3</v>
      </c>
      <c r="CD61" s="48">
        <f t="shared" si="29"/>
        <v>9.5177157482204278E-3</v>
      </c>
      <c r="CE61" s="48">
        <f t="shared" si="30"/>
        <v>9.2777451556077511E-3</v>
      </c>
      <c r="CF61" s="48">
        <f t="shared" si="31"/>
        <v>1.0519678192647661E-2</v>
      </c>
      <c r="CG61" s="48">
        <f t="shared" si="32"/>
        <v>4.6434247119586805E-3</v>
      </c>
      <c r="CH61" s="48">
        <f t="shared" si="33"/>
        <v>2.9614310826181368E-2</v>
      </c>
      <c r="CI61" s="48">
        <f t="shared" si="34"/>
        <v>1.7089710296192478E-2</v>
      </c>
      <c r="CJ61" s="48">
        <f t="shared" si="35"/>
        <v>2.8730953688593023E-2</v>
      </c>
      <c r="CK61" s="48">
        <f t="shared" si="36"/>
        <v>1.7558639648827208E-2</v>
      </c>
      <c r="CL61" s="48">
        <f t="shared" si="37"/>
        <v>9.2604292651226605E-3</v>
      </c>
      <c r="CM61" s="48">
        <f t="shared" si="61"/>
        <v>1.4224751066856331E-3</v>
      </c>
      <c r="CN61" s="48">
        <f t="shared" si="62"/>
        <v>1.615741210706189E-2</v>
      </c>
      <c r="CO61" s="48">
        <f t="shared" si="174"/>
        <v>6.4641914311317786E-2</v>
      </c>
      <c r="CP61" s="48">
        <f t="shared" si="64"/>
        <v>4.2230517965468971E-2</v>
      </c>
      <c r="CQ61" s="48">
        <f t="shared" si="112"/>
        <v>1.9385673486040682E-2</v>
      </c>
      <c r="CR61" s="48">
        <f t="shared" si="65"/>
        <v>3.1028773320469865E-2</v>
      </c>
      <c r="CS61" s="48">
        <f t="shared" si="66"/>
        <v>2.8839341331317193E-2</v>
      </c>
      <c r="CT61" s="68">
        <f t="shared" si="67"/>
        <v>0.73660336713887553</v>
      </c>
      <c r="CU61" s="68">
        <f t="shared" si="68"/>
        <v>0.72962496110395536</v>
      </c>
      <c r="CW61" s="42">
        <v>220</v>
      </c>
      <c r="CX61" s="58">
        <f t="shared" si="128"/>
        <v>19435</v>
      </c>
      <c r="CY61" s="58">
        <f t="shared" si="129"/>
        <v>17885</v>
      </c>
      <c r="CZ61" s="58">
        <f t="shared" si="130"/>
        <v>21326</v>
      </c>
      <c r="DA61" s="58">
        <f t="shared" si="131"/>
        <v>306</v>
      </c>
      <c r="DB61" s="58">
        <f t="shared" si="132"/>
        <v>1846</v>
      </c>
      <c r="DC61" s="58">
        <f t="shared" si="133"/>
        <v>9136</v>
      </c>
      <c r="DD61" s="58">
        <f t="shared" si="134"/>
        <v>5998</v>
      </c>
      <c r="DE61" s="58">
        <f t="shared" si="135"/>
        <v>7583</v>
      </c>
      <c r="DF61" s="58">
        <f t="shared" si="136"/>
        <v>9268</v>
      </c>
      <c r="DG61" s="58">
        <f t="shared" si="137"/>
        <v>853</v>
      </c>
      <c r="DH61" s="58">
        <f t="shared" si="138"/>
        <v>23721</v>
      </c>
      <c r="DI61" s="58">
        <f t="shared" si="139"/>
        <v>58588</v>
      </c>
      <c r="DJ61" s="58">
        <f t="shared" si="140"/>
        <v>33278</v>
      </c>
      <c r="DK61" s="58">
        <f t="shared" si="141"/>
        <v>7445</v>
      </c>
      <c r="DL61" s="58">
        <f t="shared" si="142"/>
        <v>19528</v>
      </c>
      <c r="DM61" s="58">
        <f t="shared" si="143"/>
        <v>30892</v>
      </c>
      <c r="DN61" s="58">
        <f t="shared" si="144"/>
        <v>25646</v>
      </c>
      <c r="DO61" s="58">
        <f t="shared" si="145"/>
        <v>14181</v>
      </c>
      <c r="DP61" s="58">
        <f t="shared" si="146"/>
        <v>19973</v>
      </c>
      <c r="DQ61" s="58"/>
      <c r="DR61" s="58">
        <f t="shared" si="147"/>
        <v>39961</v>
      </c>
      <c r="DS61" s="58">
        <f t="shared" si="148"/>
        <v>2267</v>
      </c>
      <c r="DT61" s="58">
        <f t="shared" si="149"/>
        <v>2885</v>
      </c>
      <c r="DU61" s="58">
        <f t="shared" si="150"/>
        <v>20298</v>
      </c>
      <c r="DV61" s="58">
        <f t="shared" si="151"/>
        <v>43908</v>
      </c>
      <c r="DW61" s="58">
        <f t="shared" si="152"/>
        <v>53255</v>
      </c>
      <c r="DX61" s="58">
        <f t="shared" si="153"/>
        <v>31232</v>
      </c>
      <c r="DY61" s="58">
        <f t="shared" si="115"/>
        <v>76725</v>
      </c>
      <c r="DZ61" s="58">
        <f t="shared" si="116"/>
        <v>45707</v>
      </c>
      <c r="EA61" s="58">
        <f t="shared" si="117"/>
        <v>6443</v>
      </c>
      <c r="EB61" s="58">
        <f t="shared" si="118"/>
        <v>9389</v>
      </c>
      <c r="EC61" s="58">
        <f t="shared" si="119"/>
        <v>12245</v>
      </c>
      <c r="ED61" s="58">
        <f t="shared" si="120"/>
        <v>13746</v>
      </c>
      <c r="EE61" s="58">
        <f t="shared" si="121"/>
        <v>34203</v>
      </c>
      <c r="EF61" s="58">
        <f t="shared" si="122"/>
        <v>41760</v>
      </c>
      <c r="EG61" s="58">
        <f t="shared" si="123"/>
        <v>15937</v>
      </c>
      <c r="EH61" s="58">
        <f t="shared" si="124"/>
        <v>8565.9769712907182</v>
      </c>
      <c r="EI61" s="58">
        <f t="shared" si="125"/>
        <v>15708</v>
      </c>
      <c r="EJ61" s="58">
        <f t="shared" si="198"/>
        <v>36381</v>
      </c>
      <c r="EK61" s="58">
        <f t="shared" si="199"/>
        <v>57394</v>
      </c>
      <c r="EL61" s="58">
        <f t="shared" si="105"/>
        <v>44002</v>
      </c>
      <c r="EM61" s="58">
        <f t="shared" si="106"/>
        <v>30511</v>
      </c>
      <c r="EN61" s="58">
        <f t="shared" si="107"/>
        <v>42885</v>
      </c>
      <c r="EO61" s="58">
        <f t="shared" si="108"/>
        <v>73290</v>
      </c>
      <c r="EP61" s="58">
        <f t="shared" si="109"/>
        <v>108849</v>
      </c>
      <c r="EQ61" s="58">
        <f t="shared" si="110"/>
        <v>173602</v>
      </c>
      <c r="ER61" s="67">
        <f t="shared" si="72"/>
        <v>59118.797697129077</v>
      </c>
      <c r="ES61" s="67">
        <f t="shared" si="73"/>
        <v>31928.901877348555</v>
      </c>
      <c r="EV61" s="42">
        <v>220</v>
      </c>
      <c r="EW61" s="128">
        <f t="shared" si="155"/>
        <v>0.84717318338346193</v>
      </c>
      <c r="EX61" s="128">
        <f t="shared" si="156"/>
        <v>0.93404010862753295</v>
      </c>
      <c r="EY61" s="128">
        <f t="shared" si="157"/>
        <v>0.93220264894872584</v>
      </c>
      <c r="EZ61" s="128">
        <f t="shared" si="158"/>
        <v>0.71162790697674416</v>
      </c>
      <c r="FA61" s="128">
        <f t="shared" si="159"/>
        <v>0.73108910891089107</v>
      </c>
      <c r="FB61" s="128">
        <f t="shared" si="160"/>
        <v>0.7923677363399827</v>
      </c>
      <c r="FC61" s="128">
        <f t="shared" si="161"/>
        <v>0.56218952104227204</v>
      </c>
      <c r="FD61" s="128">
        <f t="shared" si="162"/>
        <v>0.80550244316974717</v>
      </c>
      <c r="FE61" s="128">
        <f t="shared" si="163"/>
        <v>0.71347190146266359</v>
      </c>
      <c r="FF61" s="128">
        <f t="shared" si="164"/>
        <v>0.45180084745762711</v>
      </c>
      <c r="FG61" s="128">
        <f t="shared" si="165"/>
        <v>0.82740939690955384</v>
      </c>
      <c r="FH61" s="128">
        <f t="shared" si="166"/>
        <v>0.80792090130590066</v>
      </c>
      <c r="FI61" s="128">
        <f t="shared" si="167"/>
        <v>0.73887075645551636</v>
      </c>
      <c r="FJ61" s="128">
        <f t="shared" si="168"/>
        <v>0.72769035284918382</v>
      </c>
      <c r="FK61" s="128">
        <f t="shared" si="169"/>
        <v>0.79038329218440118</v>
      </c>
      <c r="FL61" s="128">
        <f t="shared" si="170"/>
        <v>0.7877396980824154</v>
      </c>
      <c r="FM61" s="128">
        <f t="shared" si="171"/>
        <v>0.74953238251110588</v>
      </c>
      <c r="FN61" s="128">
        <f t="shared" si="172"/>
        <v>0.75732977303070759</v>
      </c>
      <c r="FO61" s="128">
        <f t="shared" si="173"/>
        <v>0.71010061506737299</v>
      </c>
      <c r="FP61" s="128"/>
      <c r="FQ61" s="128">
        <f t="shared" si="175"/>
        <v>0.69534879674259165</v>
      </c>
      <c r="FR61" s="128">
        <f t="shared" si="176"/>
        <v>0.76899592944369066</v>
      </c>
      <c r="FS61" s="128">
        <f t="shared" si="177"/>
        <v>0.78803605572248014</v>
      </c>
      <c r="FT61" s="128">
        <f t="shared" si="178"/>
        <v>0.84842084952342689</v>
      </c>
      <c r="FU61" s="128">
        <f t="shared" si="179"/>
        <v>0.62852316809573572</v>
      </c>
      <c r="FV61" s="128">
        <f t="shared" si="180"/>
        <v>0.69118353255720388</v>
      </c>
      <c r="FW61" s="128">
        <f t="shared" si="181"/>
        <v>0.47648979342751657</v>
      </c>
      <c r="FX61" s="128">
        <f t="shared" si="182"/>
        <v>0.75914987087773456</v>
      </c>
      <c r="FY61" s="128">
        <f t="shared" si="183"/>
        <v>0.68518018828326432</v>
      </c>
      <c r="FZ61" s="128">
        <f t="shared" si="184"/>
        <v>0.64294980540864188</v>
      </c>
      <c r="GA61" s="128">
        <f t="shared" si="185"/>
        <v>0.75093977445413096</v>
      </c>
      <c r="GB61" s="128">
        <f t="shared" si="186"/>
        <v>0.71902524955960068</v>
      </c>
      <c r="GC61" s="128">
        <f t="shared" si="187"/>
        <v>0.61014133517356428</v>
      </c>
      <c r="GD61" s="128">
        <f t="shared" si="188"/>
        <v>0.84929976162097731</v>
      </c>
      <c r="GE61" s="128">
        <f t="shared" si="189"/>
        <v>0.86361286319925545</v>
      </c>
      <c r="GF61" s="128">
        <f t="shared" si="190"/>
        <v>0.81789403300426278</v>
      </c>
      <c r="GG61" s="128">
        <f t="shared" si="191"/>
        <v>0.6326701482254703</v>
      </c>
      <c r="GH61" s="128">
        <f t="shared" si="192"/>
        <v>0.69649270607014591</v>
      </c>
      <c r="GI61" s="128">
        <f t="shared" si="193"/>
        <v>0.65673231402422516</v>
      </c>
      <c r="GJ61" s="128">
        <f t="shared" si="194"/>
        <v>0.79263627449626428</v>
      </c>
      <c r="GK61" s="128">
        <f t="shared" si="195"/>
        <v>0.7444591073664264</v>
      </c>
      <c r="GL61" s="128">
        <f t="shared" si="196"/>
        <v>0.73896195112499696</v>
      </c>
      <c r="GM61" s="128">
        <f t="shared" si="197"/>
        <v>0.71470235317645492</v>
      </c>
      <c r="GN61" s="128">
        <f t="shared" si="97"/>
        <v>0.85434516523867809</v>
      </c>
      <c r="GO61" s="128">
        <f t="shared" si="98"/>
        <v>0.7095485183108875</v>
      </c>
      <c r="GP61" s="128">
        <f t="shared" si="99"/>
        <v>0.82548513335520657</v>
      </c>
      <c r="GQ61" s="129">
        <f t="shared" si="100"/>
        <v>0.73660336713887564</v>
      </c>
      <c r="GR61" s="129">
        <f t="shared" si="101"/>
        <v>0.72962496110395547</v>
      </c>
    </row>
    <row r="62" spans="1:200" x14ac:dyDescent="0.25">
      <c r="A62" s="42">
        <v>221</v>
      </c>
      <c r="B62" s="81">
        <v>293</v>
      </c>
      <c r="C62" s="81">
        <v>84</v>
      </c>
      <c r="D62" s="81">
        <v>213</v>
      </c>
      <c r="E62" s="81">
        <v>4</v>
      </c>
      <c r="F62" s="81">
        <v>64</v>
      </c>
      <c r="G62" s="81">
        <v>292</v>
      </c>
      <c r="H62" s="81">
        <v>151</v>
      </c>
      <c r="I62" s="81">
        <v>223</v>
      </c>
      <c r="J62" s="81">
        <v>239</v>
      </c>
      <c r="K62" s="81">
        <v>58</v>
      </c>
      <c r="L62" s="81">
        <v>468</v>
      </c>
      <c r="M62" s="81">
        <v>2320</v>
      </c>
      <c r="N62" s="81">
        <v>505</v>
      </c>
      <c r="O62" s="81">
        <v>597</v>
      </c>
      <c r="P62" s="81">
        <v>265</v>
      </c>
      <c r="Q62" s="81">
        <v>401</v>
      </c>
      <c r="R62" s="81">
        <v>260</v>
      </c>
      <c r="S62" s="81">
        <v>252</v>
      </c>
      <c r="T62" s="81">
        <v>130</v>
      </c>
      <c r="V62" s="81">
        <v>1769</v>
      </c>
      <c r="W62" s="81">
        <v>60</v>
      </c>
      <c r="X62" s="81">
        <v>71</v>
      </c>
      <c r="Y62" s="81">
        <v>182</v>
      </c>
      <c r="Z62" s="81">
        <v>1836</v>
      </c>
      <c r="AA62" s="81">
        <v>3092</v>
      </c>
      <c r="AB62" s="81">
        <v>780</v>
      </c>
      <c r="AC62" s="81">
        <v>1890</v>
      </c>
      <c r="AD62" s="81">
        <v>2012</v>
      </c>
      <c r="AE62" s="81">
        <v>144</v>
      </c>
      <c r="AF62" s="84">
        <v>94</v>
      </c>
      <c r="AG62" s="84">
        <v>989</v>
      </c>
      <c r="AH62" s="84">
        <v>489</v>
      </c>
      <c r="AI62" s="83">
        <v>942</v>
      </c>
      <c r="AJ62" s="83">
        <v>780</v>
      </c>
      <c r="AK62" s="83">
        <v>119</v>
      </c>
      <c r="AL62" s="81">
        <v>276</v>
      </c>
      <c r="AM62" s="86">
        <v>251</v>
      </c>
      <c r="AN62" s="86">
        <v>806</v>
      </c>
      <c r="AO62" s="86">
        <v>66</v>
      </c>
      <c r="AP62" s="126">
        <v>1627</v>
      </c>
      <c r="AQ62" s="126">
        <v>1263</v>
      </c>
      <c r="AR62" s="126">
        <v>494</v>
      </c>
      <c r="AS62" s="126">
        <v>775</v>
      </c>
      <c r="AT62" s="126">
        <v>5225</v>
      </c>
      <c r="AU62" s="126">
        <v>4049</v>
      </c>
      <c r="AV62" s="71">
        <f t="shared" si="113"/>
        <v>1483.2</v>
      </c>
      <c r="AW62" s="71">
        <f t="shared" si="102"/>
        <v>60623.490951097308</v>
      </c>
      <c r="AY62" s="42">
        <v>221</v>
      </c>
      <c r="AZ62" s="48">
        <f t="shared" si="154"/>
        <v>1.2771893117126542E-2</v>
      </c>
      <c r="BA62" s="48">
        <f t="shared" si="1"/>
        <v>4.3868811364111138E-3</v>
      </c>
      <c r="BB62" s="48">
        <f t="shared" si="2"/>
        <v>9.3106613629409442E-3</v>
      </c>
      <c r="BC62" s="48">
        <f t="shared" si="3"/>
        <v>9.3023255813953487E-3</v>
      </c>
      <c r="BD62" s="48">
        <f t="shared" si="4"/>
        <v>2.5346534653465348E-2</v>
      </c>
      <c r="BE62" s="48">
        <f t="shared" si="5"/>
        <v>2.5325238508239374E-2</v>
      </c>
      <c r="BF62" s="48">
        <f t="shared" si="6"/>
        <v>1.4153153997563034E-2</v>
      </c>
      <c r="BG62" s="48">
        <f t="shared" si="7"/>
        <v>2.3688124070533247E-2</v>
      </c>
      <c r="BH62" s="48">
        <f t="shared" si="8"/>
        <v>1.8398768283294842E-2</v>
      </c>
      <c r="BI62" s="48">
        <f t="shared" si="9"/>
        <v>3.0720338983050849E-2</v>
      </c>
      <c r="BJ62" s="48">
        <f t="shared" si="10"/>
        <v>1.6324252677107676E-2</v>
      </c>
      <c r="BK62" s="48">
        <f t="shared" si="11"/>
        <v>3.1992498310740927E-2</v>
      </c>
      <c r="BL62" s="48">
        <f t="shared" si="12"/>
        <v>1.1212504718133174E-2</v>
      </c>
      <c r="BM62" s="48">
        <f t="shared" si="13"/>
        <v>5.835206724660346E-2</v>
      </c>
      <c r="BN62" s="48">
        <f t="shared" si="14"/>
        <v>1.072570526571417E-2</v>
      </c>
      <c r="BO62" s="48">
        <f t="shared" si="15"/>
        <v>1.0225418196654427E-2</v>
      </c>
      <c r="BP62" s="48">
        <f t="shared" si="16"/>
        <v>7.5987841945288756E-3</v>
      </c>
      <c r="BQ62" s="48">
        <f t="shared" si="17"/>
        <v>1.3457943925233645E-2</v>
      </c>
      <c r="BR62" s="48">
        <f t="shared" si="18"/>
        <v>4.6218935542361433E-3</v>
      </c>
      <c r="BS62" s="48"/>
      <c r="BT62" s="48">
        <f t="shared" si="19"/>
        <v>3.0781812803424454E-2</v>
      </c>
      <c r="BU62" s="48">
        <f t="shared" si="20"/>
        <v>2.0352781546811399E-2</v>
      </c>
      <c r="BV62" s="48">
        <f t="shared" si="21"/>
        <v>1.9393608303742146E-2</v>
      </c>
      <c r="BW62" s="48">
        <f t="shared" si="22"/>
        <v>7.607281240184437E-3</v>
      </c>
      <c r="BX62" s="48">
        <f t="shared" si="23"/>
        <v>2.6281509898509855E-2</v>
      </c>
      <c r="BY62" s="48">
        <f t="shared" si="24"/>
        <v>4.0130306687951825E-2</v>
      </c>
      <c r="BZ62" s="48">
        <f t="shared" si="25"/>
        <v>1.190003966679889E-2</v>
      </c>
      <c r="CA62" s="48">
        <f t="shared" si="26"/>
        <v>1.8700466027486717E-2</v>
      </c>
      <c r="CB62" s="48">
        <f t="shared" si="27"/>
        <v>3.0161299994003719E-2</v>
      </c>
      <c r="CC62" s="48">
        <f t="shared" si="28"/>
        <v>1.4369823370921065E-2</v>
      </c>
      <c r="CD62" s="48">
        <f t="shared" si="29"/>
        <v>7.518195633048068E-3</v>
      </c>
      <c r="CE62" s="48">
        <f t="shared" si="30"/>
        <v>5.8073987081620669E-2</v>
      </c>
      <c r="CF62" s="48">
        <f t="shared" si="31"/>
        <v>2.17051588025515E-2</v>
      </c>
      <c r="CG62" s="48">
        <f t="shared" si="32"/>
        <v>2.3390941597139451E-2</v>
      </c>
      <c r="CH62" s="48">
        <f t="shared" si="33"/>
        <v>1.6130700031020576E-2</v>
      </c>
      <c r="CI62" s="48">
        <f t="shared" si="34"/>
        <v>6.1071337094501642E-3</v>
      </c>
      <c r="CJ62" s="48">
        <f t="shared" si="35"/>
        <v>2.0384944005274228E-2</v>
      </c>
      <c r="CK62" s="48">
        <f t="shared" si="36"/>
        <v>1.1129339777413205E-2</v>
      </c>
      <c r="CL62" s="48">
        <f t="shared" si="37"/>
        <v>1.4549524342473419E-2</v>
      </c>
      <c r="CM62" s="48">
        <f t="shared" si="61"/>
        <v>9.1148890331312407E-4</v>
      </c>
      <c r="CN62" s="48">
        <f t="shared" si="62"/>
        <v>2.7526816228470884E-2</v>
      </c>
      <c r="CO62" s="48">
        <f t="shared" si="174"/>
        <v>3.0589261062268402E-2</v>
      </c>
      <c r="CP62" s="48">
        <f t="shared" si="64"/>
        <v>8.2327844810345975E-3</v>
      </c>
      <c r="CQ62" s="48">
        <f t="shared" si="112"/>
        <v>9.0342134405781895E-3</v>
      </c>
      <c r="CR62" s="48">
        <f t="shared" si="65"/>
        <v>3.4059945504087197E-2</v>
      </c>
      <c r="CS62" s="48">
        <f t="shared" si="66"/>
        <v>1.9253172803050837E-2</v>
      </c>
      <c r="CT62" s="68">
        <f t="shared" si="67"/>
        <v>0.75417051619367192</v>
      </c>
      <c r="CU62" s="68">
        <f t="shared" si="68"/>
        <v>0.74987910167780236</v>
      </c>
      <c r="CW62" s="42">
        <v>221</v>
      </c>
      <c r="CX62" s="58">
        <f t="shared" si="128"/>
        <v>19728</v>
      </c>
      <c r="CY62" s="58">
        <f t="shared" si="129"/>
        <v>17969</v>
      </c>
      <c r="CZ62" s="58">
        <f t="shared" si="130"/>
        <v>21539</v>
      </c>
      <c r="DA62" s="58">
        <f t="shared" si="131"/>
        <v>310</v>
      </c>
      <c r="DB62" s="58">
        <f t="shared" si="132"/>
        <v>1910</v>
      </c>
      <c r="DC62" s="58">
        <f t="shared" si="133"/>
        <v>9428</v>
      </c>
      <c r="DD62" s="58">
        <f t="shared" si="134"/>
        <v>6149</v>
      </c>
      <c r="DE62" s="58">
        <f t="shared" si="135"/>
        <v>7806</v>
      </c>
      <c r="DF62" s="58">
        <f t="shared" si="136"/>
        <v>9507</v>
      </c>
      <c r="DG62" s="58">
        <f t="shared" si="137"/>
        <v>911</v>
      </c>
      <c r="DH62" s="58">
        <f t="shared" si="138"/>
        <v>24189</v>
      </c>
      <c r="DI62" s="58">
        <f t="shared" si="139"/>
        <v>60908</v>
      </c>
      <c r="DJ62" s="58">
        <f t="shared" si="140"/>
        <v>33783</v>
      </c>
      <c r="DK62" s="58">
        <f t="shared" si="141"/>
        <v>8042</v>
      </c>
      <c r="DL62" s="58">
        <f t="shared" si="142"/>
        <v>19793</v>
      </c>
      <c r="DM62" s="58">
        <f t="shared" si="143"/>
        <v>31293</v>
      </c>
      <c r="DN62" s="58">
        <f t="shared" si="144"/>
        <v>25906</v>
      </c>
      <c r="DO62" s="58">
        <f t="shared" si="145"/>
        <v>14433</v>
      </c>
      <c r="DP62" s="58">
        <f t="shared" si="146"/>
        <v>20103</v>
      </c>
      <c r="DQ62" s="58"/>
      <c r="DR62" s="58">
        <f t="shared" si="147"/>
        <v>41730</v>
      </c>
      <c r="DS62" s="58">
        <f t="shared" si="148"/>
        <v>2327</v>
      </c>
      <c r="DT62" s="58">
        <f t="shared" si="149"/>
        <v>2956</v>
      </c>
      <c r="DU62" s="58">
        <f t="shared" si="150"/>
        <v>20480</v>
      </c>
      <c r="DV62" s="58">
        <f t="shared" si="151"/>
        <v>45744</v>
      </c>
      <c r="DW62" s="58">
        <f t="shared" si="152"/>
        <v>56347</v>
      </c>
      <c r="DX62" s="58">
        <f t="shared" si="153"/>
        <v>32012</v>
      </c>
      <c r="DY62" s="58">
        <f t="shared" si="115"/>
        <v>78615</v>
      </c>
      <c r="DZ62" s="58">
        <f t="shared" si="116"/>
        <v>47719</v>
      </c>
      <c r="EA62" s="58">
        <f t="shared" si="117"/>
        <v>6587</v>
      </c>
      <c r="EB62" s="58">
        <f t="shared" si="118"/>
        <v>9483</v>
      </c>
      <c r="EC62" s="58">
        <f t="shared" si="119"/>
        <v>13234</v>
      </c>
      <c r="ED62" s="58">
        <f t="shared" si="120"/>
        <v>14235</v>
      </c>
      <c r="EE62" s="58">
        <f t="shared" si="121"/>
        <v>35145</v>
      </c>
      <c r="EF62" s="58">
        <f t="shared" si="122"/>
        <v>42540</v>
      </c>
      <c r="EG62" s="58">
        <f t="shared" si="123"/>
        <v>16056</v>
      </c>
      <c r="EH62" s="58">
        <f t="shared" si="124"/>
        <v>8841.9769712907182</v>
      </c>
      <c r="EI62" s="58">
        <f t="shared" si="125"/>
        <v>15959</v>
      </c>
      <c r="EJ62" s="58">
        <f t="shared" si="198"/>
        <v>37187</v>
      </c>
      <c r="EK62" s="58">
        <f t="shared" si="199"/>
        <v>57460</v>
      </c>
      <c r="EL62" s="58">
        <f t="shared" si="105"/>
        <v>45629</v>
      </c>
      <c r="EM62" s="58">
        <f t="shared" si="106"/>
        <v>31774</v>
      </c>
      <c r="EN62" s="58">
        <f t="shared" si="107"/>
        <v>43379</v>
      </c>
      <c r="EO62" s="58">
        <f t="shared" si="108"/>
        <v>74065</v>
      </c>
      <c r="EP62" s="58">
        <f t="shared" si="109"/>
        <v>114074</v>
      </c>
      <c r="EQ62" s="58">
        <f t="shared" si="110"/>
        <v>177651</v>
      </c>
      <c r="ER62" s="67">
        <f t="shared" si="72"/>
        <v>60601.997697129074</v>
      </c>
      <c r="ES62" s="67">
        <f t="shared" si="73"/>
        <v>32814.414072470507</v>
      </c>
      <c r="EV62" s="42">
        <v>221</v>
      </c>
      <c r="EW62" s="128">
        <f t="shared" si="155"/>
        <v>0.85994507650058849</v>
      </c>
      <c r="EX62" s="128">
        <f t="shared" si="156"/>
        <v>0.93842698976394401</v>
      </c>
      <c r="EY62" s="128">
        <f t="shared" si="157"/>
        <v>0.94151331031166674</v>
      </c>
      <c r="EZ62" s="128">
        <f t="shared" si="158"/>
        <v>0.72093023255813948</v>
      </c>
      <c r="FA62" s="128">
        <f t="shared" si="159"/>
        <v>0.75643564356435644</v>
      </c>
      <c r="FB62" s="128">
        <f t="shared" si="160"/>
        <v>0.81769297484822201</v>
      </c>
      <c r="FC62" s="128">
        <f t="shared" si="161"/>
        <v>0.57634267503983505</v>
      </c>
      <c r="FD62" s="128">
        <f t="shared" si="162"/>
        <v>0.8291905672402804</v>
      </c>
      <c r="FE62" s="128">
        <f t="shared" si="163"/>
        <v>0.73187066974595838</v>
      </c>
      <c r="FF62" s="128">
        <f t="shared" si="164"/>
        <v>0.48252118644067798</v>
      </c>
      <c r="FG62" s="128">
        <f t="shared" si="165"/>
        <v>0.84373364958666153</v>
      </c>
      <c r="FH62" s="128">
        <f t="shared" si="166"/>
        <v>0.83991339961664158</v>
      </c>
      <c r="FI62" s="128">
        <f t="shared" si="167"/>
        <v>0.75008326117364954</v>
      </c>
      <c r="FJ62" s="128">
        <f t="shared" si="168"/>
        <v>0.78604242009578729</v>
      </c>
      <c r="FK62" s="128">
        <f t="shared" si="169"/>
        <v>0.80110899745011532</v>
      </c>
      <c r="FL62" s="128">
        <f t="shared" si="170"/>
        <v>0.79796511627906974</v>
      </c>
      <c r="FM62" s="128">
        <f t="shared" si="171"/>
        <v>0.75713116670563474</v>
      </c>
      <c r="FN62" s="128">
        <f t="shared" si="172"/>
        <v>0.77078771695594128</v>
      </c>
      <c r="FO62" s="128">
        <f t="shared" si="173"/>
        <v>0.71472250862160913</v>
      </c>
      <c r="FP62" s="128"/>
      <c r="FQ62" s="128">
        <f t="shared" si="175"/>
        <v>0.72613060954601616</v>
      </c>
      <c r="FR62" s="128">
        <f t="shared" si="176"/>
        <v>0.78934871099050208</v>
      </c>
      <c r="FS62" s="128">
        <f t="shared" si="177"/>
        <v>0.80742966402622229</v>
      </c>
      <c r="FT62" s="128">
        <f t="shared" si="178"/>
        <v>0.85602813076361139</v>
      </c>
      <c r="FU62" s="128">
        <f t="shared" si="179"/>
        <v>0.65480467799424558</v>
      </c>
      <c r="FV62" s="128">
        <f t="shared" si="180"/>
        <v>0.73131383924515569</v>
      </c>
      <c r="FW62" s="128">
        <f t="shared" si="181"/>
        <v>0.48838983309431544</v>
      </c>
      <c r="FX62" s="128">
        <f t="shared" si="182"/>
        <v>0.77785033690522132</v>
      </c>
      <c r="FY62" s="128">
        <f t="shared" si="183"/>
        <v>0.71534148827726807</v>
      </c>
      <c r="FZ62" s="128">
        <f t="shared" si="184"/>
        <v>0.65731962877956296</v>
      </c>
      <c r="GA62" s="128">
        <f t="shared" si="185"/>
        <v>0.75845797008717908</v>
      </c>
      <c r="GB62" s="128">
        <f t="shared" si="186"/>
        <v>0.77709923664122138</v>
      </c>
      <c r="GC62" s="128">
        <f t="shared" si="187"/>
        <v>0.63184649397611581</v>
      </c>
      <c r="GD62" s="128">
        <f t="shared" si="188"/>
        <v>0.87269070321811681</v>
      </c>
      <c r="GE62" s="128">
        <f t="shared" si="189"/>
        <v>0.87974356323027614</v>
      </c>
      <c r="GF62" s="128">
        <f t="shared" si="190"/>
        <v>0.82400116671371293</v>
      </c>
      <c r="GG62" s="128">
        <f t="shared" si="191"/>
        <v>0.65305509223074454</v>
      </c>
      <c r="GH62" s="128">
        <f t="shared" si="192"/>
        <v>0.70762204584755906</v>
      </c>
      <c r="GI62" s="128">
        <f t="shared" si="193"/>
        <v>0.67128183836669852</v>
      </c>
      <c r="GJ62" s="128">
        <f t="shared" si="194"/>
        <v>0.79354776339957744</v>
      </c>
      <c r="GK62" s="128">
        <f t="shared" si="195"/>
        <v>0.77198592359489726</v>
      </c>
      <c r="GL62" s="128">
        <f t="shared" si="196"/>
        <v>0.76955121218726541</v>
      </c>
      <c r="GM62" s="128">
        <f t="shared" si="197"/>
        <v>0.72293513765748951</v>
      </c>
      <c r="GN62" s="128">
        <f t="shared" si="97"/>
        <v>0.86337937867925629</v>
      </c>
      <c r="GO62" s="128">
        <f t="shared" si="98"/>
        <v>0.7436084638149747</v>
      </c>
      <c r="GP62" s="128">
        <f t="shared" si="99"/>
        <v>0.8447383061582574</v>
      </c>
      <c r="GQ62" s="129">
        <f t="shared" si="100"/>
        <v>0.75417051619367204</v>
      </c>
      <c r="GR62" s="129">
        <f t="shared" si="101"/>
        <v>0.74987910167780258</v>
      </c>
    </row>
    <row r="63" spans="1:200" x14ac:dyDescent="0.25">
      <c r="A63" s="42">
        <v>222</v>
      </c>
      <c r="B63" s="81">
        <v>182</v>
      </c>
      <c r="C63" s="81">
        <v>99</v>
      </c>
      <c r="D63" s="81">
        <v>307</v>
      </c>
      <c r="E63" s="81">
        <v>7</v>
      </c>
      <c r="F63" s="81">
        <v>165</v>
      </c>
      <c r="G63" s="81">
        <v>191</v>
      </c>
      <c r="H63" s="81">
        <v>158</v>
      </c>
      <c r="I63" s="81">
        <v>118</v>
      </c>
      <c r="J63" s="81">
        <v>733</v>
      </c>
      <c r="K63" s="81">
        <v>5</v>
      </c>
      <c r="L63" s="81">
        <v>365</v>
      </c>
      <c r="M63" s="81">
        <v>1479</v>
      </c>
      <c r="N63" s="81">
        <v>840</v>
      </c>
      <c r="O63" s="81">
        <v>116</v>
      </c>
      <c r="P63" s="81">
        <v>157</v>
      </c>
      <c r="Q63" s="81">
        <v>542</v>
      </c>
      <c r="R63" s="81">
        <v>146</v>
      </c>
      <c r="S63" s="81">
        <v>110</v>
      </c>
      <c r="T63" s="81">
        <v>189</v>
      </c>
      <c r="V63" s="81">
        <v>513</v>
      </c>
      <c r="W63" s="81">
        <v>47</v>
      </c>
      <c r="X63" s="81">
        <v>11</v>
      </c>
      <c r="Y63" s="81">
        <v>229</v>
      </c>
      <c r="Z63" s="81">
        <v>947</v>
      </c>
      <c r="AA63" s="81">
        <v>788</v>
      </c>
      <c r="AB63" s="81">
        <v>979</v>
      </c>
      <c r="AC63" s="81">
        <v>507</v>
      </c>
      <c r="AD63" s="81">
        <v>903</v>
      </c>
      <c r="AE63" s="81">
        <v>289</v>
      </c>
      <c r="AF63" s="84">
        <v>148</v>
      </c>
      <c r="AG63" s="84">
        <v>41</v>
      </c>
      <c r="AH63" s="84">
        <v>235</v>
      </c>
      <c r="AI63" s="83">
        <v>601</v>
      </c>
      <c r="AJ63" s="83">
        <v>564</v>
      </c>
      <c r="AK63" s="83">
        <v>259</v>
      </c>
      <c r="AL63" s="81">
        <v>102</v>
      </c>
      <c r="AM63" s="86">
        <v>944</v>
      </c>
      <c r="AN63" s="86">
        <v>1034</v>
      </c>
      <c r="AO63" s="86">
        <v>3134</v>
      </c>
      <c r="AP63" s="126">
        <v>1737</v>
      </c>
      <c r="AQ63" s="126">
        <v>875</v>
      </c>
      <c r="AR63" s="126">
        <v>131</v>
      </c>
      <c r="AS63" s="126">
        <v>308</v>
      </c>
      <c r="AT63" s="126">
        <v>5512</v>
      </c>
      <c r="AU63" s="126">
        <v>7818</v>
      </c>
      <c r="AV63" s="71">
        <f t="shared" si="113"/>
        <v>2159.5</v>
      </c>
      <c r="AW63" s="71">
        <f t="shared" si="102"/>
        <v>62782.990951097308</v>
      </c>
      <c r="AY63" s="42">
        <v>222</v>
      </c>
      <c r="AZ63" s="48">
        <f t="shared" si="154"/>
        <v>7.9333943594437906E-3</v>
      </c>
      <c r="BA63" s="48">
        <f t="shared" si="1"/>
        <v>5.1702527679130979E-3</v>
      </c>
      <c r="BB63" s="48">
        <f t="shared" si="2"/>
        <v>1.3419591729684837E-2</v>
      </c>
      <c r="BC63" s="48">
        <f t="shared" si="3"/>
        <v>1.627906976744186E-2</v>
      </c>
      <c r="BD63" s="48">
        <f t="shared" si="4"/>
        <v>6.5346534653465349E-2</v>
      </c>
      <c r="BE63" s="48">
        <f t="shared" si="5"/>
        <v>1.6565481352992194E-2</v>
      </c>
      <c r="BF63" s="48">
        <f t="shared" si="6"/>
        <v>1.4809260474271254E-2</v>
      </c>
      <c r="BG63" s="48">
        <f t="shared" si="7"/>
        <v>1.2534523050775442E-2</v>
      </c>
      <c r="BH63" s="48">
        <f t="shared" si="8"/>
        <v>5.642802155504234E-2</v>
      </c>
      <c r="BI63" s="48">
        <f t="shared" si="9"/>
        <v>2.6483050847457626E-3</v>
      </c>
      <c r="BJ63" s="48">
        <f t="shared" si="10"/>
        <v>1.273152185287244E-2</v>
      </c>
      <c r="BK63" s="48">
        <f t="shared" si="11"/>
        <v>2.0395217673097342E-2</v>
      </c>
      <c r="BL63" s="48">
        <f t="shared" si="12"/>
        <v>1.8650502897488843E-2</v>
      </c>
      <c r="BM63" s="48">
        <f t="shared" si="13"/>
        <v>1.1338090118268009E-2</v>
      </c>
      <c r="BN63" s="48">
        <f t="shared" si="14"/>
        <v>6.3544744404419803E-3</v>
      </c>
      <c r="BO63" s="48">
        <f t="shared" si="15"/>
        <v>1.3820889432884537E-2</v>
      </c>
      <c r="BP63" s="48">
        <f t="shared" si="16"/>
        <v>4.2670095861585223E-3</v>
      </c>
      <c r="BQ63" s="48">
        <f t="shared" si="17"/>
        <v>5.8744993324432579E-3</v>
      </c>
      <c r="BR63" s="48">
        <f t="shared" si="18"/>
        <v>6.719522167312547E-3</v>
      </c>
      <c r="BS63" s="48"/>
      <c r="BT63" s="48">
        <f t="shared" si="19"/>
        <v>8.9265517061372212E-3</v>
      </c>
      <c r="BU63" s="48">
        <f t="shared" si="20"/>
        <v>1.5943012211668928E-2</v>
      </c>
      <c r="BV63" s="48">
        <f t="shared" si="21"/>
        <v>3.0046435400163888E-3</v>
      </c>
      <c r="BW63" s="48">
        <f t="shared" si="22"/>
        <v>9.5717989230892087E-3</v>
      </c>
      <c r="BX63" s="48">
        <f t="shared" si="23"/>
        <v>1.3555876837630083E-2</v>
      </c>
      <c r="BY63" s="48">
        <f t="shared" si="24"/>
        <v>1.0227257978688887E-2</v>
      </c>
      <c r="BZ63" s="48">
        <f t="shared" si="25"/>
        <v>1.4936075427943734E-2</v>
      </c>
      <c r="CA63" s="48">
        <f t="shared" si="26"/>
        <v>5.016474220071834E-3</v>
      </c>
      <c r="CB63" s="48">
        <f t="shared" si="27"/>
        <v>1.3536607303471847E-2</v>
      </c>
      <c r="CC63" s="48">
        <f t="shared" si="28"/>
        <v>2.8839437181917973E-2</v>
      </c>
      <c r="CD63" s="48">
        <f t="shared" si="29"/>
        <v>1.1837159081820363E-2</v>
      </c>
      <c r="CE63" s="48">
        <f t="shared" si="30"/>
        <v>2.407516147974163E-3</v>
      </c>
      <c r="CF63" s="48">
        <f t="shared" si="31"/>
        <v>1.0430904537013503E-2</v>
      </c>
      <c r="CG63" s="48">
        <f t="shared" si="32"/>
        <v>1.4923520063567739E-2</v>
      </c>
      <c r="CH63" s="48">
        <f t="shared" si="33"/>
        <v>1.1663736945507186E-2</v>
      </c>
      <c r="CI63" s="48">
        <f t="shared" si="34"/>
        <v>1.3291996897038593E-2</v>
      </c>
      <c r="CJ63" s="48">
        <f t="shared" si="35"/>
        <v>7.5335662628187357E-3</v>
      </c>
      <c r="CK63" s="48">
        <f t="shared" si="36"/>
        <v>4.1856959162860814E-2</v>
      </c>
      <c r="CL63" s="48">
        <f t="shared" si="37"/>
        <v>1.8665270682527935E-2</v>
      </c>
      <c r="CM63" s="48">
        <f t="shared" si="61"/>
        <v>4.3281912469444406E-2</v>
      </c>
      <c r="CN63" s="48">
        <f t="shared" si="62"/>
        <v>2.9387879403106283E-2</v>
      </c>
      <c r="CO63" s="48">
        <f t="shared" si="174"/>
        <v>2.1192085058974547E-2</v>
      </c>
      <c r="CP63" s="48">
        <f t="shared" si="64"/>
        <v>2.1831877874808345E-3</v>
      </c>
      <c r="CQ63" s="48">
        <f t="shared" si="112"/>
        <v>3.5903712770297838E-3</v>
      </c>
      <c r="CR63" s="48">
        <f t="shared" si="65"/>
        <v>3.5930798013115522E-2</v>
      </c>
      <c r="CS63" s="48">
        <f t="shared" si="66"/>
        <v>3.7174933310509126E-2</v>
      </c>
      <c r="CT63" s="68">
        <f t="shared" si="67"/>
        <v>0.77825021253645876</v>
      </c>
      <c r="CU63" s="68">
        <f t="shared" si="68"/>
        <v>0.76688869646081903</v>
      </c>
      <c r="CW63" s="42">
        <v>222</v>
      </c>
      <c r="CX63" s="58">
        <f t="shared" si="128"/>
        <v>19910</v>
      </c>
      <c r="CY63" s="58">
        <f t="shared" si="129"/>
        <v>18068</v>
      </c>
      <c r="CZ63" s="58">
        <f t="shared" si="130"/>
        <v>21846</v>
      </c>
      <c r="DA63" s="58">
        <f t="shared" si="131"/>
        <v>317</v>
      </c>
      <c r="DB63" s="58">
        <f t="shared" si="132"/>
        <v>2075</v>
      </c>
      <c r="DC63" s="58">
        <f t="shared" si="133"/>
        <v>9619</v>
      </c>
      <c r="DD63" s="58">
        <f t="shared" si="134"/>
        <v>6307</v>
      </c>
      <c r="DE63" s="58">
        <f t="shared" si="135"/>
        <v>7924</v>
      </c>
      <c r="DF63" s="58">
        <f t="shared" si="136"/>
        <v>10240</v>
      </c>
      <c r="DG63" s="58">
        <f t="shared" si="137"/>
        <v>916</v>
      </c>
      <c r="DH63" s="58">
        <f t="shared" si="138"/>
        <v>24554</v>
      </c>
      <c r="DI63" s="58">
        <f t="shared" si="139"/>
        <v>62387</v>
      </c>
      <c r="DJ63" s="58">
        <f t="shared" si="140"/>
        <v>34623</v>
      </c>
      <c r="DK63" s="58">
        <f t="shared" si="141"/>
        <v>8158</v>
      </c>
      <c r="DL63" s="58">
        <f t="shared" si="142"/>
        <v>19950</v>
      </c>
      <c r="DM63" s="58">
        <f t="shared" si="143"/>
        <v>31835</v>
      </c>
      <c r="DN63" s="58">
        <f t="shared" si="144"/>
        <v>26052</v>
      </c>
      <c r="DO63" s="58">
        <f t="shared" si="145"/>
        <v>14543</v>
      </c>
      <c r="DP63" s="58">
        <f t="shared" si="146"/>
        <v>20292</v>
      </c>
      <c r="DQ63" s="58"/>
      <c r="DR63" s="58">
        <f t="shared" si="147"/>
        <v>42243</v>
      </c>
      <c r="DS63" s="58">
        <f t="shared" si="148"/>
        <v>2374</v>
      </c>
      <c r="DT63" s="58">
        <f t="shared" si="149"/>
        <v>2967</v>
      </c>
      <c r="DU63" s="58">
        <f t="shared" si="150"/>
        <v>20709</v>
      </c>
      <c r="DV63" s="58">
        <f t="shared" si="151"/>
        <v>46691</v>
      </c>
      <c r="DW63" s="58">
        <f t="shared" si="152"/>
        <v>57135</v>
      </c>
      <c r="DX63" s="58">
        <f t="shared" si="153"/>
        <v>32991</v>
      </c>
      <c r="DY63" s="58">
        <f t="shared" si="115"/>
        <v>79122</v>
      </c>
      <c r="DZ63" s="58">
        <f t="shared" si="116"/>
        <v>48622</v>
      </c>
      <c r="EA63" s="58">
        <f t="shared" si="117"/>
        <v>6876</v>
      </c>
      <c r="EB63" s="58">
        <f t="shared" si="118"/>
        <v>9631</v>
      </c>
      <c r="EC63" s="58">
        <f t="shared" si="119"/>
        <v>13275</v>
      </c>
      <c r="ED63" s="58">
        <f t="shared" si="120"/>
        <v>14470</v>
      </c>
      <c r="EE63" s="58">
        <f t="shared" si="121"/>
        <v>35746</v>
      </c>
      <c r="EF63" s="58">
        <f t="shared" si="122"/>
        <v>43104</v>
      </c>
      <c r="EG63" s="58">
        <f t="shared" si="123"/>
        <v>16315</v>
      </c>
      <c r="EH63" s="58">
        <f t="shared" si="124"/>
        <v>8943.9769712907182</v>
      </c>
      <c r="EI63" s="58">
        <f t="shared" si="125"/>
        <v>16903</v>
      </c>
      <c r="EJ63" s="58">
        <f t="shared" si="198"/>
        <v>38221</v>
      </c>
      <c r="EK63" s="58">
        <f t="shared" si="199"/>
        <v>60594</v>
      </c>
      <c r="EL63" s="58">
        <f t="shared" si="105"/>
        <v>47366</v>
      </c>
      <c r="EM63" s="58">
        <f t="shared" si="106"/>
        <v>32649</v>
      </c>
      <c r="EN63" s="58">
        <f t="shared" si="107"/>
        <v>43510</v>
      </c>
      <c r="EO63" s="58">
        <f t="shared" si="108"/>
        <v>74373</v>
      </c>
      <c r="EP63" s="58">
        <f t="shared" si="109"/>
        <v>119586</v>
      </c>
      <c r="EQ63" s="58">
        <f t="shared" si="110"/>
        <v>185469</v>
      </c>
      <c r="ER63" s="67">
        <f t="shared" si="72"/>
        <v>62761.497697129074</v>
      </c>
      <c r="ES63" s="67">
        <f t="shared" si="73"/>
        <v>33642.950657836358</v>
      </c>
      <c r="EV63" s="42">
        <v>222</v>
      </c>
      <c r="EW63" s="128">
        <f t="shared" si="155"/>
        <v>0.86787847086003223</v>
      </c>
      <c r="EX63" s="128">
        <f t="shared" si="156"/>
        <v>0.94359724253185706</v>
      </c>
      <c r="EY63" s="128">
        <f t="shared" si="157"/>
        <v>0.95493290204135162</v>
      </c>
      <c r="EZ63" s="128">
        <f t="shared" si="158"/>
        <v>0.73720930232558135</v>
      </c>
      <c r="FA63" s="128">
        <f t="shared" si="159"/>
        <v>0.82178217821782173</v>
      </c>
      <c r="FB63" s="128">
        <f t="shared" si="160"/>
        <v>0.83425845620121419</v>
      </c>
      <c r="FC63" s="128">
        <f t="shared" si="161"/>
        <v>0.59115193551410627</v>
      </c>
      <c r="FD63" s="128">
        <f t="shared" si="162"/>
        <v>0.84172509029105591</v>
      </c>
      <c r="FE63" s="128">
        <f t="shared" si="163"/>
        <v>0.78829869130100072</v>
      </c>
      <c r="FF63" s="128">
        <f t="shared" si="164"/>
        <v>0.48516949152542371</v>
      </c>
      <c r="FG63" s="128">
        <f t="shared" si="165"/>
        <v>0.85646517143953405</v>
      </c>
      <c r="FH63" s="128">
        <f t="shared" si="166"/>
        <v>0.86030861728973895</v>
      </c>
      <c r="FI63" s="128">
        <f t="shared" si="167"/>
        <v>0.76873376407113836</v>
      </c>
      <c r="FJ63" s="128">
        <f t="shared" si="168"/>
        <v>0.79738051021405532</v>
      </c>
      <c r="FK63" s="128">
        <f t="shared" si="169"/>
        <v>0.80746347189055734</v>
      </c>
      <c r="FL63" s="128">
        <f t="shared" si="170"/>
        <v>0.81178600571195425</v>
      </c>
      <c r="FM63" s="128">
        <f t="shared" si="171"/>
        <v>0.76139817629179329</v>
      </c>
      <c r="FN63" s="128">
        <f t="shared" si="172"/>
        <v>0.7766622162883845</v>
      </c>
      <c r="FO63" s="128">
        <f t="shared" si="173"/>
        <v>0.72144203078892166</v>
      </c>
      <c r="FP63" s="128"/>
      <c r="FQ63" s="128">
        <f t="shared" si="175"/>
        <v>0.73505716125215337</v>
      </c>
      <c r="FR63" s="128">
        <f t="shared" si="176"/>
        <v>0.80529172320217102</v>
      </c>
      <c r="FS63" s="128">
        <f t="shared" si="177"/>
        <v>0.81043430756623869</v>
      </c>
      <c r="FT63" s="128">
        <f t="shared" si="178"/>
        <v>0.86559992968670052</v>
      </c>
      <c r="FU63" s="128">
        <f t="shared" si="179"/>
        <v>0.66836055483187562</v>
      </c>
      <c r="FV63" s="128">
        <f t="shared" si="180"/>
        <v>0.74154109722384454</v>
      </c>
      <c r="FW63" s="130">
        <f t="shared" si="181"/>
        <v>0.50332590852225922</v>
      </c>
      <c r="FX63" s="128">
        <f t="shared" si="182"/>
        <v>0.78286681112529311</v>
      </c>
      <c r="FY63" s="128">
        <f t="shared" si="183"/>
        <v>0.7288780955807399</v>
      </c>
      <c r="FZ63" s="128">
        <f t="shared" si="184"/>
        <v>0.68615906596148091</v>
      </c>
      <c r="GA63" s="128">
        <f t="shared" si="185"/>
        <v>0.77029512916899945</v>
      </c>
      <c r="GB63" s="128">
        <f t="shared" si="186"/>
        <v>0.77950675278919557</v>
      </c>
      <c r="GC63" s="128">
        <f t="shared" si="187"/>
        <v>0.64227739851312926</v>
      </c>
      <c r="GD63" s="128">
        <f t="shared" si="188"/>
        <v>0.8876142232816846</v>
      </c>
      <c r="GE63" s="128">
        <f t="shared" si="189"/>
        <v>0.89140730017578329</v>
      </c>
      <c r="GF63" s="128">
        <f t="shared" si="190"/>
        <v>0.83729316361075157</v>
      </c>
      <c r="GG63" s="128">
        <f t="shared" si="191"/>
        <v>0.6605886584935633</v>
      </c>
      <c r="GH63" s="128">
        <f t="shared" si="192"/>
        <v>0.74947900501041986</v>
      </c>
      <c r="GI63" s="128">
        <f t="shared" si="193"/>
        <v>0.68994710904922651</v>
      </c>
      <c r="GJ63" s="128">
        <f t="shared" si="194"/>
        <v>0.83682967586902179</v>
      </c>
      <c r="GK63" s="128">
        <f t="shared" si="195"/>
        <v>0.80137380299800354</v>
      </c>
      <c r="GL63" s="128">
        <f t="shared" si="196"/>
        <v>0.79074329724623993</v>
      </c>
      <c r="GM63" s="128">
        <f t="shared" si="197"/>
        <v>0.72511832544497035</v>
      </c>
      <c r="GN63" s="128">
        <f t="shared" si="97"/>
        <v>0.86696974995628606</v>
      </c>
      <c r="GO63" s="128">
        <f t="shared" si="98"/>
        <v>0.77953926182809019</v>
      </c>
      <c r="GP63" s="128">
        <f t="shared" si="99"/>
        <v>0.88191323946876654</v>
      </c>
      <c r="GQ63" s="129">
        <f t="shared" si="100"/>
        <v>0.77825021253645887</v>
      </c>
      <c r="GR63" s="129">
        <f t="shared" si="101"/>
        <v>0.76688869646081925</v>
      </c>
    </row>
    <row r="64" spans="1:200" x14ac:dyDescent="0.25">
      <c r="A64" s="42">
        <v>223</v>
      </c>
      <c r="B64" s="81">
        <v>256</v>
      </c>
      <c r="C64" s="81">
        <v>153</v>
      </c>
      <c r="D64" s="81">
        <v>121</v>
      </c>
      <c r="E64" s="81">
        <v>3</v>
      </c>
      <c r="F64" s="81">
        <v>15</v>
      </c>
      <c r="G64" s="81">
        <v>85</v>
      </c>
      <c r="H64" s="81">
        <v>252</v>
      </c>
      <c r="I64" s="81">
        <v>67</v>
      </c>
      <c r="J64" s="81">
        <v>224</v>
      </c>
      <c r="K64" s="81">
        <v>6</v>
      </c>
      <c r="L64" s="81">
        <v>443</v>
      </c>
      <c r="M64" s="81">
        <v>519</v>
      </c>
      <c r="N64" s="81">
        <v>721</v>
      </c>
      <c r="O64" s="81">
        <v>93</v>
      </c>
      <c r="P64" s="81">
        <v>306</v>
      </c>
      <c r="Q64" s="81">
        <v>929</v>
      </c>
      <c r="R64" s="81">
        <v>642</v>
      </c>
      <c r="S64" s="81">
        <v>802</v>
      </c>
      <c r="T64" s="81">
        <v>484</v>
      </c>
      <c r="V64" s="81">
        <v>978</v>
      </c>
      <c r="W64" s="81">
        <v>16</v>
      </c>
      <c r="X64" s="81">
        <v>46</v>
      </c>
      <c r="Y64" s="81">
        <v>406</v>
      </c>
      <c r="Z64" s="81">
        <v>2338</v>
      </c>
      <c r="AA64" s="81">
        <v>3323</v>
      </c>
      <c r="AB64" s="81">
        <v>2838</v>
      </c>
      <c r="AC64" s="81">
        <v>1042</v>
      </c>
      <c r="AD64" s="81">
        <v>613</v>
      </c>
      <c r="AE64" s="81">
        <v>312</v>
      </c>
      <c r="AF64" s="84">
        <v>790</v>
      </c>
      <c r="AG64" s="84">
        <v>64</v>
      </c>
      <c r="AH64" s="84">
        <v>716</v>
      </c>
      <c r="AI64" s="83">
        <v>306</v>
      </c>
      <c r="AJ64" s="83">
        <v>418</v>
      </c>
      <c r="AK64" s="83">
        <v>112</v>
      </c>
      <c r="AL64" s="81">
        <v>361</v>
      </c>
      <c r="AM64" s="86">
        <v>288</v>
      </c>
      <c r="AN64" s="86">
        <v>1725</v>
      </c>
      <c r="AO64" s="86">
        <v>37</v>
      </c>
      <c r="AP64" s="126">
        <v>956</v>
      </c>
      <c r="AQ64" s="126">
        <v>241</v>
      </c>
      <c r="AR64" s="126">
        <v>2612</v>
      </c>
      <c r="AS64" s="126">
        <v>702</v>
      </c>
      <c r="AT64" s="126">
        <v>4030</v>
      </c>
      <c r="AU64" s="126">
        <v>3618</v>
      </c>
      <c r="AV64" s="71">
        <f t="shared" si="113"/>
        <v>1457</v>
      </c>
      <c r="AW64" s="71">
        <f t="shared" si="102"/>
        <v>64239.990951097308</v>
      </c>
      <c r="AY64" s="42">
        <v>223</v>
      </c>
      <c r="AZ64" s="48">
        <f t="shared" si="154"/>
        <v>1.1159060197898958E-2</v>
      </c>
      <c r="BA64" s="48">
        <f t="shared" si="1"/>
        <v>7.9903906413202417E-3</v>
      </c>
      <c r="BB64" s="48">
        <f t="shared" si="2"/>
        <v>5.2891550465533066E-3</v>
      </c>
      <c r="BC64" s="48">
        <f t="shared" si="3"/>
        <v>6.9767441860465115E-3</v>
      </c>
      <c r="BD64" s="48">
        <f t="shared" si="4"/>
        <v>5.9405940594059407E-3</v>
      </c>
      <c r="BE64" s="48">
        <f t="shared" si="5"/>
        <v>7.372072853425846E-3</v>
      </c>
      <c r="BF64" s="48">
        <f t="shared" si="6"/>
        <v>2.3619833161495924E-2</v>
      </c>
      <c r="BG64" s="48">
        <f t="shared" si="7"/>
        <v>7.117059698321649E-3</v>
      </c>
      <c r="BH64" s="48">
        <f t="shared" si="8"/>
        <v>1.724403387220939E-2</v>
      </c>
      <c r="BI64" s="48">
        <f t="shared" si="9"/>
        <v>3.1779661016949155E-3</v>
      </c>
      <c r="BJ64" s="48">
        <f t="shared" si="10"/>
        <v>1.5452230632390387E-2</v>
      </c>
      <c r="BK64" s="48">
        <f t="shared" si="11"/>
        <v>7.1569425100321306E-3</v>
      </c>
      <c r="BL64" s="48">
        <f t="shared" si="12"/>
        <v>1.600834832034459E-2</v>
      </c>
      <c r="BM64" s="48">
        <f t="shared" si="13"/>
        <v>9.0900205258527995E-3</v>
      </c>
      <c r="BN64" s="48">
        <f t="shared" si="14"/>
        <v>1.2385154004937872E-2</v>
      </c>
      <c r="BO64" s="48">
        <f t="shared" si="15"/>
        <v>2.3689310485516115E-2</v>
      </c>
      <c r="BP64" s="48">
        <f t="shared" si="16"/>
        <v>1.8763151741875147E-2</v>
      </c>
      <c r="BQ64" s="48">
        <f t="shared" si="17"/>
        <v>4.2830440587449933E-2</v>
      </c>
      <c r="BR64" s="48">
        <f t="shared" si="18"/>
        <v>1.7207665232694565E-2</v>
      </c>
      <c r="BS64" s="48"/>
      <c r="BT64" s="48">
        <f t="shared" si="19"/>
        <v>1.7017870504097862E-2</v>
      </c>
      <c r="BU64" s="48">
        <f t="shared" si="20"/>
        <v>5.4274084124830389E-3</v>
      </c>
      <c r="BV64" s="48">
        <f t="shared" si="21"/>
        <v>1.2564872985523081E-2</v>
      </c>
      <c r="BW64" s="48">
        <f t="shared" si="22"/>
        <v>1.6970088920411436E-2</v>
      </c>
      <c r="BX64" s="48">
        <f t="shared" si="23"/>
        <v>3.3467412931762551E-2</v>
      </c>
      <c r="BY64" s="48">
        <f t="shared" si="24"/>
        <v>4.3128398811146156E-2</v>
      </c>
      <c r="BZ64" s="48">
        <f t="shared" si="25"/>
        <v>4.3297836633814424E-2</v>
      </c>
      <c r="CA64" s="48">
        <f t="shared" si="26"/>
        <v>1.0309992381291619E-2</v>
      </c>
      <c r="CB64" s="48">
        <f t="shared" si="27"/>
        <v>9.1893026323679322E-3</v>
      </c>
      <c r="CC64" s="48">
        <f t="shared" si="28"/>
        <v>3.113461730366231E-2</v>
      </c>
      <c r="CD64" s="48">
        <f t="shared" si="29"/>
        <v>6.3184835639446532E-2</v>
      </c>
      <c r="CE64" s="48">
        <f t="shared" si="30"/>
        <v>3.7580739870816207E-3</v>
      </c>
      <c r="CF64" s="48">
        <f t="shared" si="31"/>
        <v>3.1780968717028374E-2</v>
      </c>
      <c r="CG64" s="48">
        <f t="shared" si="32"/>
        <v>7.5983313468414781E-3</v>
      </c>
      <c r="CH64" s="48">
        <f t="shared" si="33"/>
        <v>8.6444007858546175E-3</v>
      </c>
      <c r="CI64" s="48">
        <f t="shared" si="34"/>
        <v>5.7478905500707427E-3</v>
      </c>
      <c r="CJ64" s="48">
        <f t="shared" si="35"/>
        <v>2.6662915890956509E-2</v>
      </c>
      <c r="CK64" s="48">
        <f t="shared" si="36"/>
        <v>1.2769919744601605E-2</v>
      </c>
      <c r="CL64" s="48">
        <f t="shared" si="37"/>
        <v>3.1138870335938769E-2</v>
      </c>
      <c r="CM64" s="48">
        <f t="shared" si="61"/>
        <v>5.1098620337250899E-4</v>
      </c>
      <c r="CN64" s="48">
        <f t="shared" si="62"/>
        <v>1.6174330863194936E-2</v>
      </c>
      <c r="CO64" s="48">
        <f t="shared" si="174"/>
        <v>5.8369057133861322E-3</v>
      </c>
      <c r="CP64" s="48">
        <f t="shared" si="64"/>
        <v>4.3530431304579696E-2</v>
      </c>
      <c r="CQ64" s="48">
        <f t="shared" si="112"/>
        <v>8.1832488197237287E-3</v>
      </c>
      <c r="CR64" s="48">
        <f t="shared" si="65"/>
        <v>2.6270158924683519E-2</v>
      </c>
      <c r="CS64" s="48">
        <f t="shared" si="66"/>
        <v>1.7203748876620874E-2</v>
      </c>
      <c r="CT64" s="68">
        <f t="shared" si="67"/>
        <v>0.79707836420416456</v>
      </c>
      <c r="CU64" s="68">
        <f t="shared" si="68"/>
        <v>0.78539012677807729</v>
      </c>
      <c r="CW64" s="42">
        <v>223</v>
      </c>
      <c r="CX64" s="58">
        <f t="shared" si="128"/>
        <v>20166</v>
      </c>
      <c r="CY64" s="58">
        <f t="shared" si="129"/>
        <v>18221</v>
      </c>
      <c r="CZ64" s="58">
        <f t="shared" si="130"/>
        <v>21967</v>
      </c>
      <c r="DA64" s="58">
        <f t="shared" si="131"/>
        <v>320</v>
      </c>
      <c r="DB64" s="58">
        <f t="shared" si="132"/>
        <v>2090</v>
      </c>
      <c r="DC64" s="58">
        <f t="shared" si="133"/>
        <v>9704</v>
      </c>
      <c r="DD64" s="58">
        <f t="shared" si="134"/>
        <v>6559</v>
      </c>
      <c r="DE64" s="58">
        <f t="shared" si="135"/>
        <v>7991</v>
      </c>
      <c r="DF64" s="58">
        <f t="shared" si="136"/>
        <v>10464</v>
      </c>
      <c r="DG64" s="58">
        <f t="shared" si="137"/>
        <v>922</v>
      </c>
      <c r="DH64" s="58">
        <f t="shared" si="138"/>
        <v>24997</v>
      </c>
      <c r="DI64" s="58">
        <f t="shared" si="139"/>
        <v>62906</v>
      </c>
      <c r="DJ64" s="58">
        <f t="shared" si="140"/>
        <v>35344</v>
      </c>
      <c r="DK64" s="58">
        <f t="shared" si="141"/>
        <v>8251</v>
      </c>
      <c r="DL64" s="58">
        <f t="shared" si="142"/>
        <v>20256</v>
      </c>
      <c r="DM64" s="58">
        <f t="shared" si="143"/>
        <v>32764</v>
      </c>
      <c r="DN64" s="58">
        <f t="shared" si="144"/>
        <v>26694</v>
      </c>
      <c r="DO64" s="58">
        <f t="shared" si="145"/>
        <v>15345</v>
      </c>
      <c r="DP64" s="58">
        <f t="shared" si="146"/>
        <v>20776</v>
      </c>
      <c r="DQ64" s="58"/>
      <c r="DR64" s="58">
        <f t="shared" si="147"/>
        <v>43221</v>
      </c>
      <c r="DS64" s="58">
        <f t="shared" si="148"/>
        <v>2390</v>
      </c>
      <c r="DT64" s="58">
        <f t="shared" si="149"/>
        <v>3013</v>
      </c>
      <c r="DU64" s="58">
        <f t="shared" si="150"/>
        <v>21115</v>
      </c>
      <c r="DV64" s="58">
        <f t="shared" si="151"/>
        <v>49029</v>
      </c>
      <c r="DW64" s="58">
        <f t="shared" si="152"/>
        <v>60458</v>
      </c>
      <c r="DX64" s="58">
        <f t="shared" si="153"/>
        <v>35829</v>
      </c>
      <c r="DY64" s="58">
        <f t="shared" si="115"/>
        <v>80164</v>
      </c>
      <c r="DZ64" s="58">
        <f t="shared" si="116"/>
        <v>49235</v>
      </c>
      <c r="EA64" s="58">
        <f t="shared" si="117"/>
        <v>7188</v>
      </c>
      <c r="EB64" s="58">
        <f t="shared" si="118"/>
        <v>10421</v>
      </c>
      <c r="EC64" s="58">
        <f t="shared" si="119"/>
        <v>13339</v>
      </c>
      <c r="ED64" s="58">
        <f t="shared" si="120"/>
        <v>15186</v>
      </c>
      <c r="EE64" s="58">
        <f t="shared" si="121"/>
        <v>36052</v>
      </c>
      <c r="EF64" s="58">
        <f t="shared" si="122"/>
        <v>43522</v>
      </c>
      <c r="EG64" s="58">
        <f t="shared" si="123"/>
        <v>16427</v>
      </c>
      <c r="EH64" s="58">
        <f t="shared" si="124"/>
        <v>9304.9769712907182</v>
      </c>
      <c r="EI64" s="58">
        <f t="shared" si="125"/>
        <v>17191</v>
      </c>
      <c r="EJ64" s="58">
        <f t="shared" si="198"/>
        <v>39946</v>
      </c>
      <c r="EK64" s="58">
        <f t="shared" si="199"/>
        <v>60631</v>
      </c>
      <c r="EL64" s="58">
        <f t="shared" si="105"/>
        <v>48322</v>
      </c>
      <c r="EM64" s="58">
        <f t="shared" si="106"/>
        <v>32890</v>
      </c>
      <c r="EN64" s="58">
        <f t="shared" si="107"/>
        <v>46122</v>
      </c>
      <c r="EO64" s="58">
        <f t="shared" si="108"/>
        <v>75075</v>
      </c>
      <c r="EP64" s="58">
        <f t="shared" si="109"/>
        <v>123616</v>
      </c>
      <c r="EQ64" s="58">
        <f t="shared" si="110"/>
        <v>189087</v>
      </c>
      <c r="ER64" s="67">
        <f t="shared" si="72"/>
        <v>64218.497697129074</v>
      </c>
      <c r="ES64" s="67">
        <f t="shared" si="73"/>
        <v>34483.828706616849</v>
      </c>
      <c r="EV64" s="42">
        <v>223</v>
      </c>
      <c r="EW64" s="128">
        <f t="shared" si="155"/>
        <v>0.87903753105793125</v>
      </c>
      <c r="EX64" s="128">
        <f t="shared" si="156"/>
        <v>0.95158763317317741</v>
      </c>
      <c r="EY64" s="128">
        <f t="shared" si="157"/>
        <v>0.96022205708790487</v>
      </c>
      <c r="EZ64" s="128">
        <f t="shared" si="158"/>
        <v>0.7441860465116279</v>
      </c>
      <c r="FA64" s="128">
        <f t="shared" si="159"/>
        <v>0.82772277227722768</v>
      </c>
      <c r="FB64" s="128">
        <f t="shared" si="160"/>
        <v>0.84163052905464009</v>
      </c>
      <c r="FC64" s="128">
        <f t="shared" si="161"/>
        <v>0.61477176867560224</v>
      </c>
      <c r="FD64" s="128">
        <f t="shared" si="162"/>
        <v>0.84884214998937757</v>
      </c>
      <c r="FE64" s="128">
        <f t="shared" si="163"/>
        <v>0.80554272517321013</v>
      </c>
      <c r="FF64" s="128">
        <f t="shared" si="164"/>
        <v>0.48834745762711862</v>
      </c>
      <c r="FG64" s="128">
        <f t="shared" si="165"/>
        <v>0.87191740207192436</v>
      </c>
      <c r="FH64" s="128">
        <f t="shared" si="166"/>
        <v>0.86746555979977114</v>
      </c>
      <c r="FI64" s="128">
        <f t="shared" si="167"/>
        <v>0.78474211239148295</v>
      </c>
      <c r="FJ64" s="128">
        <f t="shared" si="168"/>
        <v>0.80647053073990815</v>
      </c>
      <c r="FK64" s="128">
        <f t="shared" si="169"/>
        <v>0.81984862589549523</v>
      </c>
      <c r="FL64" s="128">
        <f t="shared" si="170"/>
        <v>0.8354753161974704</v>
      </c>
      <c r="FM64" s="128">
        <f t="shared" si="171"/>
        <v>0.78016132803366844</v>
      </c>
      <c r="FN64" s="128">
        <f t="shared" si="172"/>
        <v>0.81949265687583439</v>
      </c>
      <c r="FO64" s="128">
        <f t="shared" si="173"/>
        <v>0.73864969602161623</v>
      </c>
      <c r="FP64" s="128"/>
      <c r="FQ64" s="128">
        <f t="shared" si="175"/>
        <v>0.75207503175625123</v>
      </c>
      <c r="FR64" s="128">
        <f t="shared" si="176"/>
        <v>0.81071913161465403</v>
      </c>
      <c r="FS64" s="128">
        <f t="shared" si="177"/>
        <v>0.8229991805517618</v>
      </c>
      <c r="FT64" s="128">
        <f t="shared" si="178"/>
        <v>0.88257001860711204</v>
      </c>
      <c r="FU64" s="128">
        <f t="shared" si="179"/>
        <v>0.70182796776363821</v>
      </c>
      <c r="FV64" s="128">
        <f t="shared" si="180"/>
        <v>0.7846694960349907</v>
      </c>
      <c r="FW64" s="128">
        <f t="shared" si="181"/>
        <v>0.54662374515607359</v>
      </c>
      <c r="FX64" s="128">
        <f t="shared" si="182"/>
        <v>0.7931768035065847</v>
      </c>
      <c r="FY64" s="128">
        <f t="shared" si="183"/>
        <v>0.73806739821310785</v>
      </c>
      <c r="FZ64" s="128">
        <f t="shared" si="184"/>
        <v>0.7172936832651432</v>
      </c>
      <c r="GA64" s="128">
        <f t="shared" si="185"/>
        <v>0.83347996480844599</v>
      </c>
      <c r="GB64" s="128">
        <f t="shared" si="186"/>
        <v>0.78326482677627718</v>
      </c>
      <c r="GC64" s="128">
        <f t="shared" si="187"/>
        <v>0.67405836723015766</v>
      </c>
      <c r="GD64" s="128">
        <f t="shared" si="188"/>
        <v>0.895212554628526</v>
      </c>
      <c r="GE64" s="128">
        <f t="shared" si="189"/>
        <v>0.90005170096163789</v>
      </c>
      <c r="GF64" s="128">
        <f t="shared" si="190"/>
        <v>0.84304105416082231</v>
      </c>
      <c r="GG64" s="128">
        <f t="shared" si="191"/>
        <v>0.68725157438451978</v>
      </c>
      <c r="GH64" s="128">
        <f t="shared" si="192"/>
        <v>0.76224892475502148</v>
      </c>
      <c r="GI64" s="128">
        <f t="shared" si="193"/>
        <v>0.72108597938516528</v>
      </c>
      <c r="GJ64" s="128">
        <f t="shared" si="194"/>
        <v>0.83734066207239433</v>
      </c>
      <c r="GK64" s="128">
        <f t="shared" si="195"/>
        <v>0.81754813386119851</v>
      </c>
      <c r="GL64" s="128">
        <f t="shared" si="196"/>
        <v>0.79658020295962606</v>
      </c>
      <c r="GM64" s="128">
        <f t="shared" si="197"/>
        <v>0.76864875674955002</v>
      </c>
      <c r="GN64" s="128">
        <f t="shared" si="97"/>
        <v>0.87515299877600983</v>
      </c>
      <c r="GO64" s="128">
        <f t="shared" si="98"/>
        <v>0.80580942075277373</v>
      </c>
      <c r="GP64" s="128">
        <f t="shared" si="99"/>
        <v>0.89911698834538734</v>
      </c>
      <c r="GQ64" s="129">
        <f t="shared" si="100"/>
        <v>0.79707836420416467</v>
      </c>
      <c r="GR64" s="129">
        <f t="shared" si="101"/>
        <v>0.78539012677807718</v>
      </c>
    </row>
    <row r="65" spans="1:200" x14ac:dyDescent="0.25">
      <c r="A65" s="42">
        <v>224</v>
      </c>
      <c r="B65" s="81">
        <v>158</v>
      </c>
      <c r="C65" s="81">
        <v>92</v>
      </c>
      <c r="D65" s="81">
        <v>130</v>
      </c>
      <c r="E65" s="81">
        <v>0</v>
      </c>
      <c r="F65" s="81">
        <v>41</v>
      </c>
      <c r="G65" s="81">
        <v>272</v>
      </c>
      <c r="H65" s="81">
        <v>160</v>
      </c>
      <c r="I65" s="81">
        <v>252</v>
      </c>
      <c r="J65" s="81">
        <v>54</v>
      </c>
      <c r="K65" s="81">
        <v>4</v>
      </c>
      <c r="L65" s="81">
        <v>437</v>
      </c>
      <c r="M65" s="81">
        <v>222</v>
      </c>
      <c r="N65" s="81">
        <v>861</v>
      </c>
      <c r="O65" s="81">
        <v>25</v>
      </c>
      <c r="P65" s="81">
        <v>523</v>
      </c>
      <c r="Q65" s="81">
        <v>107</v>
      </c>
      <c r="R65" s="81">
        <v>1014</v>
      </c>
      <c r="S65" s="81">
        <v>336</v>
      </c>
      <c r="T65" s="81">
        <v>151</v>
      </c>
      <c r="V65" s="81">
        <v>884</v>
      </c>
      <c r="W65" s="81">
        <v>12</v>
      </c>
      <c r="X65" s="81">
        <v>4</v>
      </c>
      <c r="Y65" s="81">
        <v>137</v>
      </c>
      <c r="Z65" s="81">
        <v>547</v>
      </c>
      <c r="AA65" s="81">
        <v>184</v>
      </c>
      <c r="AB65" s="81">
        <v>2210</v>
      </c>
      <c r="AC65" s="81">
        <v>1536</v>
      </c>
      <c r="AD65" s="81">
        <v>1934</v>
      </c>
      <c r="AE65" s="81">
        <v>144</v>
      </c>
      <c r="AF65" s="84">
        <v>7</v>
      </c>
      <c r="AG65" s="84">
        <v>122</v>
      </c>
      <c r="AH65" s="84">
        <v>210</v>
      </c>
      <c r="AI65" s="83">
        <v>636</v>
      </c>
      <c r="AJ65" s="83">
        <v>387</v>
      </c>
      <c r="AK65" s="83">
        <v>26</v>
      </c>
      <c r="AL65" s="81">
        <v>340</v>
      </c>
      <c r="AM65" s="86">
        <v>636</v>
      </c>
      <c r="AN65" s="86">
        <v>755</v>
      </c>
      <c r="AO65" s="86">
        <v>3951</v>
      </c>
      <c r="AP65" s="126">
        <v>1109</v>
      </c>
      <c r="AQ65" s="126">
        <v>740</v>
      </c>
      <c r="AR65" s="126">
        <v>1059</v>
      </c>
      <c r="AS65" s="126">
        <v>1126</v>
      </c>
      <c r="AT65" s="126">
        <v>3759</v>
      </c>
      <c r="AU65" s="126">
        <v>0</v>
      </c>
      <c r="AV65" s="71">
        <f t="shared" si="113"/>
        <v>1347.5</v>
      </c>
      <c r="AW65" s="71">
        <f t="shared" si="102"/>
        <v>65587.490951097308</v>
      </c>
      <c r="AY65" s="42">
        <v>224</v>
      </c>
      <c r="AZ65" s="48">
        <f t="shared" si="154"/>
        <v>6.8872324658907635E-3</v>
      </c>
      <c r="BA65" s="48">
        <f t="shared" si="1"/>
        <v>4.8046793398788387E-3</v>
      </c>
      <c r="BB65" s="48">
        <f t="shared" si="2"/>
        <v>5.6825632731564452E-3</v>
      </c>
      <c r="BC65" s="48">
        <f t="shared" si="3"/>
        <v>0</v>
      </c>
      <c r="BD65" s="48">
        <f t="shared" si="4"/>
        <v>1.6237623762376238E-2</v>
      </c>
      <c r="BE65" s="48">
        <f t="shared" si="5"/>
        <v>2.3590633130962706E-2</v>
      </c>
      <c r="BF65" s="48">
        <f t="shared" si="6"/>
        <v>1.4996719467616458E-2</v>
      </c>
      <c r="BG65" s="48">
        <f t="shared" si="7"/>
        <v>2.676864244741874E-2</v>
      </c>
      <c r="BH65" s="48">
        <f t="shared" si="8"/>
        <v>4.1570438799076216E-3</v>
      </c>
      <c r="BI65" s="48">
        <f t="shared" si="9"/>
        <v>2.1186440677966102E-3</v>
      </c>
      <c r="BJ65" s="48">
        <f t="shared" si="10"/>
        <v>1.5242945341658237E-2</v>
      </c>
      <c r="BK65" s="48">
        <f t="shared" si="11"/>
        <v>3.0613511314588303E-3</v>
      </c>
      <c r="BL65" s="48">
        <f t="shared" si="12"/>
        <v>1.9116765469926064E-2</v>
      </c>
      <c r="BM65" s="48">
        <f t="shared" si="13"/>
        <v>2.4435539047991399E-3</v>
      </c>
      <c r="BN65" s="48">
        <f t="shared" si="14"/>
        <v>2.1168090014975514E-2</v>
      </c>
      <c r="BO65" s="48">
        <f t="shared" si="15"/>
        <v>2.7284781721746225E-3</v>
      </c>
      <c r="BP65" s="48">
        <f t="shared" si="16"/>
        <v>2.9635258358662615E-2</v>
      </c>
      <c r="BQ65" s="48">
        <f t="shared" si="17"/>
        <v>1.794392523364486E-2</v>
      </c>
      <c r="BR65" s="48">
        <f t="shared" si="18"/>
        <v>5.3685071283819819E-3</v>
      </c>
      <c r="BS65" s="48"/>
      <c r="BT65" s="48">
        <f t="shared" si="19"/>
        <v>1.5382206058918721E-2</v>
      </c>
      <c r="BU65" s="48">
        <f t="shared" si="20"/>
        <v>4.0705563093622792E-3</v>
      </c>
      <c r="BV65" s="48">
        <f t="shared" si="21"/>
        <v>1.0925976509150504E-3</v>
      </c>
      <c r="BW65" s="48">
        <f t="shared" si="22"/>
        <v>5.7263600544245489E-3</v>
      </c>
      <c r="BX65" s="48">
        <f t="shared" si="23"/>
        <v>7.8300576876279369E-3</v>
      </c>
      <c r="BY65" s="48">
        <f t="shared" si="24"/>
        <v>2.3880906955314153E-3</v>
      </c>
      <c r="BZ65" s="48">
        <f t="shared" si="25"/>
        <v>3.3716779055930186E-2</v>
      </c>
      <c r="CA65" s="48">
        <f t="shared" si="26"/>
        <v>1.5197839057259046E-2</v>
      </c>
      <c r="CB65" s="48">
        <f t="shared" si="27"/>
        <v>2.899202494453439E-2</v>
      </c>
      <c r="CC65" s="48">
        <f t="shared" si="28"/>
        <v>1.4369823370921065E-2</v>
      </c>
      <c r="CD65" s="48">
        <f t="shared" si="29"/>
        <v>5.5986563224826047E-4</v>
      </c>
      <c r="CE65" s="48">
        <f t="shared" si="30"/>
        <v>7.1638285378743394E-3</v>
      </c>
      <c r="CF65" s="48">
        <f t="shared" si="31"/>
        <v>9.3212338415865348E-3</v>
      </c>
      <c r="CG65" s="48">
        <f t="shared" si="32"/>
        <v>1.5792610250297975E-2</v>
      </c>
      <c r="CH65" s="48">
        <f t="shared" si="33"/>
        <v>8.003308861544824E-3</v>
      </c>
      <c r="CI65" s="48">
        <f t="shared" si="34"/>
        <v>1.334331734837851E-3</v>
      </c>
      <c r="CJ65" s="48">
        <f t="shared" si="35"/>
        <v>2.5111887542729121E-2</v>
      </c>
      <c r="CK65" s="48">
        <f t="shared" si="36"/>
        <v>2.8200239435995211E-2</v>
      </c>
      <c r="CL65" s="48">
        <f t="shared" si="37"/>
        <v>1.3628896871671752E-2</v>
      </c>
      <c r="CM65" s="48">
        <f t="shared" si="61"/>
        <v>5.4565040257426561E-2</v>
      </c>
      <c r="CN65" s="48">
        <f t="shared" si="62"/>
        <v>1.8762900551551449E-2</v>
      </c>
      <c r="CO65" s="48">
        <f t="shared" si="174"/>
        <v>1.7922449078447044E-2</v>
      </c>
      <c r="CP65" s="48">
        <f t="shared" si="64"/>
        <v>1.7648823411772548E-2</v>
      </c>
      <c r="CQ65" s="48">
        <f t="shared" si="112"/>
        <v>1.3125837850440053E-2</v>
      </c>
      <c r="CR65" s="48">
        <f t="shared" si="65"/>
        <v>2.4503604813371056E-2</v>
      </c>
      <c r="CS65" s="48">
        <f t="shared" si="66"/>
        <v>0</v>
      </c>
      <c r="CT65" s="68">
        <f t="shared" si="67"/>
        <v>0.81842533218550506</v>
      </c>
      <c r="CU65" s="68">
        <f t="shared" si="68"/>
        <v>0.79975572129195482</v>
      </c>
      <c r="CW65" s="42">
        <v>224</v>
      </c>
      <c r="CX65" s="58">
        <f t="shared" si="128"/>
        <v>20324</v>
      </c>
      <c r="CY65" s="58">
        <f t="shared" si="129"/>
        <v>18313</v>
      </c>
      <c r="CZ65" s="58">
        <f t="shared" si="130"/>
        <v>22097</v>
      </c>
      <c r="DA65" s="58">
        <f t="shared" si="131"/>
        <v>320</v>
      </c>
      <c r="DB65" s="58">
        <f t="shared" si="132"/>
        <v>2131</v>
      </c>
      <c r="DC65" s="58">
        <f t="shared" si="133"/>
        <v>9976</v>
      </c>
      <c r="DD65" s="58">
        <f t="shared" si="134"/>
        <v>6719</v>
      </c>
      <c r="DE65" s="58">
        <f t="shared" si="135"/>
        <v>8243</v>
      </c>
      <c r="DF65" s="58">
        <f t="shared" si="136"/>
        <v>10518</v>
      </c>
      <c r="DG65" s="58">
        <f t="shared" si="137"/>
        <v>926</v>
      </c>
      <c r="DH65" s="58">
        <f t="shared" si="138"/>
        <v>25434</v>
      </c>
      <c r="DI65" s="58">
        <f t="shared" si="139"/>
        <v>63128</v>
      </c>
      <c r="DJ65" s="58">
        <f t="shared" si="140"/>
        <v>36205</v>
      </c>
      <c r="DK65" s="58">
        <f t="shared" si="141"/>
        <v>8276</v>
      </c>
      <c r="DL65" s="58">
        <f t="shared" si="142"/>
        <v>20779</v>
      </c>
      <c r="DM65" s="58">
        <f t="shared" si="143"/>
        <v>32871</v>
      </c>
      <c r="DN65" s="58">
        <f t="shared" si="144"/>
        <v>27708</v>
      </c>
      <c r="DO65" s="58">
        <f t="shared" si="145"/>
        <v>15681</v>
      </c>
      <c r="DP65" s="58">
        <f t="shared" si="146"/>
        <v>20927</v>
      </c>
      <c r="DQ65" s="58"/>
      <c r="DR65" s="58">
        <f t="shared" si="147"/>
        <v>44105</v>
      </c>
      <c r="DS65" s="58">
        <f t="shared" si="148"/>
        <v>2402</v>
      </c>
      <c r="DT65" s="58">
        <f t="shared" si="149"/>
        <v>3017</v>
      </c>
      <c r="DU65" s="58">
        <f t="shared" si="150"/>
        <v>21252</v>
      </c>
      <c r="DV65" s="58">
        <f t="shared" si="151"/>
        <v>49576</v>
      </c>
      <c r="DW65" s="58">
        <f t="shared" si="152"/>
        <v>60642</v>
      </c>
      <c r="DX65" s="58">
        <f t="shared" si="153"/>
        <v>38039</v>
      </c>
      <c r="DY65" s="58">
        <f t="shared" si="115"/>
        <v>81700</v>
      </c>
      <c r="DZ65" s="58">
        <f t="shared" si="116"/>
        <v>51169</v>
      </c>
      <c r="EA65" s="58">
        <f t="shared" si="117"/>
        <v>7332</v>
      </c>
      <c r="EB65" s="58">
        <f t="shared" si="118"/>
        <v>10428</v>
      </c>
      <c r="EC65" s="58">
        <f t="shared" si="119"/>
        <v>13461</v>
      </c>
      <c r="ED65" s="58">
        <f t="shared" si="120"/>
        <v>15396</v>
      </c>
      <c r="EE65" s="58">
        <f t="shared" si="121"/>
        <v>36688</v>
      </c>
      <c r="EF65" s="58">
        <f t="shared" si="122"/>
        <v>43909</v>
      </c>
      <c r="EG65" s="58">
        <f t="shared" si="123"/>
        <v>16453</v>
      </c>
      <c r="EH65" s="58">
        <f t="shared" si="124"/>
        <v>9644.9769712907182</v>
      </c>
      <c r="EI65" s="58">
        <f t="shared" si="125"/>
        <v>17827</v>
      </c>
      <c r="EJ65" s="58">
        <f t="shared" si="198"/>
        <v>40701</v>
      </c>
      <c r="EK65" s="58">
        <f t="shared" si="199"/>
        <v>64582</v>
      </c>
      <c r="EL65" s="58">
        <f t="shared" si="105"/>
        <v>49431</v>
      </c>
      <c r="EM65" s="58">
        <f t="shared" si="106"/>
        <v>33630</v>
      </c>
      <c r="EN65" s="58">
        <f t="shared" si="107"/>
        <v>47181</v>
      </c>
      <c r="EO65" s="58">
        <f t="shared" si="108"/>
        <v>76201</v>
      </c>
      <c r="EP65" s="58">
        <f t="shared" si="109"/>
        <v>127375</v>
      </c>
      <c r="EQ65" s="58">
        <f t="shared" si="110"/>
        <v>189087</v>
      </c>
      <c r="ER65" s="67">
        <f t="shared" si="72"/>
        <v>65565.997697129074</v>
      </c>
      <c r="ES65" s="67">
        <f t="shared" si="73"/>
        <v>35140.267731007094</v>
      </c>
      <c r="EV65" s="42">
        <v>224</v>
      </c>
      <c r="EW65" s="128">
        <f t="shared" si="155"/>
        <v>0.88592476352382199</v>
      </c>
      <c r="EX65" s="128">
        <f t="shared" si="156"/>
        <v>0.95639231251305623</v>
      </c>
      <c r="EY65" s="128">
        <f t="shared" si="157"/>
        <v>0.96590462036106128</v>
      </c>
      <c r="EZ65" s="128">
        <f t="shared" si="158"/>
        <v>0.7441860465116279</v>
      </c>
      <c r="FA65" s="128">
        <f t="shared" si="159"/>
        <v>0.84396039603960393</v>
      </c>
      <c r="FB65" s="128">
        <f t="shared" si="160"/>
        <v>0.86522116218560274</v>
      </c>
      <c r="FC65" s="128">
        <f t="shared" si="161"/>
        <v>0.62976848814321862</v>
      </c>
      <c r="FD65" s="128">
        <f t="shared" si="162"/>
        <v>0.87561079243679629</v>
      </c>
      <c r="FE65" s="128">
        <f t="shared" si="163"/>
        <v>0.8096997690531178</v>
      </c>
      <c r="FF65" s="128">
        <f t="shared" si="164"/>
        <v>0.49046610169491528</v>
      </c>
      <c r="FG65" s="128">
        <f t="shared" si="165"/>
        <v>0.88716034741358263</v>
      </c>
      <c r="FH65" s="128">
        <f t="shared" si="166"/>
        <v>0.87052691093122991</v>
      </c>
      <c r="FI65" s="128">
        <f t="shared" si="167"/>
        <v>0.80385887786140897</v>
      </c>
      <c r="FJ65" s="128">
        <f t="shared" si="168"/>
        <v>0.80891408464470727</v>
      </c>
      <c r="FK65" s="128">
        <f t="shared" si="169"/>
        <v>0.84101671591047067</v>
      </c>
      <c r="FL65" s="128">
        <f t="shared" si="170"/>
        <v>0.83820379436964509</v>
      </c>
      <c r="FM65" s="128">
        <f t="shared" si="171"/>
        <v>0.8097965863923311</v>
      </c>
      <c r="FN65" s="128">
        <f t="shared" si="172"/>
        <v>0.83743658210947935</v>
      </c>
      <c r="FO65" s="128">
        <f t="shared" si="173"/>
        <v>0.74401820314999823</v>
      </c>
      <c r="FP65" s="128"/>
      <c r="FQ65" s="128">
        <f t="shared" si="175"/>
        <v>0.76745723781516995</v>
      </c>
      <c r="FR65" s="128">
        <f t="shared" si="176"/>
        <v>0.81478968792401629</v>
      </c>
      <c r="FS65" s="128">
        <f t="shared" si="177"/>
        <v>0.82409177820267687</v>
      </c>
      <c r="FT65" s="128">
        <f t="shared" si="178"/>
        <v>0.88829637866153655</v>
      </c>
      <c r="FU65" s="128">
        <f t="shared" si="179"/>
        <v>0.70965802545126611</v>
      </c>
      <c r="FV65" s="128">
        <f t="shared" si="180"/>
        <v>0.78705758673052217</v>
      </c>
      <c r="FW65" s="128">
        <f t="shared" si="181"/>
        <v>0.58034052421200377</v>
      </c>
      <c r="FX65" s="128">
        <f t="shared" si="182"/>
        <v>0.80837464256384384</v>
      </c>
      <c r="FY65" s="128">
        <f t="shared" si="183"/>
        <v>0.76705942315764231</v>
      </c>
      <c r="FZ65" s="128">
        <f t="shared" si="184"/>
        <v>0.73166350663606428</v>
      </c>
      <c r="GA65" s="128">
        <f t="shared" si="185"/>
        <v>0.83403983044069419</v>
      </c>
      <c r="GB65" s="128">
        <f t="shared" si="186"/>
        <v>0.79042865531415152</v>
      </c>
      <c r="GC65" s="128">
        <f t="shared" si="187"/>
        <v>0.68337960107174422</v>
      </c>
      <c r="GD65" s="128">
        <f t="shared" si="188"/>
        <v>0.91100516487882399</v>
      </c>
      <c r="GE65" s="128">
        <f t="shared" si="189"/>
        <v>0.90805500982318266</v>
      </c>
      <c r="GF65" s="128">
        <f t="shared" si="190"/>
        <v>0.84437538589566008</v>
      </c>
      <c r="GG65" s="128">
        <f t="shared" si="191"/>
        <v>0.71236346192724886</v>
      </c>
      <c r="GH65" s="128">
        <f t="shared" si="192"/>
        <v>0.79044916419101674</v>
      </c>
      <c r="GI65" s="128">
        <f t="shared" si="193"/>
        <v>0.73471487625683696</v>
      </c>
      <c r="GJ65" s="128">
        <f t="shared" si="194"/>
        <v>0.89190570232982092</v>
      </c>
      <c r="GK65" s="128">
        <f t="shared" si="195"/>
        <v>0.83631103441275001</v>
      </c>
      <c r="GL65" s="128">
        <f t="shared" si="196"/>
        <v>0.81450265203807315</v>
      </c>
      <c r="GM65" s="128">
        <f t="shared" si="197"/>
        <v>0.78629758016132256</v>
      </c>
      <c r="GN65" s="128">
        <f t="shared" si="97"/>
        <v>0.8882788366264498</v>
      </c>
      <c r="GO65" s="128">
        <f t="shared" si="98"/>
        <v>0.83031302556614472</v>
      </c>
      <c r="GP65" s="128">
        <f t="shared" si="99"/>
        <v>0.89911698834538734</v>
      </c>
      <c r="GQ65" s="129">
        <f t="shared" si="100"/>
        <v>0.81842533218550506</v>
      </c>
      <c r="GR65" s="129">
        <f t="shared" si="101"/>
        <v>0.79975572129195538</v>
      </c>
    </row>
    <row r="66" spans="1:200" x14ac:dyDescent="0.25">
      <c r="A66" s="42">
        <v>225</v>
      </c>
      <c r="B66" s="81">
        <v>581</v>
      </c>
      <c r="C66" s="81">
        <v>42</v>
      </c>
      <c r="D66" s="81">
        <v>83</v>
      </c>
      <c r="E66" s="81">
        <v>9</v>
      </c>
      <c r="F66" s="81">
        <v>156</v>
      </c>
      <c r="G66" s="81">
        <v>76</v>
      </c>
      <c r="H66" s="81">
        <v>470</v>
      </c>
      <c r="I66" s="81">
        <v>71</v>
      </c>
      <c r="J66" s="81">
        <v>479</v>
      </c>
      <c r="K66" s="81">
        <v>37</v>
      </c>
      <c r="L66" s="81">
        <v>1800</v>
      </c>
      <c r="M66" s="81">
        <v>877</v>
      </c>
      <c r="N66" s="81">
        <v>487</v>
      </c>
      <c r="O66" s="81">
        <v>14</v>
      </c>
      <c r="P66" s="81">
        <v>207</v>
      </c>
      <c r="Q66" s="81">
        <v>351</v>
      </c>
      <c r="R66" s="81">
        <v>628</v>
      </c>
      <c r="S66" s="81">
        <v>95</v>
      </c>
      <c r="T66" s="81">
        <v>531</v>
      </c>
      <c r="V66" s="81">
        <v>652</v>
      </c>
      <c r="W66" s="81">
        <v>22</v>
      </c>
      <c r="X66" s="81">
        <v>12</v>
      </c>
      <c r="Y66" s="81">
        <v>364</v>
      </c>
      <c r="Z66" s="81">
        <v>1063</v>
      </c>
      <c r="AA66" s="81">
        <v>406</v>
      </c>
      <c r="AB66" s="81">
        <v>3048</v>
      </c>
      <c r="AC66" s="81">
        <v>950</v>
      </c>
      <c r="AD66" s="81">
        <v>732</v>
      </c>
      <c r="AE66" s="81">
        <v>93</v>
      </c>
      <c r="AF66" s="84">
        <v>1</v>
      </c>
      <c r="AG66" s="84">
        <v>197</v>
      </c>
      <c r="AH66" s="84">
        <v>90</v>
      </c>
      <c r="AI66" s="83">
        <v>88</v>
      </c>
      <c r="AJ66" s="83">
        <v>541</v>
      </c>
      <c r="AK66" s="82">
        <v>289.25229675209778</v>
      </c>
      <c r="AL66" s="81">
        <v>210</v>
      </c>
      <c r="AM66" s="86">
        <v>581</v>
      </c>
      <c r="AN66" s="86">
        <v>855</v>
      </c>
      <c r="AO66" s="86">
        <v>669</v>
      </c>
      <c r="AP66" s="126">
        <v>354</v>
      </c>
      <c r="AQ66" s="126">
        <v>410</v>
      </c>
      <c r="AR66" s="126">
        <v>1024</v>
      </c>
      <c r="AS66" s="126">
        <v>1205</v>
      </c>
      <c r="AT66" s="126">
        <v>524</v>
      </c>
      <c r="AU66" s="126">
        <v>6603</v>
      </c>
      <c r="AV66" s="71">
        <f t="shared" si="113"/>
        <v>1243.5</v>
      </c>
      <c r="AW66" s="71">
        <f t="shared" si="102"/>
        <v>66830.990951097308</v>
      </c>
      <c r="AY66" s="42">
        <v>225</v>
      </c>
      <c r="AZ66" s="48">
        <f t="shared" si="154"/>
        <v>2.5325835839762868E-2</v>
      </c>
      <c r="BA66" s="48">
        <f t="shared" si="1"/>
        <v>2.1934405682055569E-3</v>
      </c>
      <c r="BB66" s="48">
        <f t="shared" si="2"/>
        <v>3.6280980897844999E-3</v>
      </c>
      <c r="BC66" s="48">
        <f t="shared" si="3"/>
        <v>2.0930232558139535E-2</v>
      </c>
      <c r="BD66" s="48">
        <f t="shared" si="4"/>
        <v>6.1782178217821782E-2</v>
      </c>
      <c r="BE66" s="48">
        <f t="shared" si="5"/>
        <v>6.5915004336513441E-3</v>
      </c>
      <c r="BF66" s="48">
        <f t="shared" si="6"/>
        <v>4.405286343612335E-2</v>
      </c>
      <c r="BG66" s="48">
        <f t="shared" si="7"/>
        <v>7.5419587847886131E-3</v>
      </c>
      <c r="BH66" s="48">
        <f t="shared" si="8"/>
        <v>3.6874518860662051E-2</v>
      </c>
      <c r="BI66" s="48">
        <f t="shared" si="9"/>
        <v>1.9597457627118644E-2</v>
      </c>
      <c r="BJ66" s="48">
        <f t="shared" si="10"/>
        <v>6.2785587219644917E-2</v>
      </c>
      <c r="BK66" s="48">
        <f t="shared" si="11"/>
        <v>1.2093715956258532E-2</v>
      </c>
      <c r="BL66" s="48">
        <f t="shared" si="12"/>
        <v>1.0812851084615556E-2</v>
      </c>
      <c r="BM66" s="48">
        <f t="shared" si="13"/>
        <v>1.3683901866875182E-3</v>
      </c>
      <c r="BN66" s="48">
        <f t="shared" si="14"/>
        <v>8.3781924151050315E-3</v>
      </c>
      <c r="BO66" s="48">
        <f t="shared" si="15"/>
        <v>8.9504283965728283E-3</v>
      </c>
      <c r="BP66" s="48">
        <f t="shared" si="16"/>
        <v>1.835398643909282E-2</v>
      </c>
      <c r="BQ66" s="48">
        <f t="shared" si="17"/>
        <v>5.0734312416555408E-3</v>
      </c>
      <c r="BR66" s="48">
        <f t="shared" si="18"/>
        <v>1.8878657517687632E-2</v>
      </c>
      <c r="BS66" s="48"/>
      <c r="BT66" s="48">
        <f t="shared" si="19"/>
        <v>1.1345247002731908E-2</v>
      </c>
      <c r="BU66" s="48">
        <f t="shared" si="20"/>
        <v>7.462686567164179E-3</v>
      </c>
      <c r="BV66" s="48">
        <f t="shared" si="21"/>
        <v>3.2777929527451517E-3</v>
      </c>
      <c r="BW66" s="48">
        <f t="shared" si="22"/>
        <v>1.5214562480368874E-2</v>
      </c>
      <c r="BX66" s="48">
        <f t="shared" si="23"/>
        <v>1.5216364391130706E-2</v>
      </c>
      <c r="BY66" s="48">
        <f t="shared" si="24"/>
        <v>5.2693740347051878E-3</v>
      </c>
      <c r="BZ66" s="48">
        <f t="shared" si="25"/>
        <v>4.6501693467183351E-2</v>
      </c>
      <c r="CA66" s="48">
        <f t="shared" si="26"/>
        <v>9.3997051460912064E-3</v>
      </c>
      <c r="CB66" s="48">
        <f t="shared" si="27"/>
        <v>1.097319661809678E-2</v>
      </c>
      <c r="CC66" s="48">
        <f t="shared" si="28"/>
        <v>9.2805109270531882E-3</v>
      </c>
      <c r="CD66" s="48">
        <f t="shared" si="29"/>
        <v>7.9980804606894339E-5</v>
      </c>
      <c r="CE66" s="48">
        <f t="shared" si="30"/>
        <v>1.1567821491485613E-2</v>
      </c>
      <c r="CF66" s="48">
        <f t="shared" si="31"/>
        <v>3.9948145035370863E-3</v>
      </c>
      <c r="CG66" s="48">
        <f t="shared" si="32"/>
        <v>2.1851410409217324E-3</v>
      </c>
      <c r="CH66" s="48">
        <f t="shared" si="33"/>
        <v>1.1188088098438631E-2</v>
      </c>
      <c r="CI66" s="48">
        <f t="shared" si="34"/>
        <v>1.4844558420425367E-2</v>
      </c>
      <c r="CJ66" s="48">
        <f t="shared" si="35"/>
        <v>1.5510283482273868E-2</v>
      </c>
      <c r="CK66" s="48">
        <f t="shared" si="36"/>
        <v>2.5761539484769211E-2</v>
      </c>
      <c r="CL66" s="48">
        <f t="shared" si="37"/>
        <v>1.5434048775204434E-2</v>
      </c>
      <c r="CM66" s="48">
        <f t="shared" si="61"/>
        <v>9.239182974492121E-3</v>
      </c>
      <c r="CN66" s="48">
        <f t="shared" si="62"/>
        <v>5.9892396710993804E-3</v>
      </c>
      <c r="CO66" s="48">
        <f t="shared" si="174"/>
        <v>9.9300055704909292E-3</v>
      </c>
      <c r="CP66" s="48">
        <f t="shared" si="64"/>
        <v>1.7065528964735684E-2</v>
      </c>
      <c r="CQ66" s="48">
        <f t="shared" si="112"/>
        <v>1.4046744768898991E-2</v>
      </c>
      <c r="CR66" s="48">
        <f t="shared" si="65"/>
        <v>3.4157725251945819E-3</v>
      </c>
      <c r="CS66" s="48">
        <f t="shared" si="66"/>
        <v>3.1397554956420021E-2</v>
      </c>
      <c r="CT66" s="68">
        <f t="shared" si="67"/>
        <v>0.83320432230286301</v>
      </c>
      <c r="CU66" s="68">
        <f t="shared" si="68"/>
        <v>0.81557833487580245</v>
      </c>
      <c r="CW66" s="42">
        <v>225</v>
      </c>
      <c r="CX66" s="58">
        <f t="shared" si="128"/>
        <v>20905</v>
      </c>
      <c r="CY66" s="58">
        <f t="shared" si="129"/>
        <v>18355</v>
      </c>
      <c r="CZ66" s="58">
        <f t="shared" si="130"/>
        <v>22180</v>
      </c>
      <c r="DA66" s="58">
        <f t="shared" si="131"/>
        <v>329</v>
      </c>
      <c r="DB66" s="58">
        <f t="shared" si="132"/>
        <v>2287</v>
      </c>
      <c r="DC66" s="58">
        <f t="shared" si="133"/>
        <v>10052</v>
      </c>
      <c r="DD66" s="58">
        <f t="shared" si="134"/>
        <v>7189</v>
      </c>
      <c r="DE66" s="58">
        <f t="shared" si="135"/>
        <v>8314</v>
      </c>
      <c r="DF66" s="58">
        <f t="shared" si="136"/>
        <v>10997</v>
      </c>
      <c r="DG66" s="58">
        <f t="shared" si="137"/>
        <v>963</v>
      </c>
      <c r="DH66" s="58">
        <f t="shared" si="138"/>
        <v>27234</v>
      </c>
      <c r="DI66" s="58">
        <f t="shared" si="139"/>
        <v>64005</v>
      </c>
      <c r="DJ66" s="58">
        <f t="shared" si="140"/>
        <v>36692</v>
      </c>
      <c r="DK66" s="58">
        <f t="shared" si="141"/>
        <v>8290</v>
      </c>
      <c r="DL66" s="58">
        <f t="shared" si="142"/>
        <v>20986</v>
      </c>
      <c r="DM66" s="58">
        <f t="shared" si="143"/>
        <v>33222</v>
      </c>
      <c r="DN66" s="58">
        <f t="shared" si="144"/>
        <v>28336</v>
      </c>
      <c r="DO66" s="58">
        <f t="shared" si="145"/>
        <v>15776</v>
      </c>
      <c r="DP66" s="58">
        <f t="shared" si="146"/>
        <v>21458</v>
      </c>
      <c r="DQ66" s="58"/>
      <c r="DR66" s="58">
        <f t="shared" si="147"/>
        <v>44757</v>
      </c>
      <c r="DS66" s="58">
        <f t="shared" si="148"/>
        <v>2424</v>
      </c>
      <c r="DT66" s="58">
        <f t="shared" si="149"/>
        <v>3029</v>
      </c>
      <c r="DU66" s="58">
        <f t="shared" si="150"/>
        <v>21616</v>
      </c>
      <c r="DV66" s="58">
        <f t="shared" si="151"/>
        <v>50639</v>
      </c>
      <c r="DW66" s="58">
        <f t="shared" si="152"/>
        <v>61048</v>
      </c>
      <c r="DX66" s="58">
        <f t="shared" si="153"/>
        <v>41087</v>
      </c>
      <c r="DY66" s="58">
        <f t="shared" si="115"/>
        <v>82650</v>
      </c>
      <c r="DZ66" s="58">
        <f t="shared" si="116"/>
        <v>51901</v>
      </c>
      <c r="EA66" s="58">
        <f t="shared" si="117"/>
        <v>7425</v>
      </c>
      <c r="EB66" s="58">
        <f t="shared" si="118"/>
        <v>10429</v>
      </c>
      <c r="EC66" s="58">
        <f t="shared" si="119"/>
        <v>13658</v>
      </c>
      <c r="ED66" s="58">
        <f t="shared" si="120"/>
        <v>15486</v>
      </c>
      <c r="EE66" s="58">
        <f t="shared" si="121"/>
        <v>36776</v>
      </c>
      <c r="EF66" s="58">
        <f t="shared" si="122"/>
        <v>44450</v>
      </c>
      <c r="EG66" s="58">
        <f t="shared" si="123"/>
        <v>16742.252296752096</v>
      </c>
      <c r="EH66" s="58">
        <f t="shared" si="124"/>
        <v>9854.9769712907182</v>
      </c>
      <c r="EI66" s="58">
        <f t="shared" si="125"/>
        <v>18408</v>
      </c>
      <c r="EJ66" s="58">
        <f t="shared" si="198"/>
        <v>41556</v>
      </c>
      <c r="EK66" s="58">
        <f t="shared" si="199"/>
        <v>65251</v>
      </c>
      <c r="EL66" s="58">
        <f t="shared" si="105"/>
        <v>49785</v>
      </c>
      <c r="EM66" s="58">
        <f t="shared" si="106"/>
        <v>34040</v>
      </c>
      <c r="EN66" s="58">
        <f t="shared" si="107"/>
        <v>48205</v>
      </c>
      <c r="EO66" s="58">
        <f t="shared" si="108"/>
        <v>77406</v>
      </c>
      <c r="EP66" s="58">
        <f t="shared" si="109"/>
        <v>127899</v>
      </c>
      <c r="EQ66" s="58">
        <f t="shared" si="110"/>
        <v>195690</v>
      </c>
      <c r="ER66" s="67">
        <f t="shared" si="72"/>
        <v>66809.497697129074</v>
      </c>
      <c r="ES66" s="67">
        <f t="shared" si="73"/>
        <v>35805.200713854705</v>
      </c>
      <c r="EV66" s="42">
        <v>225</v>
      </c>
      <c r="EW66" s="128">
        <f t="shared" si="155"/>
        <v>0.91125059936358488</v>
      </c>
      <c r="EX66" s="128">
        <f t="shared" si="156"/>
        <v>0.9585857530812617</v>
      </c>
      <c r="EY66" s="128">
        <f t="shared" si="157"/>
        <v>0.96953271845084588</v>
      </c>
      <c r="EZ66" s="128">
        <f t="shared" si="158"/>
        <v>0.76511627906976742</v>
      </c>
      <c r="FA66" s="128">
        <f t="shared" si="159"/>
        <v>0.90574257425742577</v>
      </c>
      <c r="FB66" s="128">
        <f t="shared" si="160"/>
        <v>0.87181266261925416</v>
      </c>
      <c r="FC66" s="128">
        <f t="shared" si="161"/>
        <v>0.67382135157934198</v>
      </c>
      <c r="FD66" s="128">
        <f t="shared" si="162"/>
        <v>0.88315275122158488</v>
      </c>
      <c r="FE66" s="128">
        <f t="shared" si="163"/>
        <v>0.84657428791377987</v>
      </c>
      <c r="FF66" s="130">
        <f t="shared" si="164"/>
        <v>0.51006355932203384</v>
      </c>
      <c r="FG66" s="128">
        <f t="shared" si="165"/>
        <v>0.94994593463322752</v>
      </c>
      <c r="FH66" s="128">
        <f t="shared" si="166"/>
        <v>0.88262062688748844</v>
      </c>
      <c r="FI66" s="128">
        <f t="shared" si="167"/>
        <v>0.81467172894602458</v>
      </c>
      <c r="FJ66" s="128">
        <f t="shared" si="168"/>
        <v>0.81028247483139482</v>
      </c>
      <c r="FK66" s="128">
        <f t="shared" si="169"/>
        <v>0.84939490832557574</v>
      </c>
      <c r="FL66" s="128">
        <f t="shared" si="170"/>
        <v>0.84715422276621788</v>
      </c>
      <c r="FM66" s="128">
        <f t="shared" si="171"/>
        <v>0.8281505728314239</v>
      </c>
      <c r="FN66" s="128">
        <f t="shared" si="172"/>
        <v>0.84251001335113485</v>
      </c>
      <c r="FO66" s="128">
        <f t="shared" si="173"/>
        <v>0.76289686066768581</v>
      </c>
      <c r="FP66" s="128"/>
      <c r="FQ66" s="128">
        <f t="shared" si="175"/>
        <v>0.77880248481790182</v>
      </c>
      <c r="FR66" s="128">
        <f t="shared" si="176"/>
        <v>0.82225237449118049</v>
      </c>
      <c r="FS66" s="128">
        <f t="shared" si="177"/>
        <v>0.82736957115542198</v>
      </c>
      <c r="FT66" s="128">
        <f t="shared" si="178"/>
        <v>0.90351094114190544</v>
      </c>
      <c r="FU66" s="128">
        <f t="shared" si="179"/>
        <v>0.72487438984239683</v>
      </c>
      <c r="FV66" s="128">
        <f t="shared" si="180"/>
        <v>0.79232696076522735</v>
      </c>
      <c r="FW66" s="128">
        <f t="shared" si="181"/>
        <v>0.62684221767918713</v>
      </c>
      <c r="FX66" s="128">
        <f t="shared" si="182"/>
        <v>0.81777434770993496</v>
      </c>
      <c r="FY66" s="128">
        <f t="shared" si="183"/>
        <v>0.77803261977573901</v>
      </c>
      <c r="FZ66" s="128">
        <f t="shared" si="184"/>
        <v>0.74094401756311745</v>
      </c>
      <c r="GA66" s="128">
        <f t="shared" si="185"/>
        <v>0.8341198112453011</v>
      </c>
      <c r="GB66" s="128">
        <f t="shared" si="186"/>
        <v>0.80199647680563713</v>
      </c>
      <c r="GC66" s="128">
        <f t="shared" si="187"/>
        <v>0.68737441557528134</v>
      </c>
      <c r="GD66" s="128">
        <f t="shared" si="188"/>
        <v>0.9131903059197457</v>
      </c>
      <c r="GE66" s="128">
        <f t="shared" si="189"/>
        <v>0.91924309792162129</v>
      </c>
      <c r="GF66" s="128">
        <f t="shared" si="190"/>
        <v>0.85921994431608539</v>
      </c>
      <c r="GG66" s="128">
        <f t="shared" si="191"/>
        <v>0.72787374540952277</v>
      </c>
      <c r="GH66" s="128">
        <f t="shared" si="192"/>
        <v>0.81621070367578596</v>
      </c>
      <c r="GI66" s="128">
        <f t="shared" si="193"/>
        <v>0.75014892503204145</v>
      </c>
      <c r="GJ66" s="128">
        <f t="shared" si="194"/>
        <v>0.90114488530431303</v>
      </c>
      <c r="GK66" s="128">
        <f t="shared" si="195"/>
        <v>0.84230027408384933</v>
      </c>
      <c r="GL66" s="128">
        <f t="shared" si="196"/>
        <v>0.82443265760856399</v>
      </c>
      <c r="GM66" s="128">
        <f t="shared" si="197"/>
        <v>0.80336310912605824</v>
      </c>
      <c r="GN66" s="128">
        <f t="shared" si="97"/>
        <v>0.9023255813953488</v>
      </c>
      <c r="GO66" s="128">
        <f t="shared" si="98"/>
        <v>0.83372879809133937</v>
      </c>
      <c r="GP66" s="128">
        <f t="shared" si="99"/>
        <v>0.93051454330180738</v>
      </c>
      <c r="GQ66" s="129">
        <f t="shared" si="100"/>
        <v>0.83320432230286312</v>
      </c>
      <c r="GR66" s="129">
        <f t="shared" si="101"/>
        <v>0.81557833487580245</v>
      </c>
    </row>
    <row r="67" spans="1:200" x14ac:dyDescent="0.25">
      <c r="A67" s="42">
        <v>226</v>
      </c>
      <c r="B67" s="81">
        <v>595</v>
      </c>
      <c r="C67" s="81">
        <v>79</v>
      </c>
      <c r="D67" s="81">
        <v>31</v>
      </c>
      <c r="E67" s="81">
        <v>42</v>
      </c>
      <c r="F67" s="81">
        <v>48</v>
      </c>
      <c r="G67" s="81">
        <v>133</v>
      </c>
      <c r="H67" s="81">
        <v>291</v>
      </c>
      <c r="I67" s="81">
        <v>19</v>
      </c>
      <c r="J67" s="81">
        <v>346</v>
      </c>
      <c r="K67" s="81">
        <v>42</v>
      </c>
      <c r="L67" s="81">
        <v>43</v>
      </c>
      <c r="M67" s="81">
        <v>851</v>
      </c>
      <c r="N67" s="81">
        <v>340</v>
      </c>
      <c r="O67" s="81">
        <v>15</v>
      </c>
      <c r="P67" s="81">
        <v>184</v>
      </c>
      <c r="Q67" s="81">
        <v>222</v>
      </c>
      <c r="R67" s="81">
        <v>634</v>
      </c>
      <c r="S67" s="81">
        <v>68</v>
      </c>
      <c r="T67" s="81">
        <v>226</v>
      </c>
      <c r="V67" s="81">
        <v>1091</v>
      </c>
      <c r="W67" s="81">
        <v>4</v>
      </c>
      <c r="X67" s="81">
        <v>5</v>
      </c>
      <c r="Y67" s="81">
        <v>103</v>
      </c>
      <c r="Z67" s="81">
        <v>1567</v>
      </c>
      <c r="AA67" s="81">
        <v>3439</v>
      </c>
      <c r="AB67" s="81">
        <v>1881</v>
      </c>
      <c r="AC67" s="81">
        <v>377</v>
      </c>
      <c r="AD67" s="81">
        <v>1246</v>
      </c>
      <c r="AE67" s="81">
        <v>99</v>
      </c>
      <c r="AF67" s="84">
        <v>48</v>
      </c>
      <c r="AG67" s="84">
        <v>147</v>
      </c>
      <c r="AH67" s="84">
        <v>641</v>
      </c>
      <c r="AI67" s="83">
        <v>109</v>
      </c>
      <c r="AJ67" s="83">
        <v>240</v>
      </c>
      <c r="AK67" s="82">
        <v>288.36100620115394</v>
      </c>
      <c r="AL67" s="81">
        <v>198</v>
      </c>
      <c r="AM67" s="86">
        <v>457</v>
      </c>
      <c r="AN67" s="86">
        <v>754</v>
      </c>
      <c r="AO67" s="86">
        <v>239</v>
      </c>
      <c r="AP67" s="126">
        <v>51</v>
      </c>
      <c r="AQ67" s="126">
        <v>480</v>
      </c>
      <c r="AR67" s="126">
        <v>216</v>
      </c>
      <c r="AS67" s="126">
        <v>987</v>
      </c>
      <c r="AT67" s="126">
        <v>6362</v>
      </c>
      <c r="AU67" s="126">
        <v>3314</v>
      </c>
      <c r="AV67" s="71">
        <f t="shared" si="113"/>
        <v>1305.8</v>
      </c>
      <c r="AW67" s="71">
        <f t="shared" si="102"/>
        <v>68136.790951097311</v>
      </c>
      <c r="AY67" s="42">
        <v>226</v>
      </c>
      <c r="AZ67" s="48">
        <f t="shared" si="154"/>
        <v>2.593609694433547E-2</v>
      </c>
      <c r="BA67" s="48">
        <f t="shared" si="1"/>
        <v>4.1257572592437852E-3</v>
      </c>
      <c r="BB67" s="48">
        <f t="shared" si="2"/>
        <v>1.3550727805219215E-3</v>
      </c>
      <c r="BC67" s="48">
        <f t="shared" si="3"/>
        <v>9.7674418604651161E-2</v>
      </c>
      <c r="BD67" s="48">
        <f t="shared" si="4"/>
        <v>1.9009900990099009E-2</v>
      </c>
      <c r="BE67" s="48">
        <f t="shared" si="5"/>
        <v>1.1535125758889852E-2</v>
      </c>
      <c r="BF67" s="48">
        <f t="shared" si="6"/>
        <v>2.7275283531727434E-2</v>
      </c>
      <c r="BG67" s="48">
        <f t="shared" si="7"/>
        <v>2.0182706607180796E-3</v>
      </c>
      <c r="BH67" s="48">
        <f t="shared" si="8"/>
        <v>2.6635873749037722E-2</v>
      </c>
      <c r="BI67" s="48">
        <f t="shared" si="9"/>
        <v>2.2245762711864406E-2</v>
      </c>
      <c r="BJ67" s="48">
        <f t="shared" si="10"/>
        <v>1.4998779169137395E-3</v>
      </c>
      <c r="BK67" s="48">
        <f t="shared" si="11"/>
        <v>1.1735179337258849E-2</v>
      </c>
      <c r="BL67" s="48">
        <f t="shared" si="12"/>
        <v>7.5490130775550078E-3</v>
      </c>
      <c r="BM67" s="48">
        <f t="shared" si="13"/>
        <v>1.4661323428794839E-3</v>
      </c>
      <c r="BN67" s="48">
        <f t="shared" si="14"/>
        <v>7.4472821467600273E-3</v>
      </c>
      <c r="BO67" s="48">
        <f t="shared" si="15"/>
        <v>5.6609547123623013E-3</v>
      </c>
      <c r="BP67" s="48">
        <f t="shared" si="16"/>
        <v>1.8529342997428103E-2</v>
      </c>
      <c r="BQ67" s="48">
        <f t="shared" si="17"/>
        <v>3.6315086782376504E-3</v>
      </c>
      <c r="BR67" s="48">
        <f t="shared" si="18"/>
        <v>8.0349841789028337E-3</v>
      </c>
      <c r="BS67" s="48"/>
      <c r="BT67" s="48">
        <f t="shared" si="19"/>
        <v>1.8984147975430233E-2</v>
      </c>
      <c r="BU67" s="48">
        <f t="shared" si="20"/>
        <v>1.3568521031207597E-3</v>
      </c>
      <c r="BV67" s="48">
        <f t="shared" si="21"/>
        <v>1.3657470636438131E-3</v>
      </c>
      <c r="BW67" s="48">
        <f t="shared" si="22"/>
        <v>4.3052196029615217E-3</v>
      </c>
      <c r="BX67" s="48">
        <f t="shared" si="23"/>
        <v>2.2430896520133411E-2</v>
      </c>
      <c r="BY67" s="48">
        <f t="shared" si="24"/>
        <v>4.4633934249633349E-2</v>
      </c>
      <c r="BZ67" s="48">
        <f t="shared" si="25"/>
        <v>2.8697403350318861E-2</v>
      </c>
      <c r="CA67" s="48">
        <f t="shared" si="26"/>
        <v>3.7301987790277738E-3</v>
      </c>
      <c r="CB67" s="48">
        <f t="shared" si="27"/>
        <v>1.867841937998441E-2</v>
      </c>
      <c r="CC67" s="48">
        <f t="shared" si="28"/>
        <v>9.8792535675082324E-3</v>
      </c>
      <c r="CD67" s="48">
        <f t="shared" si="29"/>
        <v>3.8390786211309285E-3</v>
      </c>
      <c r="CE67" s="48">
        <f t="shared" si="30"/>
        <v>8.6318261890780974E-3</v>
      </c>
      <c r="CF67" s="48">
        <f t="shared" si="31"/>
        <v>2.8451956630747469E-2</v>
      </c>
      <c r="CG67" s="48">
        <f t="shared" si="32"/>
        <v>2.7065951529598731E-3</v>
      </c>
      <c r="CH67" s="48">
        <f t="shared" si="33"/>
        <v>4.9632923172371005E-3</v>
      </c>
      <c r="CI67" s="48">
        <f t="shared" si="34"/>
        <v>1.4798816987075926E-2</v>
      </c>
      <c r="CJ67" s="48">
        <f t="shared" si="35"/>
        <v>1.4623981569001077E-2</v>
      </c>
      <c r="CK67" s="48">
        <f t="shared" si="36"/>
        <v>2.0263379594732407E-2</v>
      </c>
      <c r="CL67" s="48">
        <f t="shared" si="37"/>
        <v>1.3610845352636425E-2</v>
      </c>
      <c r="CM67" s="48">
        <f t="shared" si="61"/>
        <v>3.3006946650278282E-3</v>
      </c>
      <c r="CN67" s="48">
        <f t="shared" si="62"/>
        <v>8.6285656278550402E-4</v>
      </c>
      <c r="CO67" s="48">
        <f t="shared" si="174"/>
        <v>1.1625372375208894E-2</v>
      </c>
      <c r="CP67" s="48">
        <f t="shared" si="64"/>
        <v>3.5997600159989335E-3</v>
      </c>
      <c r="CQ67" s="48">
        <f t="shared" si="112"/>
        <v>1.1505507955936353E-2</v>
      </c>
      <c r="CR67" s="48">
        <f t="shared" si="65"/>
        <v>4.1471650391770858E-2</v>
      </c>
      <c r="CS67" s="48">
        <f t="shared" si="66"/>
        <v>1.5758215527120392E-2</v>
      </c>
      <c r="CT67" s="68">
        <f t="shared" si="67"/>
        <v>0.84686654870388489</v>
      </c>
      <c r="CU67" s="68">
        <f t="shared" si="68"/>
        <v>0.82846492988289622</v>
      </c>
      <c r="CW67" s="42">
        <v>226</v>
      </c>
      <c r="CX67" s="58">
        <f t="shared" si="128"/>
        <v>21500</v>
      </c>
      <c r="CY67" s="58">
        <f t="shared" si="129"/>
        <v>18434</v>
      </c>
      <c r="CZ67" s="58">
        <f t="shared" si="130"/>
        <v>22211</v>
      </c>
      <c r="DA67" s="58">
        <f t="shared" si="131"/>
        <v>371</v>
      </c>
      <c r="DB67" s="58">
        <f t="shared" si="132"/>
        <v>2335</v>
      </c>
      <c r="DC67" s="58">
        <f t="shared" si="133"/>
        <v>10185</v>
      </c>
      <c r="DD67" s="58">
        <f t="shared" si="134"/>
        <v>7480</v>
      </c>
      <c r="DE67" s="58">
        <f t="shared" si="135"/>
        <v>8333</v>
      </c>
      <c r="DF67" s="58">
        <f t="shared" si="136"/>
        <v>11343</v>
      </c>
      <c r="DG67" s="58">
        <f t="shared" si="137"/>
        <v>1005</v>
      </c>
      <c r="DH67" s="58">
        <f t="shared" si="138"/>
        <v>27277</v>
      </c>
      <c r="DI67" s="58">
        <f t="shared" si="139"/>
        <v>64856</v>
      </c>
      <c r="DJ67" s="58">
        <f t="shared" si="140"/>
        <v>37032</v>
      </c>
      <c r="DK67" s="58">
        <f t="shared" si="141"/>
        <v>8305</v>
      </c>
      <c r="DL67" s="58">
        <f t="shared" si="142"/>
        <v>21170</v>
      </c>
      <c r="DM67" s="58">
        <f t="shared" si="143"/>
        <v>33444</v>
      </c>
      <c r="DN67" s="58">
        <f t="shared" si="144"/>
        <v>28970</v>
      </c>
      <c r="DO67" s="58">
        <f t="shared" si="145"/>
        <v>15844</v>
      </c>
      <c r="DP67" s="58">
        <f t="shared" si="146"/>
        <v>21684</v>
      </c>
      <c r="DQ67" s="58"/>
      <c r="DR67" s="58">
        <f t="shared" si="147"/>
        <v>45848</v>
      </c>
      <c r="DS67" s="58">
        <f t="shared" si="148"/>
        <v>2428</v>
      </c>
      <c r="DT67" s="58">
        <f t="shared" si="149"/>
        <v>3034</v>
      </c>
      <c r="DU67" s="58">
        <f t="shared" si="150"/>
        <v>21719</v>
      </c>
      <c r="DV67" s="58">
        <f t="shared" si="151"/>
        <v>52206</v>
      </c>
      <c r="DW67" s="58">
        <f t="shared" si="152"/>
        <v>64487</v>
      </c>
      <c r="DX67" s="58">
        <f t="shared" si="153"/>
        <v>42968</v>
      </c>
      <c r="DY67" s="58">
        <f t="shared" si="115"/>
        <v>83027</v>
      </c>
      <c r="DZ67" s="58">
        <f t="shared" si="116"/>
        <v>53147</v>
      </c>
      <c r="EA67" s="58">
        <f t="shared" si="117"/>
        <v>7524</v>
      </c>
      <c r="EB67" s="58">
        <f t="shared" si="118"/>
        <v>10477</v>
      </c>
      <c r="EC67" s="58">
        <f t="shared" si="119"/>
        <v>13805</v>
      </c>
      <c r="ED67" s="58">
        <f t="shared" si="120"/>
        <v>16127</v>
      </c>
      <c r="EE67" s="58">
        <f t="shared" si="121"/>
        <v>36885</v>
      </c>
      <c r="EF67" s="58">
        <f t="shared" si="122"/>
        <v>44690</v>
      </c>
      <c r="EG67" s="58">
        <f t="shared" si="123"/>
        <v>17030.61330295325</v>
      </c>
      <c r="EH67" s="58">
        <f t="shared" si="124"/>
        <v>10052.976971290718</v>
      </c>
      <c r="EI67" s="58">
        <f t="shared" si="125"/>
        <v>18865</v>
      </c>
      <c r="EJ67" s="58">
        <f t="shared" si="198"/>
        <v>42310</v>
      </c>
      <c r="EK67" s="58">
        <f t="shared" si="199"/>
        <v>65490</v>
      </c>
      <c r="EL67" s="58">
        <f t="shared" si="105"/>
        <v>49836</v>
      </c>
      <c r="EM67" s="58">
        <f t="shared" si="106"/>
        <v>34520</v>
      </c>
      <c r="EN67" s="58">
        <f t="shared" si="107"/>
        <v>48421</v>
      </c>
      <c r="EO67" s="58">
        <f t="shared" si="108"/>
        <v>78393</v>
      </c>
      <c r="EP67" s="58">
        <f t="shared" si="109"/>
        <v>134261</v>
      </c>
      <c r="EQ67" s="58">
        <f t="shared" si="110"/>
        <v>199004</v>
      </c>
      <c r="ER67" s="67">
        <f t="shared" si="72"/>
        <v>68115.297697129077</v>
      </c>
      <c r="ES67" s="67">
        <f t="shared" si="73"/>
        <v>36483.380250591319</v>
      </c>
      <c r="EV67" s="42">
        <v>226</v>
      </c>
      <c r="EW67" s="128">
        <f t="shared" si="155"/>
        <v>0.93718669630792029</v>
      </c>
      <c r="EX67" s="128">
        <f t="shared" si="156"/>
        <v>0.96271151034050551</v>
      </c>
      <c r="EY67" s="128">
        <f t="shared" si="157"/>
        <v>0.9708877912313677</v>
      </c>
      <c r="EZ67" s="128">
        <f t="shared" si="158"/>
        <v>0.86279069767441863</v>
      </c>
      <c r="FA67" s="128">
        <f t="shared" si="159"/>
        <v>0.9247524752475248</v>
      </c>
      <c r="FB67" s="128">
        <f t="shared" si="160"/>
        <v>0.88334778837814398</v>
      </c>
      <c r="FC67" s="128">
        <f t="shared" si="161"/>
        <v>0.70109663511106945</v>
      </c>
      <c r="FD67" s="128">
        <f t="shared" si="162"/>
        <v>0.8851710218823029</v>
      </c>
      <c r="FE67" s="128">
        <f t="shared" si="163"/>
        <v>0.87321016166281751</v>
      </c>
      <c r="FF67" s="128">
        <f t="shared" si="164"/>
        <v>0.53230932203389836</v>
      </c>
      <c r="FG67" s="128">
        <f t="shared" si="165"/>
        <v>0.95144581255014127</v>
      </c>
      <c r="FH67" s="128">
        <f t="shared" si="166"/>
        <v>0.89435580622474731</v>
      </c>
      <c r="FI67" s="128">
        <f t="shared" si="167"/>
        <v>0.82222074202357953</v>
      </c>
      <c r="FJ67" s="128">
        <f t="shared" si="168"/>
        <v>0.81174860717427422</v>
      </c>
      <c r="FK67" s="128">
        <f t="shared" si="169"/>
        <v>0.85684219047233579</v>
      </c>
      <c r="FL67" s="128">
        <f t="shared" si="170"/>
        <v>0.85281517747858016</v>
      </c>
      <c r="FM67" s="128">
        <f t="shared" si="171"/>
        <v>0.84667991582885205</v>
      </c>
      <c r="FN67" s="128">
        <f t="shared" si="172"/>
        <v>0.84614152202937254</v>
      </c>
      <c r="FO67" s="128">
        <f t="shared" si="173"/>
        <v>0.77093184484658872</v>
      </c>
      <c r="FP67" s="128"/>
      <c r="FQ67" s="128">
        <f t="shared" si="175"/>
        <v>0.79778663279333206</v>
      </c>
      <c r="FR67" s="128">
        <f t="shared" si="176"/>
        <v>0.82360922659430125</v>
      </c>
      <c r="FS67" s="128">
        <f t="shared" si="177"/>
        <v>0.82873531821906588</v>
      </c>
      <c r="FT67" s="128">
        <f t="shared" si="178"/>
        <v>0.90781616074486693</v>
      </c>
      <c r="FU67" s="128">
        <f t="shared" si="179"/>
        <v>0.74730528636253024</v>
      </c>
      <c r="FV67" s="128">
        <f t="shared" si="180"/>
        <v>0.83696089501486071</v>
      </c>
      <c r="FW67" s="128">
        <f t="shared" si="181"/>
        <v>0.65553962102950603</v>
      </c>
      <c r="FX67" s="128">
        <f t="shared" si="182"/>
        <v>0.82150454648896276</v>
      </c>
      <c r="FY67" s="128">
        <f t="shared" si="183"/>
        <v>0.7967110391557235</v>
      </c>
      <c r="FZ67" s="128">
        <f t="shared" si="184"/>
        <v>0.75082327113062564</v>
      </c>
      <c r="GA67" s="128">
        <f t="shared" si="185"/>
        <v>0.83795888986643208</v>
      </c>
      <c r="GB67" s="128">
        <f t="shared" si="186"/>
        <v>0.81062830299471522</v>
      </c>
      <c r="GC67" s="128">
        <f t="shared" si="187"/>
        <v>0.71582637220602874</v>
      </c>
      <c r="GD67" s="128">
        <f t="shared" si="188"/>
        <v>0.9158969010727056</v>
      </c>
      <c r="GE67" s="128">
        <f t="shared" si="189"/>
        <v>0.92420639023885842</v>
      </c>
      <c r="GF67" s="128">
        <f t="shared" si="190"/>
        <v>0.87401876130316136</v>
      </c>
      <c r="GG67" s="128">
        <f t="shared" si="191"/>
        <v>0.7424977269785239</v>
      </c>
      <c r="GH67" s="128">
        <f t="shared" si="192"/>
        <v>0.83647408327051831</v>
      </c>
      <c r="GI67" s="128">
        <f t="shared" si="193"/>
        <v>0.76375977038467791</v>
      </c>
      <c r="GJ67" s="128">
        <f t="shared" si="194"/>
        <v>0.90444557996934083</v>
      </c>
      <c r="GK67" s="128">
        <f t="shared" si="195"/>
        <v>0.84316313064663484</v>
      </c>
      <c r="GL67" s="128">
        <f t="shared" si="196"/>
        <v>0.83605802998377288</v>
      </c>
      <c r="GM67" s="128">
        <f t="shared" si="197"/>
        <v>0.80696286914205717</v>
      </c>
      <c r="GN67" s="128">
        <f t="shared" si="97"/>
        <v>0.91383108935128521</v>
      </c>
      <c r="GO67" s="128">
        <f t="shared" si="98"/>
        <v>0.87520044848311018</v>
      </c>
      <c r="GP67" s="128">
        <f t="shared" si="99"/>
        <v>0.94627275882892781</v>
      </c>
      <c r="GQ67" s="129">
        <f t="shared" si="100"/>
        <v>0.846866548703885</v>
      </c>
      <c r="GR67" s="129">
        <f t="shared" si="101"/>
        <v>0.82846492988289633</v>
      </c>
    </row>
    <row r="68" spans="1:200" x14ac:dyDescent="0.25">
      <c r="A68" s="42">
        <v>227</v>
      </c>
      <c r="B68" s="81">
        <v>343</v>
      </c>
      <c r="C68" s="81">
        <v>55</v>
      </c>
      <c r="D68" s="81">
        <v>24</v>
      </c>
      <c r="E68" s="81">
        <v>18</v>
      </c>
      <c r="F68" s="81">
        <v>32</v>
      </c>
      <c r="G68" s="81">
        <v>155</v>
      </c>
      <c r="H68" s="81">
        <v>80</v>
      </c>
      <c r="I68" s="81">
        <v>54</v>
      </c>
      <c r="J68" s="81">
        <v>428</v>
      </c>
      <c r="K68" s="81">
        <v>34</v>
      </c>
      <c r="L68" s="81">
        <v>203</v>
      </c>
      <c r="M68" s="81">
        <v>445</v>
      </c>
      <c r="N68" s="81">
        <v>418</v>
      </c>
      <c r="O68" s="81">
        <v>26</v>
      </c>
      <c r="P68" s="81">
        <v>509</v>
      </c>
      <c r="Q68" s="81">
        <v>806</v>
      </c>
      <c r="R68" s="81">
        <v>231</v>
      </c>
      <c r="S68" s="81">
        <v>409</v>
      </c>
      <c r="T68" s="81">
        <v>84</v>
      </c>
      <c r="V68" s="81">
        <v>563</v>
      </c>
      <c r="W68" s="81">
        <v>18</v>
      </c>
      <c r="X68" s="81">
        <v>12</v>
      </c>
      <c r="Y68" s="81">
        <v>93</v>
      </c>
      <c r="Z68" s="81">
        <v>829</v>
      </c>
      <c r="AA68" s="81">
        <v>1189</v>
      </c>
      <c r="AB68" s="81">
        <v>2378</v>
      </c>
      <c r="AC68" s="81">
        <v>486</v>
      </c>
      <c r="AD68" s="81">
        <v>83</v>
      </c>
      <c r="AE68" s="81">
        <v>444</v>
      </c>
      <c r="AF68" s="84">
        <v>61</v>
      </c>
      <c r="AG68" s="84">
        <v>37</v>
      </c>
      <c r="AH68" s="84">
        <v>285</v>
      </c>
      <c r="AI68" s="83">
        <v>30</v>
      </c>
      <c r="AJ68" s="83">
        <v>412</v>
      </c>
      <c r="AK68" s="82">
        <v>213.79600057316071</v>
      </c>
      <c r="AL68" s="81">
        <v>231</v>
      </c>
      <c r="AM68" s="86">
        <v>408</v>
      </c>
      <c r="AN68" s="86">
        <v>800</v>
      </c>
      <c r="AO68" s="86">
        <v>346</v>
      </c>
      <c r="AP68" s="126">
        <v>6</v>
      </c>
      <c r="AQ68" s="126">
        <v>116</v>
      </c>
      <c r="AR68" s="126">
        <v>1541</v>
      </c>
      <c r="AS68" s="126">
        <v>624</v>
      </c>
      <c r="AT68" s="126">
        <v>1057</v>
      </c>
      <c r="AU68" s="126">
        <v>2798</v>
      </c>
      <c r="AV68" s="71">
        <f t="shared" si="113"/>
        <v>792.7</v>
      </c>
      <c r="AW68" s="71">
        <f t="shared" si="102"/>
        <v>68929.490951097308</v>
      </c>
      <c r="AY68" s="42">
        <v>227</v>
      </c>
      <c r="AZ68" s="48">
        <f t="shared" si="154"/>
        <v>1.4951397062028682E-2</v>
      </c>
      <c r="BA68" s="48">
        <f t="shared" si="1"/>
        <v>2.87236264884061E-3</v>
      </c>
      <c r="BB68" s="48">
        <f t="shared" si="2"/>
        <v>1.0490886042750361E-3</v>
      </c>
      <c r="BC68" s="48">
        <f t="shared" si="3"/>
        <v>4.1860465116279069E-2</v>
      </c>
      <c r="BD68" s="48">
        <f t="shared" si="4"/>
        <v>1.2673267326732674E-2</v>
      </c>
      <c r="BE68" s="48">
        <f t="shared" si="5"/>
        <v>1.3443191673894189E-2</v>
      </c>
      <c r="BF68" s="48">
        <f t="shared" si="6"/>
        <v>7.498359733808229E-3</v>
      </c>
      <c r="BG68" s="48">
        <f t="shared" si="7"/>
        <v>5.7361376673040155E-3</v>
      </c>
      <c r="BH68" s="48">
        <f t="shared" si="8"/>
        <v>3.2948421862971519E-2</v>
      </c>
      <c r="BI68" s="48">
        <f t="shared" si="9"/>
        <v>1.8008474576271187E-2</v>
      </c>
      <c r="BJ68" s="48">
        <f t="shared" si="10"/>
        <v>7.0808190031043982E-3</v>
      </c>
      <c r="BK68" s="48">
        <f t="shared" si="11"/>
        <v>6.1364921328791872E-3</v>
      </c>
      <c r="BL68" s="48">
        <f t="shared" si="12"/>
        <v>9.2808454894646869E-3</v>
      </c>
      <c r="BM68" s="48">
        <f t="shared" si="13"/>
        <v>2.5412960609911056E-3</v>
      </c>
      <c r="BN68" s="48">
        <f t="shared" si="14"/>
        <v>2.0601448982069857E-2</v>
      </c>
      <c r="BO68" s="48">
        <f t="shared" si="15"/>
        <v>2.0552835577315381E-2</v>
      </c>
      <c r="BP68" s="48">
        <f t="shared" si="16"/>
        <v>6.7512274959083468E-3</v>
      </c>
      <c r="BQ68" s="48">
        <f t="shared" si="17"/>
        <v>2.1842456608811751E-2</v>
      </c>
      <c r="BR68" s="48">
        <f t="shared" si="18"/>
        <v>2.9864542965833542E-3</v>
      </c>
      <c r="BS68" s="48"/>
      <c r="BT68" s="48">
        <f t="shared" si="19"/>
        <v>9.7965859854878285E-3</v>
      </c>
      <c r="BU68" s="48">
        <f t="shared" si="20"/>
        <v>6.1058344640434192E-3</v>
      </c>
      <c r="BV68" s="48">
        <f t="shared" si="21"/>
        <v>3.2777929527451517E-3</v>
      </c>
      <c r="BW68" s="48">
        <f t="shared" si="22"/>
        <v>3.8872371172371024E-3</v>
      </c>
      <c r="BX68" s="48">
        <f t="shared" si="23"/>
        <v>1.186676018837945E-2</v>
      </c>
      <c r="BY68" s="48">
        <f t="shared" si="24"/>
        <v>1.5431738244493764E-2</v>
      </c>
      <c r="BZ68" s="48">
        <f t="shared" si="25"/>
        <v>3.6279864522625334E-2</v>
      </c>
      <c r="CA68" s="48">
        <f t="shared" si="26"/>
        <v>4.8086912642108697E-3</v>
      </c>
      <c r="CB68" s="48">
        <f t="shared" si="27"/>
        <v>1.2442285782814655E-3</v>
      </c>
      <c r="CC68" s="48">
        <f t="shared" si="28"/>
        <v>4.4306955393673284E-2</v>
      </c>
      <c r="CD68" s="48">
        <f t="shared" si="29"/>
        <v>4.8788290810205552E-3</v>
      </c>
      <c r="CE68" s="48">
        <f t="shared" si="30"/>
        <v>2.1726365237815619E-3</v>
      </c>
      <c r="CF68" s="48">
        <f t="shared" si="31"/>
        <v>1.265024592786744E-2</v>
      </c>
      <c r="CG68" s="48">
        <f t="shared" si="32"/>
        <v>7.4493444576877231E-4</v>
      </c>
      <c r="CH68" s="48">
        <f t="shared" si="33"/>
        <v>8.5203184779236892E-3</v>
      </c>
      <c r="CI68" s="48">
        <f t="shared" si="34"/>
        <v>1.0972107244083835E-2</v>
      </c>
      <c r="CJ68" s="48">
        <f t="shared" si="35"/>
        <v>1.7061311830501254E-2</v>
      </c>
      <c r="CK68" s="48">
        <f t="shared" si="36"/>
        <v>1.8090719638185607E-2</v>
      </c>
      <c r="CL68" s="48">
        <f t="shared" si="37"/>
        <v>1.4441215228261459E-2</v>
      </c>
      <c r="CM68" s="48">
        <f t="shared" si="61"/>
        <v>4.7784115234294081E-3</v>
      </c>
      <c r="CN68" s="48">
        <f t="shared" si="62"/>
        <v>1.0151253679829459E-4</v>
      </c>
      <c r="CO68" s="48">
        <f t="shared" si="174"/>
        <v>2.8094649906754824E-3</v>
      </c>
      <c r="CP68" s="48">
        <f t="shared" si="64"/>
        <v>2.5681621225251649E-2</v>
      </c>
      <c r="CQ68" s="48">
        <f t="shared" si="112"/>
        <v>7.2739989508655359E-3</v>
      </c>
      <c r="CR68" s="48">
        <f t="shared" si="65"/>
        <v>6.8902128991043376E-3</v>
      </c>
      <c r="CS68" s="48">
        <f t="shared" si="66"/>
        <v>1.3304612868099837E-2</v>
      </c>
      <c r="CT68" s="68">
        <f t="shared" si="67"/>
        <v>0.85790985687300214</v>
      </c>
      <c r="CU68" s="68">
        <f t="shared" si="68"/>
        <v>0.84006150477535735</v>
      </c>
      <c r="CW68" s="42">
        <v>227</v>
      </c>
      <c r="CX68" s="58">
        <f t="shared" si="128"/>
        <v>21843</v>
      </c>
      <c r="CY68" s="58">
        <f t="shared" si="129"/>
        <v>18489</v>
      </c>
      <c r="CZ68" s="58">
        <f t="shared" si="130"/>
        <v>22235</v>
      </c>
      <c r="DA68" s="58">
        <f t="shared" si="131"/>
        <v>389</v>
      </c>
      <c r="DB68" s="58">
        <f t="shared" si="132"/>
        <v>2367</v>
      </c>
      <c r="DC68" s="58">
        <f t="shared" si="133"/>
        <v>10340</v>
      </c>
      <c r="DD68" s="58">
        <f t="shared" si="134"/>
        <v>7560</v>
      </c>
      <c r="DE68" s="58">
        <f t="shared" si="135"/>
        <v>8387</v>
      </c>
      <c r="DF68" s="58">
        <f t="shared" si="136"/>
        <v>11771</v>
      </c>
      <c r="DG68" s="58">
        <f t="shared" si="137"/>
        <v>1039</v>
      </c>
      <c r="DH68" s="58">
        <f t="shared" si="138"/>
        <v>27480</v>
      </c>
      <c r="DI68" s="58">
        <f t="shared" si="139"/>
        <v>65301</v>
      </c>
      <c r="DJ68" s="58">
        <f t="shared" si="140"/>
        <v>37450</v>
      </c>
      <c r="DK68" s="58">
        <f t="shared" si="141"/>
        <v>8331</v>
      </c>
      <c r="DL68" s="58">
        <f t="shared" si="142"/>
        <v>21679</v>
      </c>
      <c r="DM68" s="58">
        <f t="shared" si="143"/>
        <v>34250</v>
      </c>
      <c r="DN68" s="58">
        <f t="shared" si="144"/>
        <v>29201</v>
      </c>
      <c r="DO68" s="58">
        <f t="shared" si="145"/>
        <v>16253</v>
      </c>
      <c r="DP68" s="58">
        <f t="shared" si="146"/>
        <v>21768</v>
      </c>
      <c r="DQ68" s="58"/>
      <c r="DR68" s="58">
        <f t="shared" si="147"/>
        <v>46411</v>
      </c>
      <c r="DS68" s="58">
        <f t="shared" si="148"/>
        <v>2446</v>
      </c>
      <c r="DT68" s="58">
        <f t="shared" si="149"/>
        <v>3046</v>
      </c>
      <c r="DU68" s="58">
        <f t="shared" si="150"/>
        <v>21812</v>
      </c>
      <c r="DV68" s="58">
        <f t="shared" si="151"/>
        <v>53035</v>
      </c>
      <c r="DW68" s="58">
        <f t="shared" si="152"/>
        <v>65676</v>
      </c>
      <c r="DX68" s="58">
        <f t="shared" si="153"/>
        <v>45346</v>
      </c>
      <c r="DY68" s="58">
        <f t="shared" si="115"/>
        <v>83513</v>
      </c>
      <c r="DZ68" s="58">
        <f t="shared" si="116"/>
        <v>53230</v>
      </c>
      <c r="EA68" s="58">
        <f t="shared" si="117"/>
        <v>7968</v>
      </c>
      <c r="EB68" s="58">
        <f t="shared" si="118"/>
        <v>10538</v>
      </c>
      <c r="EC68" s="58">
        <f t="shared" si="119"/>
        <v>13842</v>
      </c>
      <c r="ED68" s="58">
        <f t="shared" si="120"/>
        <v>16412</v>
      </c>
      <c r="EE68" s="58">
        <f t="shared" si="121"/>
        <v>36915</v>
      </c>
      <c r="EF68" s="58">
        <f t="shared" si="122"/>
        <v>45102</v>
      </c>
      <c r="EG68" s="58">
        <f t="shared" si="123"/>
        <v>17244.409303526412</v>
      </c>
      <c r="EH68" s="58">
        <f t="shared" si="124"/>
        <v>10283.976971290718</v>
      </c>
      <c r="EI68" s="58">
        <f t="shared" si="125"/>
        <v>19273</v>
      </c>
      <c r="EJ68" s="58">
        <f t="shared" si="198"/>
        <v>43110</v>
      </c>
      <c r="EK68" s="58">
        <f t="shared" si="199"/>
        <v>65836</v>
      </c>
      <c r="EL68" s="58">
        <f t="shared" si="105"/>
        <v>49842</v>
      </c>
      <c r="EM68" s="58">
        <f t="shared" si="106"/>
        <v>34636</v>
      </c>
      <c r="EN68" s="58">
        <f t="shared" si="107"/>
        <v>49962</v>
      </c>
      <c r="EO68" s="58">
        <f t="shared" si="108"/>
        <v>79017</v>
      </c>
      <c r="EP68" s="58">
        <f t="shared" si="109"/>
        <v>135318</v>
      </c>
      <c r="EQ68" s="58">
        <f t="shared" si="110"/>
        <v>201802</v>
      </c>
      <c r="ER68" s="67">
        <f t="shared" si="72"/>
        <v>68907.997697129074</v>
      </c>
      <c r="ES68" s="67">
        <f t="shared" si="73"/>
        <v>36946.180153044319</v>
      </c>
      <c r="EV68" s="42">
        <v>227</v>
      </c>
      <c r="EW68" s="128">
        <f t="shared" si="155"/>
        <v>0.95213809336994903</v>
      </c>
      <c r="EX68" s="128">
        <f t="shared" si="156"/>
        <v>0.96558387298934611</v>
      </c>
      <c r="EY68" s="128">
        <f t="shared" si="157"/>
        <v>0.97193687983564281</v>
      </c>
      <c r="EZ68" s="128">
        <f t="shared" si="158"/>
        <v>0.90465116279069768</v>
      </c>
      <c r="FA68" s="128">
        <f t="shared" si="159"/>
        <v>0.93742574257425748</v>
      </c>
      <c r="FB68" s="128">
        <f t="shared" si="160"/>
        <v>0.89679098005203817</v>
      </c>
      <c r="FC68" s="128">
        <f t="shared" si="161"/>
        <v>0.70859499484487765</v>
      </c>
      <c r="FD68" s="128">
        <f t="shared" si="162"/>
        <v>0.89090715954960698</v>
      </c>
      <c r="FE68" s="128">
        <f t="shared" si="163"/>
        <v>0.90615858352578904</v>
      </c>
      <c r="FF68" s="128">
        <f t="shared" si="164"/>
        <v>0.55031779661016944</v>
      </c>
      <c r="FG68" s="128">
        <f t="shared" si="165"/>
        <v>0.95852663155324569</v>
      </c>
      <c r="FH68" s="128">
        <f t="shared" si="166"/>
        <v>0.90049229835762645</v>
      </c>
      <c r="FI68" s="128">
        <f t="shared" si="167"/>
        <v>0.83150158751304426</v>
      </c>
      <c r="FJ68" s="128">
        <f t="shared" si="168"/>
        <v>0.8142899032352654</v>
      </c>
      <c r="FK68" s="128">
        <f t="shared" si="169"/>
        <v>0.87744363945440562</v>
      </c>
      <c r="FL68" s="128">
        <f t="shared" si="170"/>
        <v>0.87336801305589551</v>
      </c>
      <c r="FM68" s="128">
        <f t="shared" si="171"/>
        <v>0.85343114332476033</v>
      </c>
      <c r="FN68" s="128">
        <f t="shared" si="172"/>
        <v>0.86798397863818422</v>
      </c>
      <c r="FO68" s="128">
        <f t="shared" si="173"/>
        <v>0.77391829914317201</v>
      </c>
      <c r="FP68" s="128"/>
      <c r="FQ68" s="128">
        <f t="shared" si="175"/>
        <v>0.80758321877881989</v>
      </c>
      <c r="FR68" s="128">
        <f t="shared" si="176"/>
        <v>0.82971506105834469</v>
      </c>
      <c r="FS68" s="128">
        <f t="shared" si="177"/>
        <v>0.83201311117181098</v>
      </c>
      <c r="FT68" s="128">
        <f t="shared" si="178"/>
        <v>0.91170339786210408</v>
      </c>
      <c r="FU68" s="128">
        <f t="shared" si="179"/>
        <v>0.75917204655090964</v>
      </c>
      <c r="FV68" s="128">
        <f t="shared" si="180"/>
        <v>0.85239263325935444</v>
      </c>
      <c r="FW68" s="128">
        <f t="shared" si="181"/>
        <v>0.69181948555213135</v>
      </c>
      <c r="FX68" s="128">
        <f t="shared" si="182"/>
        <v>0.82631323775317367</v>
      </c>
      <c r="FY68" s="128">
        <f t="shared" si="183"/>
        <v>0.79795526773400494</v>
      </c>
      <c r="FZ68" s="128">
        <f t="shared" si="184"/>
        <v>0.79513022652429899</v>
      </c>
      <c r="GA68" s="128">
        <f t="shared" si="185"/>
        <v>0.84283771894745263</v>
      </c>
      <c r="GB68" s="128">
        <f t="shared" si="186"/>
        <v>0.81280093951849675</v>
      </c>
      <c r="GC68" s="128">
        <f t="shared" si="187"/>
        <v>0.72847661813389619</v>
      </c>
      <c r="GD68" s="128">
        <f t="shared" si="188"/>
        <v>0.91664183551847433</v>
      </c>
      <c r="GE68" s="128">
        <f t="shared" si="189"/>
        <v>0.93272670871678209</v>
      </c>
      <c r="GF68" s="128">
        <f t="shared" si="190"/>
        <v>0.88499086854724518</v>
      </c>
      <c r="GG68" s="128">
        <f t="shared" si="191"/>
        <v>0.75955903880902509</v>
      </c>
      <c r="GH68" s="128">
        <f t="shared" si="192"/>
        <v>0.85456480290870396</v>
      </c>
      <c r="GI68" s="128">
        <f t="shared" si="193"/>
        <v>0.77820098561293938</v>
      </c>
      <c r="GJ68" s="128">
        <f t="shared" si="194"/>
        <v>0.90922399149277022</v>
      </c>
      <c r="GK68" s="128">
        <f t="shared" si="195"/>
        <v>0.84326464318343319</v>
      </c>
      <c r="GL68" s="128">
        <f t="shared" si="196"/>
        <v>0.83886749497444835</v>
      </c>
      <c r="GM68" s="128">
        <f t="shared" si="197"/>
        <v>0.83264449036730881</v>
      </c>
      <c r="GN68" s="128">
        <f t="shared" si="97"/>
        <v>0.92110508830215077</v>
      </c>
      <c r="GO68" s="128">
        <f t="shared" si="98"/>
        <v>0.88209066138221448</v>
      </c>
      <c r="GP68" s="128">
        <f t="shared" si="99"/>
        <v>0.95957737169702761</v>
      </c>
      <c r="GQ68" s="129">
        <f t="shared" si="100"/>
        <v>0.85790985687300236</v>
      </c>
      <c r="GR68" s="129">
        <f t="shared" si="101"/>
        <v>0.84006150477535768</v>
      </c>
    </row>
    <row r="69" spans="1:200" x14ac:dyDescent="0.25">
      <c r="A69" s="42">
        <v>228</v>
      </c>
      <c r="B69" s="81">
        <v>186</v>
      </c>
      <c r="C69" s="81">
        <v>28</v>
      </c>
      <c r="D69" s="81">
        <v>25</v>
      </c>
      <c r="E69" s="81">
        <v>8</v>
      </c>
      <c r="F69" s="81">
        <v>7</v>
      </c>
      <c r="G69" s="81">
        <v>82</v>
      </c>
      <c r="H69" s="81">
        <v>278</v>
      </c>
      <c r="I69" s="81">
        <v>107</v>
      </c>
      <c r="J69" s="81">
        <v>264</v>
      </c>
      <c r="K69" s="81">
        <v>46</v>
      </c>
      <c r="L69" s="81">
        <v>301</v>
      </c>
      <c r="M69" s="81">
        <v>910</v>
      </c>
      <c r="N69" s="81">
        <v>424</v>
      </c>
      <c r="O69" s="81">
        <v>29</v>
      </c>
      <c r="P69" s="81">
        <v>310</v>
      </c>
      <c r="Q69" s="81">
        <v>215</v>
      </c>
      <c r="R69" s="81">
        <v>541</v>
      </c>
      <c r="S69" s="81">
        <v>199</v>
      </c>
      <c r="T69" s="81">
        <v>427</v>
      </c>
      <c r="V69" s="81">
        <v>245</v>
      </c>
      <c r="W69" s="81">
        <v>7</v>
      </c>
      <c r="X69" s="81">
        <v>7</v>
      </c>
      <c r="Y69" s="80">
        <v>226.97155645615175</v>
      </c>
      <c r="Z69" s="81">
        <v>2416</v>
      </c>
      <c r="AA69" s="81">
        <v>1305</v>
      </c>
      <c r="AB69" s="81">
        <v>840</v>
      </c>
      <c r="AC69" s="81">
        <v>1030</v>
      </c>
      <c r="AD69" s="81">
        <v>1300</v>
      </c>
      <c r="AE69" s="81">
        <v>63</v>
      </c>
      <c r="AF69" s="84">
        <v>101</v>
      </c>
      <c r="AG69" s="84">
        <v>47</v>
      </c>
      <c r="AH69" s="84">
        <v>55</v>
      </c>
      <c r="AI69" s="83">
        <v>401</v>
      </c>
      <c r="AJ69" s="83">
        <v>420</v>
      </c>
      <c r="AK69" s="83">
        <v>344</v>
      </c>
      <c r="AL69" s="81">
        <v>465</v>
      </c>
      <c r="AM69" s="86">
        <v>144</v>
      </c>
      <c r="AN69" s="86">
        <v>1710</v>
      </c>
      <c r="AO69" s="86">
        <v>0</v>
      </c>
      <c r="AP69" s="126">
        <v>793</v>
      </c>
      <c r="AQ69" s="126">
        <v>573</v>
      </c>
      <c r="AR69" s="126">
        <v>888</v>
      </c>
      <c r="AS69" s="126">
        <v>487</v>
      </c>
      <c r="AT69" s="126">
        <v>2263</v>
      </c>
      <c r="AU69" s="126">
        <v>1604</v>
      </c>
      <c r="AV69" s="71">
        <f t="shared" si="113"/>
        <v>892.7</v>
      </c>
      <c r="AW69" s="71">
        <f t="shared" si="102"/>
        <v>69822.190951097306</v>
      </c>
      <c r="AY69" s="42">
        <v>228</v>
      </c>
      <c r="AZ69" s="48">
        <f t="shared" si="154"/>
        <v>8.1077546750359612E-3</v>
      </c>
      <c r="BA69" s="48">
        <f t="shared" ref="BA69:BA102" si="200">C69/C$104</f>
        <v>1.4622937121370379E-3</v>
      </c>
      <c r="BB69" s="48">
        <f t="shared" ref="BB69:BB102" si="201">D69/D$104</f>
        <v>1.0928006294531627E-3</v>
      </c>
      <c r="BC69" s="48">
        <f t="shared" ref="BC69:BC102" si="202">E69/E$104</f>
        <v>1.8604651162790697E-2</v>
      </c>
      <c r="BD69" s="48">
        <f t="shared" ref="BD69:BD102" si="203">F69/F$104</f>
        <v>2.7722772277227721E-3</v>
      </c>
      <c r="BE69" s="48">
        <f t="shared" ref="BE69:BE102" si="204">G69/G$104</f>
        <v>7.1118820468343454E-3</v>
      </c>
      <c r="BF69" s="48">
        <f t="shared" ref="BF69:BF102" si="205">H69/H$104</f>
        <v>2.6056800074983597E-2</v>
      </c>
      <c r="BG69" s="48">
        <f t="shared" ref="BG69:BG102" si="206">I69/I$104</f>
        <v>1.136605056299129E-2</v>
      </c>
      <c r="BH69" s="48">
        <f t="shared" ref="BH69:BH102" si="207">J69/J$104</f>
        <v>2.0323325635103928E-2</v>
      </c>
      <c r="BI69" s="48">
        <f t="shared" ref="BI69:BI102" si="208">K69/K$104</f>
        <v>2.4364406779661018E-2</v>
      </c>
      <c r="BJ69" s="48">
        <f t="shared" ref="BJ69:BJ102" si="209">L69/L$104</f>
        <v>1.0499145418396177E-2</v>
      </c>
      <c r="BK69" s="48">
        <f t="shared" ref="BK69:BK102" si="210">M69/M$104</f>
        <v>1.2548781664988899E-2</v>
      </c>
      <c r="BL69" s="48">
        <f t="shared" ref="BL69:BL102" si="211">N69/N$104</f>
        <v>9.4140633673038925E-3</v>
      </c>
      <c r="BM69" s="48">
        <f t="shared" ref="BM69:BM102" si="212">O69/O$104</f>
        <v>2.8345225295670021E-3</v>
      </c>
      <c r="BN69" s="48">
        <f t="shared" ref="BN69:BN102" si="213">P69/P$104</f>
        <v>1.2547051442910916E-2</v>
      </c>
      <c r="BO69" s="48">
        <f t="shared" ref="BO69:BO102" si="214">Q69/Q$104</f>
        <v>5.4824561403508769E-3</v>
      </c>
      <c r="BP69" s="48">
        <f t="shared" ref="BP69:BP102" si="215">R69/R$104</f>
        <v>1.5811316343231237E-2</v>
      </c>
      <c r="BQ69" s="48">
        <f t="shared" ref="BQ69:BQ102" si="216">S69/S$104</f>
        <v>1.0627503337783712E-2</v>
      </c>
      <c r="BR69" s="48">
        <f t="shared" ref="BR69:BR102" si="217">T69/T$104</f>
        <v>1.5181142674298716E-2</v>
      </c>
      <c r="BS69" s="48"/>
      <c r="BT69" s="48">
        <f t="shared" ref="BT69:BT102" si="218">V69/V$104</f>
        <v>4.2631679688179712E-3</v>
      </c>
      <c r="BU69" s="48">
        <f t="shared" ref="BU69:BU102" si="219">W69/W$104</f>
        <v>2.3744911804613297E-3</v>
      </c>
      <c r="BV69" s="48">
        <f t="shared" ref="BV69:BV102" si="220">X69/X$104</f>
        <v>1.9120458891013384E-3</v>
      </c>
      <c r="BW69" s="48">
        <f t="shared" ref="BW69:BW102" si="221">Y69/Y$104</f>
        <v>9.4870135356282751E-3</v>
      </c>
      <c r="BX69" s="48">
        <f t="shared" ref="BX69:BX102" si="222">Z69/Z$104</f>
        <v>3.4583947666012971E-2</v>
      </c>
      <c r="BY69" s="48">
        <f t="shared" ref="BY69:BY102" si="223">AA69/AA$104</f>
        <v>1.6937273682980959E-2</v>
      </c>
      <c r="BZ69" s="48">
        <f t="shared" ref="BZ69:BZ102" si="224">AB69/AB$104</f>
        <v>1.2815427333475727E-2</v>
      </c>
      <c r="CA69" s="48">
        <f t="shared" ref="CA69:CA102" si="225">AC69/AC$104</f>
        <v>1.0191259263656782E-2</v>
      </c>
      <c r="CB69" s="48">
        <f t="shared" ref="CB69:CB102" si="226">AD69/AD$104</f>
        <v>1.9487917491155485E-2</v>
      </c>
      <c r="CC69" s="48">
        <f t="shared" ref="CC69:CC102" si="227">AE69/AE$104</f>
        <v>6.2867977247779662E-3</v>
      </c>
      <c r="CD69" s="48">
        <f t="shared" ref="CD69:CD102" si="228">AF69/AF$104</f>
        <v>8.0780612652963293E-3</v>
      </c>
      <c r="CE69" s="48">
        <f t="shared" ref="CE69:CE102" si="229">AG69/AG$104</f>
        <v>2.759835584263065E-3</v>
      </c>
      <c r="CF69" s="48">
        <f t="shared" ref="CF69:CF102" si="230">AH69/AH$104</f>
        <v>2.4412755299393304E-3</v>
      </c>
      <c r="CG69" s="48">
        <f t="shared" ref="CG69:CG102" si="231">AI69/AI$104</f>
        <v>9.9572904251092574E-3</v>
      </c>
      <c r="CH69" s="48">
        <f t="shared" ref="CH69:CH102" si="232">AJ69/AJ$104</f>
        <v>8.6857615551649264E-3</v>
      </c>
      <c r="CI69" s="48">
        <f t="shared" ref="CI69:CI102" si="233">AK69/AK$104</f>
        <v>1.7654235260931569E-2</v>
      </c>
      <c r="CJ69" s="48">
        <f t="shared" ref="CJ69:CJ102" si="234">AL69/AL$104</f>
        <v>3.4344199139320707E-2</v>
      </c>
      <c r="CK69" s="48">
        <f t="shared" ref="CK69:CK102" si="235">AM69/AM$104</f>
        <v>6.3849598723008027E-3</v>
      </c>
      <c r="CL69" s="48">
        <f t="shared" ref="CL69:CL102" si="236">AN69/AN$104</f>
        <v>3.0868097550408868E-2</v>
      </c>
      <c r="CM69" s="48">
        <f t="shared" ref="CM69:CM102" si="237">AO69/AO$104</f>
        <v>0</v>
      </c>
      <c r="CN69" s="48">
        <f t="shared" si="62"/>
        <v>1.3416573613507935E-2</v>
      </c>
      <c r="CO69" s="48">
        <f t="shared" si="174"/>
        <v>1.3877788272905617E-2</v>
      </c>
      <c r="CP69" s="48">
        <f t="shared" si="64"/>
        <v>1.4799013399106727E-2</v>
      </c>
      <c r="CQ69" s="48">
        <f t="shared" si="112"/>
        <v>5.676983155563327E-3</v>
      </c>
      <c r="CR69" s="48">
        <f>AT69/AT$104</f>
        <v>1.4751704626937669E-2</v>
      </c>
      <c r="CS69" s="48">
        <f t="shared" si="66"/>
        <v>7.6270904361801783E-3</v>
      </c>
      <c r="CT69" s="68">
        <f t="shared" si="67"/>
        <v>0.87208449787962528</v>
      </c>
      <c r="CU69" s="68">
        <f t="shared" si="68"/>
        <v>0.85217377152338503</v>
      </c>
      <c r="CW69" s="42">
        <v>228</v>
      </c>
      <c r="CX69" s="58">
        <f t="shared" si="128"/>
        <v>22029</v>
      </c>
      <c r="CY69" s="58">
        <f t="shared" si="129"/>
        <v>18517</v>
      </c>
      <c r="CZ69" s="58">
        <f t="shared" si="130"/>
        <v>22260</v>
      </c>
      <c r="DA69" s="58">
        <f t="shared" si="131"/>
        <v>397</v>
      </c>
      <c r="DB69" s="58">
        <f t="shared" si="132"/>
        <v>2374</v>
      </c>
      <c r="DC69" s="58">
        <f t="shared" si="133"/>
        <v>10422</v>
      </c>
      <c r="DD69" s="58">
        <f t="shared" si="134"/>
        <v>7838</v>
      </c>
      <c r="DE69" s="58">
        <f t="shared" si="135"/>
        <v>8494</v>
      </c>
      <c r="DF69" s="58">
        <f t="shared" si="136"/>
        <v>12035</v>
      </c>
      <c r="DG69" s="58">
        <f t="shared" si="137"/>
        <v>1085</v>
      </c>
      <c r="DH69" s="58">
        <f t="shared" si="138"/>
        <v>27781</v>
      </c>
      <c r="DI69" s="58">
        <f t="shared" si="139"/>
        <v>66211</v>
      </c>
      <c r="DJ69" s="58">
        <f t="shared" si="140"/>
        <v>37874</v>
      </c>
      <c r="DK69" s="58">
        <f t="shared" si="141"/>
        <v>8360</v>
      </c>
      <c r="DL69" s="58">
        <f t="shared" si="142"/>
        <v>21989</v>
      </c>
      <c r="DM69" s="58">
        <f t="shared" si="143"/>
        <v>34465</v>
      </c>
      <c r="DN69" s="58">
        <f t="shared" si="144"/>
        <v>29742</v>
      </c>
      <c r="DO69" s="58">
        <f t="shared" si="145"/>
        <v>16452</v>
      </c>
      <c r="DP69" s="58">
        <f t="shared" si="146"/>
        <v>22195</v>
      </c>
      <c r="DQ69" s="58"/>
      <c r="DR69" s="58">
        <f t="shared" si="147"/>
        <v>46656</v>
      </c>
      <c r="DS69" s="58">
        <f t="shared" si="148"/>
        <v>2453</v>
      </c>
      <c r="DT69" s="58">
        <f t="shared" si="149"/>
        <v>3053</v>
      </c>
      <c r="DU69" s="58">
        <f t="shared" si="150"/>
        <v>22038.971556456152</v>
      </c>
      <c r="DV69" s="58">
        <f t="shared" si="151"/>
        <v>55451</v>
      </c>
      <c r="DW69" s="58">
        <f t="shared" si="152"/>
        <v>66981</v>
      </c>
      <c r="DX69" s="58">
        <f t="shared" si="153"/>
        <v>46186</v>
      </c>
      <c r="DY69" s="58">
        <f t="shared" si="115"/>
        <v>84543</v>
      </c>
      <c r="DZ69" s="58">
        <f t="shared" si="116"/>
        <v>54530</v>
      </c>
      <c r="EA69" s="58">
        <f t="shared" si="117"/>
        <v>8031</v>
      </c>
      <c r="EB69" s="58">
        <f t="shared" si="118"/>
        <v>10639</v>
      </c>
      <c r="EC69" s="58">
        <f t="shared" si="119"/>
        <v>13889</v>
      </c>
      <c r="ED69" s="58">
        <f t="shared" si="120"/>
        <v>16467</v>
      </c>
      <c r="EE69" s="58">
        <f t="shared" si="121"/>
        <v>37316</v>
      </c>
      <c r="EF69" s="58">
        <f t="shared" si="122"/>
        <v>45522</v>
      </c>
      <c r="EG69" s="58">
        <f t="shared" si="123"/>
        <v>17588.409303526412</v>
      </c>
      <c r="EH69" s="58">
        <f t="shared" si="124"/>
        <v>10748.976971290718</v>
      </c>
      <c r="EI69" s="58">
        <f t="shared" si="125"/>
        <v>19417</v>
      </c>
      <c r="EJ69" s="58">
        <f t="shared" si="198"/>
        <v>44820</v>
      </c>
      <c r="EK69" s="58">
        <f t="shared" si="199"/>
        <v>65836</v>
      </c>
      <c r="EL69" s="58">
        <f t="shared" si="105"/>
        <v>50635</v>
      </c>
      <c r="EM69" s="58">
        <f t="shared" si="106"/>
        <v>35209</v>
      </c>
      <c r="EN69" s="58">
        <f t="shared" si="107"/>
        <v>50850</v>
      </c>
      <c r="EO69" s="58">
        <f t="shared" si="108"/>
        <v>79504</v>
      </c>
      <c r="EP69" s="58">
        <f t="shared" si="109"/>
        <v>137581</v>
      </c>
      <c r="EQ69" s="58">
        <f t="shared" si="110"/>
        <v>203406</v>
      </c>
      <c r="ER69" s="67">
        <f t="shared" si="72"/>
        <v>69800.697697129071</v>
      </c>
      <c r="ES69" s="67">
        <f t="shared" si="73"/>
        <v>37479.716044665198</v>
      </c>
      <c r="EV69" s="42">
        <v>228</v>
      </c>
      <c r="EW69" s="128">
        <f t="shared" ref="EW69:EW85" si="238">CX69/CX$102</f>
        <v>0.96024584804498492</v>
      </c>
      <c r="EX69" s="128">
        <f t="shared" ref="EX69:EX85" si="239">CY69/CY$102</f>
        <v>0.96704616670148313</v>
      </c>
      <c r="EY69" s="128">
        <f t="shared" ref="EY69:EY85" si="240">CZ69/CZ$102</f>
        <v>0.97302968046509597</v>
      </c>
      <c r="EZ69" s="128">
        <f t="shared" ref="EZ69:EZ85" si="241">DA69/DA$102</f>
        <v>0.92325581395348832</v>
      </c>
      <c r="FA69" s="128">
        <f t="shared" ref="FA69:FA85" si="242">DB69/DB$102</f>
        <v>0.94019801980198014</v>
      </c>
      <c r="FB69" s="128">
        <f t="shared" ref="FB69:FB85" si="243">DC69/DC$102</f>
        <v>0.90390286209887249</v>
      </c>
      <c r="FC69" s="128">
        <f t="shared" ref="FC69:FC85" si="244">DD69/DD$102</f>
        <v>0.73465179491986132</v>
      </c>
      <c r="FD69" s="128">
        <f t="shared" ref="FD69:FD85" si="245">DE69/DE$102</f>
        <v>0.90227321011259831</v>
      </c>
      <c r="FE69" s="128">
        <f t="shared" ref="FE69:FE85" si="246">DF69/DF$102</f>
        <v>0.92648190916089301</v>
      </c>
      <c r="FF69" s="128">
        <f t="shared" ref="FF69:FF85" si="247">DG69/DG$102</f>
        <v>0.57468220338983056</v>
      </c>
      <c r="FG69" s="128">
        <f t="shared" ref="FG69:FG85" si="248">DH69/DH$102</f>
        <v>0.96902577697164183</v>
      </c>
      <c r="FH69" s="128">
        <f t="shared" ref="FH69:FH85" si="249">DI69/DI$102</f>
        <v>0.91304108002261541</v>
      </c>
      <c r="FI69" s="128">
        <f t="shared" ref="FI69:FI85" si="250">DJ69/DJ$102</f>
        <v>0.84091565088034814</v>
      </c>
      <c r="FJ69" s="128">
        <f t="shared" ref="FJ69:FJ85" si="251">DK69/DK$102</f>
        <v>0.81712442576483235</v>
      </c>
      <c r="FK69" s="128">
        <f t="shared" ref="FK69:FK85" si="252">DL69/DL$102</f>
        <v>0.88999069089731653</v>
      </c>
      <c r="FL69" s="128">
        <f t="shared" ref="FL69:FL85" si="253">DM69/DM$102</f>
        <v>0.87885046919624643</v>
      </c>
      <c r="FM69" s="128">
        <f t="shared" ref="FM69:FM85" si="254">DN69/DN$102</f>
        <v>0.86924245966799163</v>
      </c>
      <c r="FN69" s="128">
        <f t="shared" ref="FN69:FN85" si="255">DO69/DO$102</f>
        <v>0.87861148197596795</v>
      </c>
      <c r="FO69" s="128">
        <f t="shared" ref="FO69:FO85" si="256">DP69/DP$102</f>
        <v>0.78909944181747071</v>
      </c>
      <c r="FP69" s="128"/>
      <c r="FQ69" s="128">
        <f t="shared" si="175"/>
        <v>0.81184638674763787</v>
      </c>
      <c r="FR69" s="128">
        <f t="shared" si="176"/>
        <v>0.83208955223880599</v>
      </c>
      <c r="FS69" s="128">
        <f t="shared" si="177"/>
        <v>0.8339251570609123</v>
      </c>
      <c r="FT69" s="128">
        <f t="shared" si="178"/>
        <v>0.92119041139773228</v>
      </c>
      <c r="FU69" s="128">
        <f t="shared" si="179"/>
        <v>0.79375599421692267</v>
      </c>
      <c r="FV69" s="128">
        <f t="shared" si="180"/>
        <v>0.86932990694233536</v>
      </c>
      <c r="FW69" s="128">
        <f t="shared" si="181"/>
        <v>0.70463491288560709</v>
      </c>
      <c r="FX69" s="128">
        <f t="shared" si="182"/>
        <v>0.83650449701683038</v>
      </c>
      <c r="FY69" s="128">
        <f t="shared" si="183"/>
        <v>0.81744318522516035</v>
      </c>
      <c r="FZ69" s="128">
        <f t="shared" si="184"/>
        <v>0.8014170242490769</v>
      </c>
      <c r="GA69" s="128">
        <f t="shared" si="185"/>
        <v>0.85091578021274894</v>
      </c>
      <c r="GB69" s="128">
        <f t="shared" si="186"/>
        <v>0.81556077510275982</v>
      </c>
      <c r="GC69" s="128">
        <f t="shared" si="187"/>
        <v>0.73091789366383553</v>
      </c>
      <c r="GD69" s="128">
        <f t="shared" si="188"/>
        <v>0.92659912594358362</v>
      </c>
      <c r="GE69" s="128">
        <f t="shared" si="189"/>
        <v>0.94141247027194708</v>
      </c>
      <c r="GF69" s="128">
        <f t="shared" si="190"/>
        <v>0.90264510380817675</v>
      </c>
      <c r="GG69" s="128">
        <f t="shared" si="191"/>
        <v>0.79390323794834583</v>
      </c>
      <c r="GH69" s="128">
        <f t="shared" si="192"/>
        <v>0.86094976278100477</v>
      </c>
      <c r="GI69" s="128">
        <f t="shared" si="193"/>
        <v>0.80906908316334825</v>
      </c>
      <c r="GJ69" s="128">
        <f t="shared" si="194"/>
        <v>0.90922399149277022</v>
      </c>
      <c r="GK69" s="128">
        <f t="shared" si="195"/>
        <v>0.85668121679694109</v>
      </c>
      <c r="GL69" s="128">
        <f t="shared" si="196"/>
        <v>0.85274528324735399</v>
      </c>
      <c r="GM69" s="128">
        <f t="shared" si="197"/>
        <v>0.84744350376641553</v>
      </c>
      <c r="GN69" s="128">
        <f t="shared" si="97"/>
        <v>0.92678207145771407</v>
      </c>
      <c r="GO69" s="128">
        <f t="shared" si="98"/>
        <v>0.89684236600915224</v>
      </c>
      <c r="GP69" s="128">
        <f t="shared" si="99"/>
        <v>0.96720446213320777</v>
      </c>
      <c r="GQ69" s="129">
        <f t="shared" si="100"/>
        <v>0.87208449787962528</v>
      </c>
      <c r="GR69" s="129">
        <f t="shared" si="101"/>
        <v>0.85217377152338514</v>
      </c>
    </row>
    <row r="70" spans="1:200" x14ac:dyDescent="0.25">
      <c r="A70" s="42">
        <v>229</v>
      </c>
      <c r="B70" s="81">
        <v>0</v>
      </c>
      <c r="C70" s="81">
        <v>5</v>
      </c>
      <c r="D70" s="81">
        <v>61</v>
      </c>
      <c r="E70" s="81">
        <v>2</v>
      </c>
      <c r="F70" s="81">
        <v>3</v>
      </c>
      <c r="G70" s="81">
        <v>82</v>
      </c>
      <c r="H70" s="81">
        <v>294</v>
      </c>
      <c r="I70" s="81">
        <v>21</v>
      </c>
      <c r="J70" s="81">
        <v>229</v>
      </c>
      <c r="K70" s="81">
        <v>96</v>
      </c>
      <c r="L70" s="81">
        <v>148</v>
      </c>
      <c r="M70" s="81">
        <v>661</v>
      </c>
      <c r="N70" s="81">
        <v>568</v>
      </c>
      <c r="O70" s="81">
        <v>20</v>
      </c>
      <c r="P70" s="81">
        <v>378</v>
      </c>
      <c r="Q70" s="81">
        <v>48</v>
      </c>
      <c r="R70" s="81">
        <v>420</v>
      </c>
      <c r="S70" s="81">
        <v>120</v>
      </c>
      <c r="T70" s="81">
        <v>118</v>
      </c>
      <c r="V70" s="81">
        <v>1926</v>
      </c>
      <c r="W70" s="81">
        <v>8</v>
      </c>
      <c r="X70" s="81">
        <v>1</v>
      </c>
      <c r="Y70" s="80">
        <v>254.47585829296594</v>
      </c>
      <c r="Z70" s="81">
        <v>1080</v>
      </c>
      <c r="AA70" s="81">
        <v>289</v>
      </c>
      <c r="AB70" s="81">
        <v>1633</v>
      </c>
      <c r="AC70" s="81">
        <v>655</v>
      </c>
      <c r="AD70" s="81">
        <v>1027</v>
      </c>
      <c r="AE70" s="81">
        <v>433</v>
      </c>
      <c r="AF70" s="84">
        <v>95</v>
      </c>
      <c r="AG70" s="84">
        <v>47</v>
      </c>
      <c r="AH70" s="84">
        <v>831</v>
      </c>
      <c r="AI70" s="83">
        <v>131</v>
      </c>
      <c r="AJ70" s="83">
        <v>149</v>
      </c>
      <c r="AK70" s="83">
        <v>95</v>
      </c>
      <c r="AL70" s="81">
        <v>69</v>
      </c>
      <c r="AM70" s="86">
        <v>131</v>
      </c>
      <c r="AN70" s="86">
        <v>525</v>
      </c>
      <c r="AO70" s="86">
        <v>1220</v>
      </c>
      <c r="AP70" s="126">
        <v>833</v>
      </c>
      <c r="AQ70" s="126">
        <v>765</v>
      </c>
      <c r="AR70" s="126">
        <v>837</v>
      </c>
      <c r="AS70" s="126">
        <v>293</v>
      </c>
      <c r="AT70" s="126">
        <v>1669</v>
      </c>
      <c r="AU70" s="126">
        <v>1479</v>
      </c>
      <c r="AV70" s="71">
        <f t="shared" si="113"/>
        <v>782.1</v>
      </c>
      <c r="AW70" s="71">
        <f t="shared" ref="AW70:AW94" si="257">AW69+AV70</f>
        <v>70604.290951097311</v>
      </c>
      <c r="AY70" s="42">
        <v>229</v>
      </c>
      <c r="AZ70" s="48">
        <f t="shared" si="154"/>
        <v>0</v>
      </c>
      <c r="BA70" s="48">
        <f t="shared" si="200"/>
        <v>2.6112387716732818E-4</v>
      </c>
      <c r="BB70" s="48">
        <f t="shared" si="201"/>
        <v>2.6664335358657166E-3</v>
      </c>
      <c r="BC70" s="48">
        <f t="shared" si="202"/>
        <v>4.6511627906976744E-3</v>
      </c>
      <c r="BD70" s="48">
        <f t="shared" si="203"/>
        <v>1.1881188118811881E-3</v>
      </c>
      <c r="BE70" s="48">
        <f t="shared" si="204"/>
        <v>7.1118820468343454E-3</v>
      </c>
      <c r="BF70" s="48">
        <f t="shared" si="205"/>
        <v>2.7556472021745243E-2</v>
      </c>
      <c r="BG70" s="48">
        <f t="shared" si="206"/>
        <v>2.2307202039515616E-3</v>
      </c>
      <c r="BH70" s="48">
        <f t="shared" si="207"/>
        <v>1.7628945342571208E-2</v>
      </c>
      <c r="BI70" s="48">
        <f t="shared" si="208"/>
        <v>5.0847457627118647E-2</v>
      </c>
      <c r="BJ70" s="48">
        <f t="shared" si="209"/>
        <v>5.1623705047263591E-3</v>
      </c>
      <c r="BK70" s="48">
        <f t="shared" si="210"/>
        <v>9.1151040445688596E-3</v>
      </c>
      <c r="BL70" s="48">
        <f t="shared" si="211"/>
        <v>1.2611292435444836E-2</v>
      </c>
      <c r="BM70" s="48">
        <f t="shared" si="212"/>
        <v>1.954843123839312E-3</v>
      </c>
      <c r="BN70" s="48">
        <f t="shared" si="213"/>
        <v>1.5299307888452665E-2</v>
      </c>
      <c r="BO70" s="48">
        <f t="shared" si="214"/>
        <v>1.2239902080783353E-3</v>
      </c>
      <c r="BP70" s="48">
        <f t="shared" si="215"/>
        <v>1.2274959083469721E-2</v>
      </c>
      <c r="BQ70" s="48">
        <f t="shared" si="216"/>
        <v>6.4085447263017353E-3</v>
      </c>
      <c r="BR70" s="48">
        <f t="shared" si="217"/>
        <v>4.1952572261528065E-3</v>
      </c>
      <c r="BS70" s="48"/>
      <c r="BT70" s="48">
        <f t="shared" si="218"/>
        <v>3.3513720440585357E-2</v>
      </c>
      <c r="BU70" s="48">
        <f t="shared" si="219"/>
        <v>2.7137042062415195E-3</v>
      </c>
      <c r="BV70" s="48">
        <f t="shared" si="220"/>
        <v>2.7314941272876261E-4</v>
      </c>
      <c r="BW70" s="48">
        <f t="shared" si="221"/>
        <v>1.0636645180614907E-2</v>
      </c>
      <c r="BX70" s="48">
        <f t="shared" si="222"/>
        <v>1.5459711705005798E-2</v>
      </c>
      <c r="BY70" s="48">
        <f t="shared" si="223"/>
        <v>3.7508598424379289E-3</v>
      </c>
      <c r="BZ70" s="48">
        <f t="shared" si="224"/>
        <v>2.4913800994721264E-2</v>
      </c>
      <c r="CA70" s="48">
        <f t="shared" si="225"/>
        <v>6.4808493375681482E-3</v>
      </c>
      <c r="CB70" s="48">
        <f t="shared" si="226"/>
        <v>1.5395454818012832E-2</v>
      </c>
      <c r="CC70" s="48">
        <f t="shared" si="227"/>
        <v>4.3209260552839038E-2</v>
      </c>
      <c r="CD70" s="48">
        <f t="shared" si="228"/>
        <v>7.5981764376549625E-3</v>
      </c>
      <c r="CE70" s="48">
        <f t="shared" si="229"/>
        <v>2.759835584263065E-3</v>
      </c>
      <c r="CF70" s="48">
        <f t="shared" si="230"/>
        <v>3.6885453915992426E-2</v>
      </c>
      <c r="CG70" s="48">
        <f t="shared" si="231"/>
        <v>3.2528804131903058E-3</v>
      </c>
      <c r="CH70" s="48">
        <f t="shared" si="232"/>
        <v>3.0813773136180332E-3</v>
      </c>
      <c r="CI70" s="48">
        <f t="shared" si="233"/>
        <v>4.8754428772921476E-3</v>
      </c>
      <c r="CJ70" s="48">
        <f t="shared" si="234"/>
        <v>5.0962360013185569E-3</v>
      </c>
      <c r="CK70" s="48">
        <f t="shared" si="235"/>
        <v>5.8085398838292022E-3</v>
      </c>
      <c r="CL70" s="48">
        <f t="shared" si="236"/>
        <v>9.4770474935465827E-3</v>
      </c>
      <c r="CM70" s="48">
        <f t="shared" si="237"/>
        <v>1.6848734273363808E-2</v>
      </c>
      <c r="CN70" s="48">
        <f t="shared" ref="CN70:CN102" si="258">AP70/AP$104</f>
        <v>1.4093323858829899E-2</v>
      </c>
      <c r="CO70" s="48">
        <f t="shared" ref="CO70:CO102" si="259">AQ70/AQ$104</f>
        <v>1.8527937222989174E-2</v>
      </c>
      <c r="CP70" s="48">
        <f t="shared" ref="CP70:CP101" si="260">AR70/AR$104</f>
        <v>1.3949070061995868E-2</v>
      </c>
      <c r="CQ70" s="48">
        <f t="shared" ref="CQ70:CQ102" si="261">AS70/AS$104</f>
        <v>3.4155155330185928E-3</v>
      </c>
      <c r="CR70" s="48">
        <f t="shared" ref="CR70:CR102" si="262">AT70/AT$104</f>
        <v>1.0879626611736177E-2</v>
      </c>
      <c r="CS70" s="48">
        <f t="shared" ref="CS70:CS102" si="263">AU70/AU$104</f>
        <v>7.0327099470763616E-3</v>
      </c>
      <c r="CT70" s="68">
        <f t="shared" ref="CT70:CT102" si="264">CT69+AVERAGE(CJ70:CS70)</f>
        <v>0.88259737196839572</v>
      </c>
      <c r="CU70" s="68">
        <f t="shared" ref="CU70:CU102" si="265">CU69+AVERAGE(BD70:CS70)</f>
        <v>0.86424056004083882</v>
      </c>
      <c r="CW70" s="42">
        <v>229</v>
      </c>
      <c r="CX70" s="58">
        <f t="shared" si="128"/>
        <v>22029</v>
      </c>
      <c r="CY70" s="58">
        <f t="shared" si="129"/>
        <v>18522</v>
      </c>
      <c r="CZ70" s="58">
        <f t="shared" si="130"/>
        <v>22321</v>
      </c>
      <c r="DA70" s="58">
        <f t="shared" si="131"/>
        <v>399</v>
      </c>
      <c r="DB70" s="58">
        <f t="shared" si="132"/>
        <v>2377</v>
      </c>
      <c r="DC70" s="58">
        <f t="shared" si="133"/>
        <v>10504</v>
      </c>
      <c r="DD70" s="58">
        <f t="shared" si="134"/>
        <v>8132</v>
      </c>
      <c r="DE70" s="58">
        <f t="shared" si="135"/>
        <v>8515</v>
      </c>
      <c r="DF70" s="58">
        <f t="shared" si="136"/>
        <v>12264</v>
      </c>
      <c r="DG70" s="58">
        <f t="shared" si="137"/>
        <v>1181</v>
      </c>
      <c r="DH70" s="58">
        <f t="shared" si="138"/>
        <v>27929</v>
      </c>
      <c r="DI70" s="58">
        <f t="shared" si="139"/>
        <v>66872</v>
      </c>
      <c r="DJ70" s="58">
        <f t="shared" si="140"/>
        <v>38442</v>
      </c>
      <c r="DK70" s="58">
        <f t="shared" si="141"/>
        <v>8380</v>
      </c>
      <c r="DL70" s="58">
        <f t="shared" si="142"/>
        <v>22367</v>
      </c>
      <c r="DM70" s="58">
        <f t="shared" si="143"/>
        <v>34513</v>
      </c>
      <c r="DN70" s="58">
        <f t="shared" si="144"/>
        <v>30162</v>
      </c>
      <c r="DO70" s="58">
        <f t="shared" si="145"/>
        <v>16572</v>
      </c>
      <c r="DP70" s="58">
        <f t="shared" si="146"/>
        <v>22313</v>
      </c>
      <c r="DQ70" s="58"/>
      <c r="DR70" s="58">
        <f t="shared" si="147"/>
        <v>48582</v>
      </c>
      <c r="DS70" s="58">
        <f t="shared" si="148"/>
        <v>2461</v>
      </c>
      <c r="DT70" s="58">
        <f t="shared" si="149"/>
        <v>3054</v>
      </c>
      <c r="DU70" s="58">
        <f t="shared" si="150"/>
        <v>22293.447414749116</v>
      </c>
      <c r="DV70" s="58">
        <f t="shared" si="151"/>
        <v>56531</v>
      </c>
      <c r="DW70" s="58">
        <f t="shared" si="152"/>
        <v>67270</v>
      </c>
      <c r="DX70" s="58">
        <f t="shared" si="153"/>
        <v>47819</v>
      </c>
      <c r="DY70" s="58">
        <f t="shared" si="115"/>
        <v>85198</v>
      </c>
      <c r="DZ70" s="58">
        <f t="shared" si="116"/>
        <v>55557</v>
      </c>
      <c r="EA70" s="58">
        <f t="shared" si="117"/>
        <v>8464</v>
      </c>
      <c r="EB70" s="58">
        <f t="shared" si="118"/>
        <v>10734</v>
      </c>
      <c r="EC70" s="58">
        <f t="shared" si="119"/>
        <v>13936</v>
      </c>
      <c r="ED70" s="58">
        <f t="shared" si="120"/>
        <v>17298</v>
      </c>
      <c r="EE70" s="58">
        <f t="shared" si="121"/>
        <v>37447</v>
      </c>
      <c r="EF70" s="58">
        <f t="shared" si="122"/>
        <v>45671</v>
      </c>
      <c r="EG70" s="58">
        <f t="shared" si="123"/>
        <v>17683.409303526412</v>
      </c>
      <c r="EH70" s="58">
        <f t="shared" si="124"/>
        <v>10817.976971290718</v>
      </c>
      <c r="EI70" s="58">
        <f t="shared" si="125"/>
        <v>19548</v>
      </c>
      <c r="EJ70" s="58">
        <f t="shared" si="198"/>
        <v>45345</v>
      </c>
      <c r="EK70" s="58">
        <f t="shared" si="199"/>
        <v>67056</v>
      </c>
      <c r="EL70" s="58">
        <f t="shared" si="105"/>
        <v>51468</v>
      </c>
      <c r="EM70" s="58">
        <f t="shared" si="106"/>
        <v>35974</v>
      </c>
      <c r="EN70" s="58">
        <f t="shared" si="107"/>
        <v>51687</v>
      </c>
      <c r="EO70" s="58">
        <f t="shared" si="108"/>
        <v>79797</v>
      </c>
      <c r="EP70" s="58">
        <f t="shared" si="109"/>
        <v>139250</v>
      </c>
      <c r="EQ70" s="58">
        <f t="shared" si="110"/>
        <v>204885</v>
      </c>
      <c r="ER70" s="67">
        <f t="shared" ref="ER70:ER102" si="266">AVERAGE(EH70:EQ70)</f>
        <v>70582.797697129077</v>
      </c>
      <c r="ES70" s="67">
        <f t="shared" ref="ES70:ES102" si="267">AVERAGE(DB70:EQ70)</f>
        <v>37959.752041208936</v>
      </c>
      <c r="EV70" s="42">
        <v>229</v>
      </c>
      <c r="EW70" s="128">
        <f t="shared" si="238"/>
        <v>0.96024584804498492</v>
      </c>
      <c r="EX70" s="128">
        <f t="shared" si="239"/>
        <v>0.9673072905786505</v>
      </c>
      <c r="EY70" s="128">
        <f t="shared" si="240"/>
        <v>0.97569611400096168</v>
      </c>
      <c r="EZ70" s="128">
        <f t="shared" si="241"/>
        <v>0.9279069767441861</v>
      </c>
      <c r="FA70" s="128">
        <f t="shared" si="242"/>
        <v>0.94138613861386133</v>
      </c>
      <c r="FB70" s="128">
        <f t="shared" si="243"/>
        <v>0.91101474414570682</v>
      </c>
      <c r="FC70" s="128">
        <f t="shared" si="244"/>
        <v>0.76220826694160648</v>
      </c>
      <c r="FD70" s="128">
        <f t="shared" si="245"/>
        <v>0.90450393031654985</v>
      </c>
      <c r="FE70" s="128">
        <f t="shared" si="246"/>
        <v>0.94411085450346421</v>
      </c>
      <c r="FF70" s="128">
        <f t="shared" si="247"/>
        <v>0.62552966101694918</v>
      </c>
      <c r="FG70" s="128">
        <f t="shared" si="248"/>
        <v>0.97418814747636817</v>
      </c>
      <c r="FH70" s="128">
        <f t="shared" si="249"/>
        <v>0.92215618406718425</v>
      </c>
      <c r="FI70" s="128">
        <f t="shared" si="250"/>
        <v>0.85352694331579293</v>
      </c>
      <c r="FJ70" s="128">
        <f t="shared" si="251"/>
        <v>0.81907926888867166</v>
      </c>
      <c r="FK70" s="128">
        <f t="shared" si="252"/>
        <v>0.90528999878576921</v>
      </c>
      <c r="FL70" s="128">
        <f t="shared" si="253"/>
        <v>0.88007445940432472</v>
      </c>
      <c r="FM70" s="128">
        <f t="shared" si="254"/>
        <v>0.88151741875146128</v>
      </c>
      <c r="FN70" s="128">
        <f t="shared" si="255"/>
        <v>0.88502002670226965</v>
      </c>
      <c r="FO70" s="128">
        <f t="shared" si="256"/>
        <v>0.7932946990436236</v>
      </c>
      <c r="FP70" s="128"/>
      <c r="FQ70" s="128">
        <f t="shared" ref="FQ70:FQ87" si="268">DR70/DR$102</f>
        <v>0.84536010718822319</v>
      </c>
      <c r="FR70" s="128">
        <f t="shared" ref="FR70:FR87" si="269">DS70/DS$102</f>
        <v>0.83480325644504749</v>
      </c>
      <c r="FS70" s="128">
        <f t="shared" ref="FS70:FS87" si="270">DT70/DT$102</f>
        <v>0.83419830647364113</v>
      </c>
      <c r="FT70" s="128">
        <f t="shared" ref="FT70:FT87" si="271">DU70/DU$102</f>
        <v>0.93182705657834719</v>
      </c>
      <c r="FU70" s="128">
        <f t="shared" ref="FU70:FU87" si="272">DV70/DV$102</f>
        <v>0.80921570592192849</v>
      </c>
      <c r="FV70" s="128">
        <f t="shared" ref="FV70:FV87" si="273">DW70/DW$102</f>
        <v>0.87308076678477331</v>
      </c>
      <c r="FW70" s="128">
        <f t="shared" ref="FW70:FW87" si="274">DX70/DX$102</f>
        <v>0.72954871388032827</v>
      </c>
      <c r="FX70" s="128">
        <f t="shared" ref="FX70:FX87" si="275">DY70/DY$102</f>
        <v>0.84298534635439859</v>
      </c>
      <c r="FY70" s="128">
        <f t="shared" ref="FY70:FY87" si="276">DZ70/DZ$102</f>
        <v>0.83283864004317321</v>
      </c>
      <c r="FZ70" s="128">
        <f t="shared" ref="FZ70:FZ87" si="277">EA70/EA$102</f>
        <v>0.84462628480191593</v>
      </c>
      <c r="GA70" s="128">
        <f t="shared" ref="GA70:GA87" si="278">EB70/EB$102</f>
        <v>0.85851395665040386</v>
      </c>
      <c r="GB70" s="128">
        <f t="shared" ref="GB70:GB87" si="279">EC70/EC$102</f>
        <v>0.81832061068702289</v>
      </c>
      <c r="GC70" s="128">
        <f t="shared" ref="GC70:GC87" si="280">ED70/ED$102</f>
        <v>0.76780334757982793</v>
      </c>
      <c r="GD70" s="128">
        <f t="shared" ref="GD70:GD87" si="281">EE70/EE$102</f>
        <v>0.9298520063567739</v>
      </c>
      <c r="GE70" s="128">
        <f t="shared" ref="GE70:GE87" si="282">EF70/EF$102</f>
        <v>0.94449384758556509</v>
      </c>
      <c r="GF70" s="128">
        <f t="shared" ref="GF70:GF87" si="283">EG70/EG$102</f>
        <v>0.90752054668546889</v>
      </c>
      <c r="GG70" s="128">
        <f t="shared" ref="GG70:GG87" si="284">EH70/EH$102</f>
        <v>0.79899947394966442</v>
      </c>
      <c r="GH70" s="128">
        <f t="shared" ref="GH70:GH87" si="285">EI70/EI$102</f>
        <v>0.866758302664834</v>
      </c>
      <c r="GI70" s="128">
        <f t="shared" ref="GI70:GI87" si="286">EJ70/EJ$102</f>
        <v>0.81854613065689474</v>
      </c>
      <c r="GJ70" s="128">
        <f t="shared" ref="GJ70:GJ87" si="287">EK70/EK$102</f>
        <v>0.92607272576613409</v>
      </c>
      <c r="GK70" s="128">
        <f t="shared" ref="GK70:GK87" si="288">EL70/EL$102</f>
        <v>0.87077454065577098</v>
      </c>
      <c r="GL70" s="128">
        <f t="shared" ref="GL70:GL103" si="289">EM70/EM$102</f>
        <v>0.87127322047034317</v>
      </c>
      <c r="GM70" s="128">
        <f t="shared" ref="GM70:GM103" si="290">EN70/EN$102</f>
        <v>0.86139257382841139</v>
      </c>
      <c r="GN70" s="128">
        <f t="shared" ref="GN70:GN103" si="291">EO70/EO$102</f>
        <v>0.93019758699073263</v>
      </c>
      <c r="GO70" s="128">
        <f t="shared" ref="GO70:GO103" si="292">EP70/EP$102</f>
        <v>0.90772199262088837</v>
      </c>
      <c r="GP70" s="128">
        <f t="shared" ref="GP70:GP103" si="293">EQ70/EQ$102</f>
        <v>0.97423717208028415</v>
      </c>
      <c r="GQ70" s="129">
        <f t="shared" ref="GQ70:GQ102" si="294">AVERAGE(GG70:GP70)</f>
        <v>0.88259737196839583</v>
      </c>
      <c r="GR70" s="129">
        <f t="shared" ref="GR70:GR102" si="295">AVERAGE(FA70:GP70)</f>
        <v>0.86424056004083905</v>
      </c>
    </row>
    <row r="71" spans="1:200" x14ac:dyDescent="0.25">
      <c r="A71" s="42">
        <v>230</v>
      </c>
      <c r="B71" s="81">
        <v>0</v>
      </c>
      <c r="C71" s="81">
        <v>56</v>
      </c>
      <c r="D71" s="81">
        <v>36</v>
      </c>
      <c r="E71" s="81">
        <v>25</v>
      </c>
      <c r="F71" s="81">
        <v>49</v>
      </c>
      <c r="G71" s="81">
        <v>35</v>
      </c>
      <c r="H71" s="81">
        <v>520</v>
      </c>
      <c r="I71" s="81">
        <v>137</v>
      </c>
      <c r="J71" s="81">
        <v>229</v>
      </c>
      <c r="K71" s="81">
        <v>57</v>
      </c>
      <c r="L71" s="81">
        <v>91</v>
      </c>
      <c r="M71" s="81">
        <v>287</v>
      </c>
      <c r="N71" s="81">
        <v>609</v>
      </c>
      <c r="O71" s="81">
        <v>32</v>
      </c>
      <c r="P71" s="81">
        <v>314</v>
      </c>
      <c r="Q71" s="81">
        <v>33</v>
      </c>
      <c r="R71" s="81">
        <v>424</v>
      </c>
      <c r="S71" s="81">
        <v>167</v>
      </c>
      <c r="T71" s="81">
        <v>394</v>
      </c>
      <c r="V71" s="81">
        <v>568</v>
      </c>
      <c r="W71" s="81">
        <v>206</v>
      </c>
      <c r="X71" s="81">
        <v>7</v>
      </c>
      <c r="Y71" s="81">
        <v>50</v>
      </c>
      <c r="Z71" s="81">
        <v>1579</v>
      </c>
      <c r="AA71" s="81">
        <v>247</v>
      </c>
      <c r="AB71" s="81">
        <v>1131</v>
      </c>
      <c r="AC71" s="81">
        <v>943</v>
      </c>
      <c r="AD71" s="81">
        <v>437</v>
      </c>
      <c r="AE71" s="81">
        <v>114</v>
      </c>
      <c r="AF71" s="84">
        <v>424</v>
      </c>
      <c r="AG71" s="84">
        <v>19</v>
      </c>
      <c r="AH71" s="84">
        <v>851</v>
      </c>
      <c r="AI71" s="83">
        <v>313</v>
      </c>
      <c r="AJ71" s="83">
        <v>274</v>
      </c>
      <c r="AK71" s="83">
        <v>49</v>
      </c>
      <c r="AL71" s="81">
        <v>200</v>
      </c>
      <c r="AM71" s="86">
        <v>644</v>
      </c>
      <c r="AN71" s="86">
        <v>1025</v>
      </c>
      <c r="AO71" s="86">
        <v>30</v>
      </c>
      <c r="AP71" s="126">
        <v>263</v>
      </c>
      <c r="AQ71" s="126">
        <v>475</v>
      </c>
      <c r="AR71" s="126">
        <v>367</v>
      </c>
      <c r="AS71" s="126">
        <v>1093</v>
      </c>
      <c r="AT71" s="126">
        <v>1051</v>
      </c>
      <c r="AU71" s="126">
        <v>311</v>
      </c>
      <c r="AV71" s="71">
        <f t="shared" si="113"/>
        <v>545.9</v>
      </c>
      <c r="AW71" s="71">
        <f t="shared" si="257"/>
        <v>71150.190951097306</v>
      </c>
      <c r="AY71" s="42">
        <v>230</v>
      </c>
      <c r="AZ71" s="48">
        <f t="shared" si="154"/>
        <v>0</v>
      </c>
      <c r="BA71" s="48">
        <f t="shared" si="200"/>
        <v>2.9245874242740757E-3</v>
      </c>
      <c r="BB71" s="48">
        <f t="shared" si="201"/>
        <v>1.5736329064125541E-3</v>
      </c>
      <c r="BC71" s="48">
        <f t="shared" si="202"/>
        <v>5.8139534883720929E-2</v>
      </c>
      <c r="BD71" s="48">
        <f t="shared" si="203"/>
        <v>1.9405940594059406E-2</v>
      </c>
      <c r="BE71" s="48">
        <f t="shared" si="204"/>
        <v>3.0355594102341719E-3</v>
      </c>
      <c r="BF71" s="48">
        <f t="shared" si="205"/>
        <v>4.873933826975349E-2</v>
      </c>
      <c r="BG71" s="48">
        <f t="shared" si="206"/>
        <v>1.455279371149352E-2</v>
      </c>
      <c r="BH71" s="48">
        <f t="shared" si="207"/>
        <v>1.7628945342571208E-2</v>
      </c>
      <c r="BI71" s="48">
        <f t="shared" si="208"/>
        <v>3.0190677966101694E-2</v>
      </c>
      <c r="BJ71" s="48">
        <f t="shared" si="209"/>
        <v>3.1741602427709371E-3</v>
      </c>
      <c r="BK71" s="48">
        <f t="shared" si="210"/>
        <v>3.957692678958037E-3</v>
      </c>
      <c r="BL71" s="48">
        <f t="shared" si="211"/>
        <v>1.3521614600679412E-2</v>
      </c>
      <c r="BM71" s="48">
        <f t="shared" si="212"/>
        <v>3.1277489981428991E-3</v>
      </c>
      <c r="BN71" s="48">
        <f t="shared" si="213"/>
        <v>1.2708948880883961E-2</v>
      </c>
      <c r="BO71" s="48">
        <f t="shared" si="214"/>
        <v>8.414932680538556E-4</v>
      </c>
      <c r="BP71" s="48">
        <f t="shared" si="215"/>
        <v>1.2391863455693243E-2</v>
      </c>
      <c r="BQ71" s="48">
        <f t="shared" si="216"/>
        <v>8.9185580774365815E-3</v>
      </c>
      <c r="BR71" s="48">
        <f t="shared" si="217"/>
        <v>1.4007892772069541E-2</v>
      </c>
      <c r="BS71" s="48"/>
      <c r="BT71" s="48">
        <f t="shared" si="218"/>
        <v>9.8835894134228896E-3</v>
      </c>
      <c r="BU71" s="48">
        <f t="shared" si="219"/>
        <v>6.9877883310719133E-2</v>
      </c>
      <c r="BV71" s="48">
        <f t="shared" si="220"/>
        <v>1.9120458891013384E-3</v>
      </c>
      <c r="BW71" s="48">
        <f t="shared" si="221"/>
        <v>2.0899124286220981E-3</v>
      </c>
      <c r="BX71" s="48">
        <f t="shared" si="222"/>
        <v>2.2602671094633476E-2</v>
      </c>
      <c r="BY71" s="48">
        <f t="shared" si="223"/>
        <v>3.2057521836753233E-3</v>
      </c>
      <c r="BZ71" s="48">
        <f t="shared" si="224"/>
        <v>1.725505751685839E-2</v>
      </c>
      <c r="CA71" s="48">
        <f t="shared" si="225"/>
        <v>9.3304441608042191E-3</v>
      </c>
      <c r="CB71" s="48">
        <f t="shared" si="226"/>
        <v>6.550938418180728E-3</v>
      </c>
      <c r="CC71" s="48">
        <f t="shared" si="227"/>
        <v>1.1376110168645844E-2</v>
      </c>
      <c r="CD71" s="48">
        <f t="shared" si="228"/>
        <v>3.3911861153323203E-2</v>
      </c>
      <c r="CE71" s="48">
        <f t="shared" si="229"/>
        <v>1.115678214914856E-3</v>
      </c>
      <c r="CF71" s="48">
        <f t="shared" si="230"/>
        <v>3.7773190472334003E-2</v>
      </c>
      <c r="CG71" s="48">
        <f t="shared" si="231"/>
        <v>7.7721493841875246E-3</v>
      </c>
      <c r="CH71" s="48">
        <f t="shared" si="232"/>
        <v>5.6664253955123565E-3</v>
      </c>
      <c r="CI71" s="48">
        <f t="shared" si="233"/>
        <v>2.5147021156559498E-3</v>
      </c>
      <c r="CJ71" s="48">
        <f t="shared" si="234"/>
        <v>1.4771698554546542E-2</v>
      </c>
      <c r="CK71" s="48">
        <f t="shared" si="235"/>
        <v>2.8554959428900812E-2</v>
      </c>
      <c r="CL71" s="48">
        <f t="shared" si="236"/>
        <v>1.8502807011209994E-2</v>
      </c>
      <c r="CM71" s="48">
        <f t="shared" si="237"/>
        <v>4.1431313786960183E-4</v>
      </c>
      <c r="CN71" s="48">
        <f t="shared" si="258"/>
        <v>4.4496328629919125E-3</v>
      </c>
      <c r="CO71" s="48">
        <f t="shared" si="259"/>
        <v>1.1504274746300468E-2</v>
      </c>
      <c r="CP71" s="48">
        <f t="shared" si="260"/>
        <v>6.1162589160722617E-3</v>
      </c>
      <c r="CQ71" s="48">
        <f t="shared" si="261"/>
        <v>1.2741155213615433E-2</v>
      </c>
      <c r="CR71" s="48">
        <f t="shared" si="262"/>
        <v>6.8511009999608881E-3</v>
      </c>
      <c r="CS71" s="48">
        <f t="shared" si="263"/>
        <v>1.4788186568902963E-3</v>
      </c>
      <c r="CT71" s="68">
        <f t="shared" si="264"/>
        <v>0.8931358739212315</v>
      </c>
      <c r="CU71" s="68">
        <f t="shared" si="265"/>
        <v>0.87776316148273759</v>
      </c>
      <c r="CW71" s="42">
        <v>230</v>
      </c>
      <c r="CX71" s="58">
        <f t="shared" si="128"/>
        <v>22029</v>
      </c>
      <c r="CY71" s="58">
        <f t="shared" si="129"/>
        <v>18578</v>
      </c>
      <c r="CZ71" s="58">
        <f t="shared" si="130"/>
        <v>22357</v>
      </c>
      <c r="DA71" s="58">
        <f t="shared" si="131"/>
        <v>424</v>
      </c>
      <c r="DB71" s="58">
        <f t="shared" si="132"/>
        <v>2426</v>
      </c>
      <c r="DC71" s="58">
        <f t="shared" si="133"/>
        <v>10539</v>
      </c>
      <c r="DD71" s="58">
        <f t="shared" si="134"/>
        <v>8652</v>
      </c>
      <c r="DE71" s="58">
        <f t="shared" si="135"/>
        <v>8652</v>
      </c>
      <c r="DF71" s="58">
        <f t="shared" si="136"/>
        <v>12493</v>
      </c>
      <c r="DG71" s="58">
        <f t="shared" si="137"/>
        <v>1238</v>
      </c>
      <c r="DH71" s="58">
        <f t="shared" si="138"/>
        <v>28020</v>
      </c>
      <c r="DI71" s="58">
        <f t="shared" si="139"/>
        <v>67159</v>
      </c>
      <c r="DJ71" s="58">
        <f t="shared" si="140"/>
        <v>39051</v>
      </c>
      <c r="DK71" s="58">
        <f t="shared" si="141"/>
        <v>8412</v>
      </c>
      <c r="DL71" s="58">
        <f t="shared" si="142"/>
        <v>22681</v>
      </c>
      <c r="DM71" s="58">
        <f t="shared" si="143"/>
        <v>34546</v>
      </c>
      <c r="DN71" s="58">
        <f t="shared" si="144"/>
        <v>30586</v>
      </c>
      <c r="DO71" s="58">
        <f t="shared" si="145"/>
        <v>16739</v>
      </c>
      <c r="DP71" s="58">
        <f t="shared" si="146"/>
        <v>22707</v>
      </c>
      <c r="DQ71" s="58"/>
      <c r="DR71" s="58">
        <f t="shared" si="147"/>
        <v>49150</v>
      </c>
      <c r="DS71" s="58">
        <f t="shared" si="148"/>
        <v>2667</v>
      </c>
      <c r="DT71" s="58">
        <f t="shared" si="149"/>
        <v>3061</v>
      </c>
      <c r="DU71" s="58">
        <f t="shared" si="150"/>
        <v>22343.447414749116</v>
      </c>
      <c r="DV71" s="58">
        <f t="shared" si="151"/>
        <v>58110</v>
      </c>
      <c r="DW71" s="58">
        <f t="shared" si="152"/>
        <v>67517</v>
      </c>
      <c r="DX71" s="58">
        <f t="shared" si="153"/>
        <v>48950</v>
      </c>
      <c r="DY71" s="58">
        <f t="shared" si="115"/>
        <v>86141</v>
      </c>
      <c r="DZ71" s="58">
        <f t="shared" si="116"/>
        <v>55994</v>
      </c>
      <c r="EA71" s="58">
        <f t="shared" si="117"/>
        <v>8578</v>
      </c>
      <c r="EB71" s="58">
        <f t="shared" si="118"/>
        <v>11158</v>
      </c>
      <c r="EC71" s="58">
        <f t="shared" si="119"/>
        <v>13955</v>
      </c>
      <c r="ED71" s="58">
        <f t="shared" si="120"/>
        <v>18149</v>
      </c>
      <c r="EE71" s="58">
        <f t="shared" si="121"/>
        <v>37760</v>
      </c>
      <c r="EF71" s="58">
        <f t="shared" si="122"/>
        <v>45945</v>
      </c>
      <c r="EG71" s="58">
        <f t="shared" si="123"/>
        <v>17732.409303526412</v>
      </c>
      <c r="EH71" s="58">
        <f t="shared" si="124"/>
        <v>11017.976971290718</v>
      </c>
      <c r="EI71" s="58">
        <f t="shared" si="125"/>
        <v>20192</v>
      </c>
      <c r="EJ71" s="58">
        <f t="shared" si="198"/>
        <v>46370</v>
      </c>
      <c r="EK71" s="58">
        <f t="shared" si="199"/>
        <v>67086</v>
      </c>
      <c r="EL71" s="58">
        <f t="shared" ref="EL71:EL102" si="296">EL70+AP71</f>
        <v>51731</v>
      </c>
      <c r="EM71" s="58">
        <f t="shared" ref="EM71:EM102" si="297">EM70+AQ71</f>
        <v>36449</v>
      </c>
      <c r="EN71" s="58">
        <f t="shared" ref="EN71:EN102" si="298">EN70+AR71</f>
        <v>52054</v>
      </c>
      <c r="EO71" s="58">
        <f t="shared" ref="EO71:EO102" si="299">EO70+AS71</f>
        <v>80890</v>
      </c>
      <c r="EP71" s="58">
        <f t="shared" ref="EP71:EP102" si="300">EP70+AT71</f>
        <v>140301</v>
      </c>
      <c r="EQ71" s="58">
        <f t="shared" ref="EQ71:EQ102" si="301">EQ70+AU71</f>
        <v>205196</v>
      </c>
      <c r="ER71" s="67">
        <f t="shared" si="266"/>
        <v>71128.697697129071</v>
      </c>
      <c r="ES71" s="67">
        <f t="shared" si="267"/>
        <v>38351.191065599174</v>
      </c>
      <c r="EV71" s="42">
        <v>230</v>
      </c>
      <c r="EW71" s="128">
        <f t="shared" si="238"/>
        <v>0.96024584804498492</v>
      </c>
      <c r="EX71" s="128">
        <f t="shared" si="239"/>
        <v>0.97023187800292454</v>
      </c>
      <c r="EY71" s="128">
        <f t="shared" si="240"/>
        <v>0.97726974690737423</v>
      </c>
      <c r="EZ71" s="128">
        <f t="shared" si="241"/>
        <v>0.98604651162790702</v>
      </c>
      <c r="FA71" s="128">
        <f t="shared" si="242"/>
        <v>0.96079207920792076</v>
      </c>
      <c r="FB71" s="128">
        <f t="shared" si="243"/>
        <v>0.91405030355594097</v>
      </c>
      <c r="FC71" s="128">
        <f t="shared" si="244"/>
        <v>0.81094760521136</v>
      </c>
      <c r="FD71" s="128">
        <f t="shared" si="245"/>
        <v>0.91905672402804339</v>
      </c>
      <c r="FE71" s="128">
        <f t="shared" si="246"/>
        <v>0.96173979984603541</v>
      </c>
      <c r="FF71" s="128">
        <f t="shared" si="247"/>
        <v>0.65572033898305082</v>
      </c>
      <c r="FG71" s="128">
        <f t="shared" si="248"/>
        <v>0.97736230771913912</v>
      </c>
      <c r="FH71" s="128">
        <f t="shared" si="249"/>
        <v>0.92611387674614232</v>
      </c>
      <c r="FI71" s="128">
        <f t="shared" si="250"/>
        <v>0.8670485579164724</v>
      </c>
      <c r="FJ71" s="128">
        <f t="shared" si="251"/>
        <v>0.82220701788681461</v>
      </c>
      <c r="FK71" s="128">
        <f t="shared" si="252"/>
        <v>0.91799894766665313</v>
      </c>
      <c r="FL71" s="128">
        <f t="shared" si="253"/>
        <v>0.88091595267237865</v>
      </c>
      <c r="FM71" s="128">
        <f t="shared" si="254"/>
        <v>0.8939092822071546</v>
      </c>
      <c r="FN71" s="128">
        <f t="shared" si="255"/>
        <v>0.89393858477970622</v>
      </c>
      <c r="FO71" s="128">
        <f t="shared" si="256"/>
        <v>0.80730259181569308</v>
      </c>
      <c r="FP71" s="128"/>
      <c r="FQ71" s="128">
        <f t="shared" si="268"/>
        <v>0.85524369660164612</v>
      </c>
      <c r="FR71" s="128">
        <f t="shared" si="269"/>
        <v>0.90468113975576658</v>
      </c>
      <c r="FS71" s="128">
        <f t="shared" si="270"/>
        <v>0.83611035236274245</v>
      </c>
      <c r="FT71" s="128">
        <f t="shared" si="271"/>
        <v>0.9339169690069693</v>
      </c>
      <c r="FU71" s="128">
        <f t="shared" si="272"/>
        <v>0.83181837701656192</v>
      </c>
      <c r="FV71" s="128">
        <f t="shared" si="273"/>
        <v>0.87628651896844867</v>
      </c>
      <c r="FW71" s="128">
        <f t="shared" si="274"/>
        <v>0.74680377139718668</v>
      </c>
      <c r="FX71" s="128">
        <f t="shared" si="275"/>
        <v>0.85231579051520279</v>
      </c>
      <c r="FY71" s="128">
        <f t="shared" si="276"/>
        <v>0.83938957846135398</v>
      </c>
      <c r="FZ71" s="128">
        <f t="shared" si="277"/>
        <v>0.85600239497056185</v>
      </c>
      <c r="GA71" s="128">
        <f t="shared" si="278"/>
        <v>0.89242581780372709</v>
      </c>
      <c r="GB71" s="128">
        <f t="shared" si="279"/>
        <v>0.81943628890193776</v>
      </c>
      <c r="GC71" s="128">
        <f t="shared" si="280"/>
        <v>0.80557653805216201</v>
      </c>
      <c r="GD71" s="128">
        <f t="shared" si="281"/>
        <v>0.93762415574096147</v>
      </c>
      <c r="GE71" s="128">
        <f t="shared" si="282"/>
        <v>0.95016027298107741</v>
      </c>
      <c r="GF71" s="128">
        <f t="shared" si="283"/>
        <v>0.91003524880112485</v>
      </c>
      <c r="GG71" s="128">
        <f t="shared" si="284"/>
        <v>0.81377117250421094</v>
      </c>
      <c r="GH71" s="128">
        <f t="shared" si="285"/>
        <v>0.89531326209373474</v>
      </c>
      <c r="GI71" s="128">
        <f t="shared" si="286"/>
        <v>0.83704893766810473</v>
      </c>
      <c r="GJ71" s="128">
        <f t="shared" si="287"/>
        <v>0.92648703890400363</v>
      </c>
      <c r="GK71" s="128">
        <f t="shared" si="288"/>
        <v>0.87522417351876292</v>
      </c>
      <c r="GL71" s="128">
        <f t="shared" si="289"/>
        <v>0.88277749521664362</v>
      </c>
      <c r="GM71" s="128">
        <f t="shared" si="290"/>
        <v>0.86750883274448365</v>
      </c>
      <c r="GN71" s="128">
        <f t="shared" si="291"/>
        <v>0.94293874220434803</v>
      </c>
      <c r="GO71" s="128">
        <f t="shared" si="292"/>
        <v>0.91457309362084926</v>
      </c>
      <c r="GP71" s="128">
        <f t="shared" si="293"/>
        <v>0.97571599073717441</v>
      </c>
      <c r="GQ71" s="129">
        <f t="shared" si="294"/>
        <v>0.89313587392123162</v>
      </c>
      <c r="GR71" s="129">
        <f t="shared" si="295"/>
        <v>0.8777631614827377</v>
      </c>
    </row>
    <row r="72" spans="1:200" x14ac:dyDescent="0.25">
      <c r="A72" s="42">
        <v>231</v>
      </c>
      <c r="B72" s="81">
        <v>125</v>
      </c>
      <c r="C72" s="81">
        <v>47</v>
      </c>
      <c r="D72" s="81">
        <v>102</v>
      </c>
      <c r="E72" s="81">
        <v>2</v>
      </c>
      <c r="F72" s="81">
        <v>8</v>
      </c>
      <c r="G72" s="81">
        <v>28</v>
      </c>
      <c r="H72" s="81">
        <v>169</v>
      </c>
      <c r="I72" s="81">
        <v>93</v>
      </c>
      <c r="J72" s="81">
        <v>318</v>
      </c>
      <c r="K72" s="81">
        <v>116</v>
      </c>
      <c r="L72" s="81">
        <v>593</v>
      </c>
      <c r="M72" s="81">
        <v>569</v>
      </c>
      <c r="N72" s="81">
        <v>652</v>
      </c>
      <c r="O72" s="81">
        <v>569</v>
      </c>
      <c r="P72" s="81">
        <v>63</v>
      </c>
      <c r="Q72" s="81">
        <v>831</v>
      </c>
      <c r="R72" s="81">
        <v>366</v>
      </c>
      <c r="S72" s="81">
        <v>46</v>
      </c>
      <c r="T72" s="81">
        <v>679</v>
      </c>
      <c r="V72" s="81">
        <v>1269</v>
      </c>
      <c r="W72" s="81">
        <v>23</v>
      </c>
      <c r="X72" s="81">
        <v>2</v>
      </c>
      <c r="Y72" s="81">
        <v>144</v>
      </c>
      <c r="Z72" s="81">
        <v>2848</v>
      </c>
      <c r="AA72" s="81">
        <v>686</v>
      </c>
      <c r="AB72" s="81">
        <v>1667</v>
      </c>
      <c r="AC72" s="81">
        <v>1488</v>
      </c>
      <c r="AD72" s="81">
        <v>530</v>
      </c>
      <c r="AE72" s="81">
        <v>151</v>
      </c>
      <c r="AF72" s="84">
        <v>10</v>
      </c>
      <c r="AG72" s="84">
        <v>391</v>
      </c>
      <c r="AH72" s="84">
        <v>1173</v>
      </c>
      <c r="AI72" s="83">
        <v>327</v>
      </c>
      <c r="AJ72" s="83">
        <v>219</v>
      </c>
      <c r="AK72" s="83">
        <v>112</v>
      </c>
      <c r="AL72" s="81">
        <v>236</v>
      </c>
      <c r="AM72" s="86">
        <v>132</v>
      </c>
      <c r="AN72" s="86">
        <v>610</v>
      </c>
      <c r="AO72" s="86">
        <v>816</v>
      </c>
      <c r="AP72" s="126">
        <v>1797</v>
      </c>
      <c r="AQ72" s="126">
        <v>131</v>
      </c>
      <c r="AR72" s="126">
        <v>550</v>
      </c>
      <c r="AS72" s="126">
        <v>469</v>
      </c>
      <c r="AT72" s="126">
        <v>1747</v>
      </c>
      <c r="AU72" s="126">
        <v>132</v>
      </c>
      <c r="AV72" s="71">
        <f t="shared" si="113"/>
        <v>662</v>
      </c>
      <c r="AW72" s="71">
        <f t="shared" si="257"/>
        <v>71812.190951097306</v>
      </c>
      <c r="AY72" s="42">
        <v>231</v>
      </c>
      <c r="AZ72" s="48">
        <f t="shared" si="154"/>
        <v>5.4487598622553505E-3</v>
      </c>
      <c r="BA72" s="48">
        <f t="shared" si="200"/>
        <v>2.4545644453728851E-3</v>
      </c>
      <c r="BB72" s="48">
        <f t="shared" si="201"/>
        <v>4.4586265681689037E-3</v>
      </c>
      <c r="BC72" s="48">
        <f t="shared" si="202"/>
        <v>4.6511627906976744E-3</v>
      </c>
      <c r="BD72" s="48">
        <f t="shared" si="203"/>
        <v>3.1683168316831685E-3</v>
      </c>
      <c r="BE72" s="48">
        <f t="shared" si="204"/>
        <v>2.4284475281873374E-3</v>
      </c>
      <c r="BF72" s="48">
        <f t="shared" si="205"/>
        <v>1.5840284937669886E-2</v>
      </c>
      <c r="BG72" s="48">
        <f t="shared" si="206"/>
        <v>9.878903760356916E-3</v>
      </c>
      <c r="BH72" s="48">
        <f t="shared" si="207"/>
        <v>2.4480369515011546E-2</v>
      </c>
      <c r="BI72" s="48">
        <f t="shared" si="208"/>
        <v>6.1440677966101698E-2</v>
      </c>
      <c r="BJ72" s="48">
        <f t="shared" si="209"/>
        <v>2.0684362900694128E-2</v>
      </c>
      <c r="BK72" s="48">
        <f t="shared" si="210"/>
        <v>7.8464360081084428E-3</v>
      </c>
      <c r="BL72" s="48">
        <f t="shared" si="211"/>
        <v>1.4476342725193721E-2</v>
      </c>
      <c r="BM72" s="48">
        <f t="shared" si="212"/>
        <v>5.561528687322842E-2</v>
      </c>
      <c r="BN72" s="48">
        <f t="shared" si="213"/>
        <v>2.5498846480754441E-3</v>
      </c>
      <c r="BO72" s="48">
        <f t="shared" si="214"/>
        <v>2.1190330477356183E-2</v>
      </c>
      <c r="BP72" s="48">
        <f t="shared" si="215"/>
        <v>1.0696750058452185E-2</v>
      </c>
      <c r="BQ72" s="48">
        <f t="shared" si="216"/>
        <v>2.4566088117489986E-3</v>
      </c>
      <c r="BR72" s="48">
        <f t="shared" si="217"/>
        <v>2.414050556404878E-2</v>
      </c>
      <c r="BS72" s="48"/>
      <c r="BT72" s="48">
        <f t="shared" si="218"/>
        <v>2.2081470009918391E-2</v>
      </c>
      <c r="BU72" s="48">
        <f t="shared" si="219"/>
        <v>7.8018995929443691E-3</v>
      </c>
      <c r="BV72" s="48">
        <f t="shared" si="220"/>
        <v>5.4629882545752522E-4</v>
      </c>
      <c r="BW72" s="48">
        <f t="shared" si="221"/>
        <v>6.0189477944316422E-3</v>
      </c>
      <c r="BX72" s="48">
        <f t="shared" si="222"/>
        <v>4.0767832348015287E-2</v>
      </c>
      <c r="BY72" s="48">
        <f t="shared" si="223"/>
        <v>8.9034250931225578E-3</v>
      </c>
      <c r="BZ72" s="48">
        <f t="shared" si="224"/>
        <v>2.5432520672504805E-2</v>
      </c>
      <c r="CA72" s="48">
        <f t="shared" si="225"/>
        <v>1.4722906586719701E-2</v>
      </c>
      <c r="CB72" s="48">
        <f t="shared" si="226"/>
        <v>7.9450740540864661E-3</v>
      </c>
      <c r="CC72" s="48">
        <f t="shared" si="227"/>
        <v>1.506835645145195E-2</v>
      </c>
      <c r="CD72" s="48">
        <f t="shared" si="228"/>
        <v>7.9980804606894342E-4</v>
      </c>
      <c r="CE72" s="48">
        <f t="shared" si="229"/>
        <v>2.2959483264826778E-2</v>
      </c>
      <c r="CF72" s="48">
        <f t="shared" si="230"/>
        <v>5.2065749029433353E-2</v>
      </c>
      <c r="CG72" s="48">
        <f t="shared" si="231"/>
        <v>8.1197854588796192E-3</v>
      </c>
      <c r="CH72" s="48">
        <f t="shared" si="232"/>
        <v>4.529004239478854E-3</v>
      </c>
      <c r="CI72" s="48">
        <f t="shared" si="233"/>
        <v>5.7478905500707427E-3</v>
      </c>
      <c r="CJ72" s="48">
        <f t="shared" si="234"/>
        <v>1.743060429436492E-2</v>
      </c>
      <c r="CK72" s="48">
        <f t="shared" si="235"/>
        <v>5.8528798829424024E-3</v>
      </c>
      <c r="CL72" s="48">
        <f t="shared" si="236"/>
        <v>1.1011426611549363E-2</v>
      </c>
      <c r="CM72" s="48">
        <f t="shared" si="237"/>
        <v>1.126931735005317E-2</v>
      </c>
      <c r="CN72" s="48">
        <f t="shared" si="258"/>
        <v>3.0403004771089228E-2</v>
      </c>
      <c r="CO72" s="48">
        <f t="shared" si="259"/>
        <v>3.1727578774007606E-3</v>
      </c>
      <c r="CP72" s="48">
        <f t="shared" si="260"/>
        <v>9.1660555962935798E-3</v>
      </c>
      <c r="CQ72" s="48">
        <f t="shared" si="261"/>
        <v>5.4671562627498982E-3</v>
      </c>
      <c r="CR72" s="48">
        <f t="shared" si="262"/>
        <v>1.1388081300601019E-2</v>
      </c>
      <c r="CS72" s="48">
        <f t="shared" si="263"/>
        <v>6.2766579649363061E-4</v>
      </c>
      <c r="CT72" s="68">
        <f t="shared" si="264"/>
        <v>0.90371476889558533</v>
      </c>
      <c r="CU72" s="68">
        <f t="shared" si="265"/>
        <v>0.89303615929656355</v>
      </c>
      <c r="CW72" s="42">
        <v>231</v>
      </c>
      <c r="CX72" s="58">
        <f t="shared" si="128"/>
        <v>22154</v>
      </c>
      <c r="CY72" s="58">
        <f t="shared" si="129"/>
        <v>18625</v>
      </c>
      <c r="CZ72" s="58">
        <f t="shared" si="130"/>
        <v>22459</v>
      </c>
      <c r="DA72" s="58">
        <f t="shared" si="131"/>
        <v>426</v>
      </c>
      <c r="DB72" s="58">
        <f t="shared" si="132"/>
        <v>2434</v>
      </c>
      <c r="DC72" s="58">
        <f t="shared" si="133"/>
        <v>10567</v>
      </c>
      <c r="DD72" s="58">
        <f t="shared" si="134"/>
        <v>8821</v>
      </c>
      <c r="DE72" s="58">
        <f t="shared" si="135"/>
        <v>8745</v>
      </c>
      <c r="DF72" s="58">
        <f t="shared" si="136"/>
        <v>12811</v>
      </c>
      <c r="DG72" s="58">
        <f t="shared" si="137"/>
        <v>1354</v>
      </c>
      <c r="DH72" s="58">
        <f t="shared" si="138"/>
        <v>28613</v>
      </c>
      <c r="DI72" s="58">
        <f t="shared" si="139"/>
        <v>67728</v>
      </c>
      <c r="DJ72" s="58">
        <f t="shared" si="140"/>
        <v>39703</v>
      </c>
      <c r="DK72" s="58">
        <f t="shared" si="141"/>
        <v>8981</v>
      </c>
      <c r="DL72" s="58">
        <f t="shared" si="142"/>
        <v>22744</v>
      </c>
      <c r="DM72" s="58">
        <f t="shared" si="143"/>
        <v>35377</v>
      </c>
      <c r="DN72" s="58">
        <f t="shared" si="144"/>
        <v>30952</v>
      </c>
      <c r="DO72" s="58">
        <f t="shared" si="145"/>
        <v>16785</v>
      </c>
      <c r="DP72" s="58">
        <f t="shared" si="146"/>
        <v>23386</v>
      </c>
      <c r="DQ72" s="58"/>
      <c r="DR72" s="58">
        <f t="shared" si="147"/>
        <v>50419</v>
      </c>
      <c r="DS72" s="58">
        <f t="shared" si="148"/>
        <v>2690</v>
      </c>
      <c r="DT72" s="58">
        <f t="shared" si="149"/>
        <v>3063</v>
      </c>
      <c r="DU72" s="58">
        <f t="shared" si="150"/>
        <v>22487.447414749116</v>
      </c>
      <c r="DV72" s="58">
        <f t="shared" si="151"/>
        <v>60958</v>
      </c>
      <c r="DW72" s="58">
        <f t="shared" si="152"/>
        <v>68203</v>
      </c>
      <c r="DX72" s="58">
        <f t="shared" si="153"/>
        <v>50617</v>
      </c>
      <c r="DY72" s="58">
        <f t="shared" si="115"/>
        <v>87629</v>
      </c>
      <c r="DZ72" s="58">
        <f t="shared" si="116"/>
        <v>56524</v>
      </c>
      <c r="EA72" s="58">
        <f t="shared" si="117"/>
        <v>8729</v>
      </c>
      <c r="EB72" s="58">
        <f t="shared" si="118"/>
        <v>11168</v>
      </c>
      <c r="EC72" s="58">
        <f t="shared" si="119"/>
        <v>14346</v>
      </c>
      <c r="ED72" s="58">
        <f t="shared" si="120"/>
        <v>19322</v>
      </c>
      <c r="EE72" s="58">
        <f t="shared" si="121"/>
        <v>38087</v>
      </c>
      <c r="EF72" s="58">
        <f t="shared" si="122"/>
        <v>46164</v>
      </c>
      <c r="EG72" s="58">
        <f t="shared" si="123"/>
        <v>17844.409303526412</v>
      </c>
      <c r="EH72" s="58">
        <f t="shared" si="124"/>
        <v>11253.976971290718</v>
      </c>
      <c r="EI72" s="58">
        <f t="shared" si="125"/>
        <v>20324</v>
      </c>
      <c r="EJ72" s="58">
        <f t="shared" si="198"/>
        <v>46980</v>
      </c>
      <c r="EK72" s="58">
        <f t="shared" si="199"/>
        <v>67902</v>
      </c>
      <c r="EL72" s="58">
        <f t="shared" si="296"/>
        <v>53528</v>
      </c>
      <c r="EM72" s="58">
        <f t="shared" si="297"/>
        <v>36580</v>
      </c>
      <c r="EN72" s="58">
        <f t="shared" si="298"/>
        <v>52604</v>
      </c>
      <c r="EO72" s="58">
        <f t="shared" si="299"/>
        <v>81359</v>
      </c>
      <c r="EP72" s="58">
        <f t="shared" si="300"/>
        <v>142048</v>
      </c>
      <c r="EQ72" s="58">
        <f t="shared" si="301"/>
        <v>205328</v>
      </c>
      <c r="ER72" s="67">
        <f t="shared" si="266"/>
        <v>71790.697697129071</v>
      </c>
      <c r="ES72" s="67">
        <f t="shared" si="267"/>
        <v>38906.313016818691</v>
      </c>
      <c r="EV72" s="42">
        <v>231</v>
      </c>
      <c r="EW72" s="128">
        <f t="shared" si="238"/>
        <v>0.96569460790724027</v>
      </c>
      <c r="EX72" s="128">
        <f t="shared" si="239"/>
        <v>0.97268644244829749</v>
      </c>
      <c r="EY72" s="128">
        <f t="shared" si="240"/>
        <v>0.98172837347554309</v>
      </c>
      <c r="EZ72" s="128">
        <f t="shared" si="241"/>
        <v>0.99069767441860468</v>
      </c>
      <c r="FA72" s="128">
        <f t="shared" si="242"/>
        <v>0.96396039603960393</v>
      </c>
      <c r="FB72" s="128">
        <f t="shared" si="243"/>
        <v>0.91647875108412835</v>
      </c>
      <c r="FC72" s="128">
        <f t="shared" si="244"/>
        <v>0.82678789014902987</v>
      </c>
      <c r="FD72" s="128">
        <f t="shared" si="245"/>
        <v>0.92893562778840022</v>
      </c>
      <c r="FE72" s="128">
        <f t="shared" si="246"/>
        <v>0.98622016936104695</v>
      </c>
      <c r="FF72" s="128">
        <f t="shared" si="247"/>
        <v>0.71716101694915257</v>
      </c>
      <c r="FG72" s="128">
        <f t="shared" si="248"/>
        <v>0.99804667061983332</v>
      </c>
      <c r="FH72" s="128">
        <f t="shared" si="249"/>
        <v>0.93396031275425073</v>
      </c>
      <c r="FI72" s="128">
        <f t="shared" si="250"/>
        <v>0.88152490064166611</v>
      </c>
      <c r="FJ72" s="128">
        <f t="shared" si="251"/>
        <v>0.87782230476004297</v>
      </c>
      <c r="FK72" s="128">
        <f t="shared" si="252"/>
        <v>0.92054883231472862</v>
      </c>
      <c r="FL72" s="128">
        <f t="shared" si="253"/>
        <v>0.90210628314973484</v>
      </c>
      <c r="FM72" s="128">
        <f t="shared" si="254"/>
        <v>0.90460603226560676</v>
      </c>
      <c r="FN72" s="128">
        <f t="shared" si="255"/>
        <v>0.89639519359145525</v>
      </c>
      <c r="FO72" s="128">
        <f t="shared" si="256"/>
        <v>0.83144309737974187</v>
      </c>
      <c r="FP72" s="128"/>
      <c r="FQ72" s="128">
        <f t="shared" si="268"/>
        <v>0.87732516661156446</v>
      </c>
      <c r="FR72" s="128">
        <f t="shared" si="269"/>
        <v>0.912483039348711</v>
      </c>
      <c r="FS72" s="128">
        <f t="shared" si="270"/>
        <v>0.83665665118819998</v>
      </c>
      <c r="FT72" s="128">
        <f t="shared" si="271"/>
        <v>0.93993591680140087</v>
      </c>
      <c r="FU72" s="128">
        <f t="shared" si="272"/>
        <v>0.8725862093645772</v>
      </c>
      <c r="FV72" s="128">
        <f t="shared" si="273"/>
        <v>0.88518994406157125</v>
      </c>
      <c r="FW72" s="128">
        <f t="shared" si="274"/>
        <v>0.77223629206969147</v>
      </c>
      <c r="FX72" s="128">
        <f t="shared" si="275"/>
        <v>0.8670386971019225</v>
      </c>
      <c r="FY72" s="128">
        <f t="shared" si="276"/>
        <v>0.84733465251544038</v>
      </c>
      <c r="FZ72" s="128">
        <f t="shared" si="277"/>
        <v>0.87107075142201373</v>
      </c>
      <c r="GA72" s="128">
        <f t="shared" si="278"/>
        <v>0.89322562584979603</v>
      </c>
      <c r="GB72" s="128">
        <f t="shared" si="279"/>
        <v>0.84239577216676453</v>
      </c>
      <c r="GC72" s="128">
        <f t="shared" si="280"/>
        <v>0.85764228708159529</v>
      </c>
      <c r="GD72" s="128">
        <f t="shared" si="281"/>
        <v>0.94574394119984106</v>
      </c>
      <c r="GE72" s="128">
        <f t="shared" si="282"/>
        <v>0.9546892772205563</v>
      </c>
      <c r="GF72" s="128">
        <f t="shared" si="283"/>
        <v>0.9157831393511956</v>
      </c>
      <c r="GG72" s="128">
        <f t="shared" si="284"/>
        <v>0.83120177679857588</v>
      </c>
      <c r="GH72" s="128">
        <f t="shared" si="285"/>
        <v>0.90116614197667722</v>
      </c>
      <c r="GI72" s="128">
        <f t="shared" si="286"/>
        <v>0.84806036427965414</v>
      </c>
      <c r="GJ72" s="128">
        <f t="shared" si="287"/>
        <v>0.93775635625405684</v>
      </c>
      <c r="GK72" s="128">
        <f t="shared" si="288"/>
        <v>0.90562717828985217</v>
      </c>
      <c r="GL72" s="128">
        <f t="shared" si="289"/>
        <v>0.8859502530940444</v>
      </c>
      <c r="GM72" s="128">
        <f t="shared" si="290"/>
        <v>0.87667488834077734</v>
      </c>
      <c r="GN72" s="128">
        <f t="shared" si="291"/>
        <v>0.948405898467098</v>
      </c>
      <c r="GO72" s="128">
        <f t="shared" si="292"/>
        <v>0.92596117492145025</v>
      </c>
      <c r="GP72" s="128">
        <f t="shared" si="293"/>
        <v>0.97634365653366806</v>
      </c>
      <c r="GQ72" s="129">
        <f t="shared" si="294"/>
        <v>0.90371476889558555</v>
      </c>
      <c r="GR72" s="129">
        <f t="shared" si="295"/>
        <v>0.89303615929656366</v>
      </c>
    </row>
    <row r="73" spans="1:200" x14ac:dyDescent="0.25">
      <c r="A73" s="42">
        <v>232</v>
      </c>
      <c r="B73" s="81">
        <v>146</v>
      </c>
      <c r="C73" s="81">
        <v>81</v>
      </c>
      <c r="D73" s="81">
        <v>54</v>
      </c>
      <c r="E73" s="81">
        <v>2</v>
      </c>
      <c r="F73" s="81">
        <v>6</v>
      </c>
      <c r="G73" s="81">
        <v>125</v>
      </c>
      <c r="H73" s="81">
        <v>451</v>
      </c>
      <c r="I73" s="81">
        <v>65</v>
      </c>
      <c r="J73" s="81">
        <v>132</v>
      </c>
      <c r="K73" s="81">
        <v>61</v>
      </c>
      <c r="L73" s="81">
        <v>56</v>
      </c>
      <c r="M73" s="81">
        <v>806</v>
      </c>
      <c r="N73" s="81">
        <v>274</v>
      </c>
      <c r="O73" s="81">
        <v>72</v>
      </c>
      <c r="P73" s="81">
        <v>147</v>
      </c>
      <c r="Q73" s="81">
        <v>314</v>
      </c>
      <c r="R73" s="81">
        <v>264</v>
      </c>
      <c r="S73" s="81">
        <v>46</v>
      </c>
      <c r="T73" s="81">
        <v>604</v>
      </c>
      <c r="V73" s="81">
        <v>601</v>
      </c>
      <c r="W73" s="81">
        <v>29</v>
      </c>
      <c r="X73" s="81">
        <v>47</v>
      </c>
      <c r="Y73" s="81">
        <v>94</v>
      </c>
      <c r="Z73" s="81">
        <v>960</v>
      </c>
      <c r="AA73" s="81">
        <v>411</v>
      </c>
      <c r="AB73" s="81">
        <v>767</v>
      </c>
      <c r="AC73" s="81">
        <v>614</v>
      </c>
      <c r="AD73" s="81">
        <v>1261</v>
      </c>
      <c r="AE73" s="81">
        <v>145</v>
      </c>
      <c r="AF73" s="84">
        <v>275</v>
      </c>
      <c r="AG73" s="84">
        <v>5</v>
      </c>
      <c r="AH73" s="84">
        <v>834</v>
      </c>
      <c r="AI73" s="83">
        <v>104</v>
      </c>
      <c r="AJ73" s="83">
        <v>263</v>
      </c>
      <c r="AK73" s="83">
        <v>13</v>
      </c>
      <c r="AL73" s="81">
        <v>297</v>
      </c>
      <c r="AM73" s="86">
        <v>100</v>
      </c>
      <c r="AN73" s="86">
        <v>1232</v>
      </c>
      <c r="AO73" s="86">
        <v>304</v>
      </c>
      <c r="AP73" s="126">
        <v>15</v>
      </c>
      <c r="AQ73" s="126">
        <v>499</v>
      </c>
      <c r="AR73" s="126">
        <v>591</v>
      </c>
      <c r="AS73" s="126">
        <v>190</v>
      </c>
      <c r="AT73" s="126">
        <v>635</v>
      </c>
      <c r="AU73" s="126">
        <v>1087</v>
      </c>
      <c r="AV73" s="71">
        <f t="shared" ref="AV73:AV94" si="302">AVERAGE(AL73:AU73)</f>
        <v>495</v>
      </c>
      <c r="AW73" s="71">
        <f t="shared" si="257"/>
        <v>72307.190951097306</v>
      </c>
      <c r="AY73" s="42">
        <v>232</v>
      </c>
      <c r="AZ73" s="48">
        <f t="shared" si="154"/>
        <v>6.3641515191142492E-3</v>
      </c>
      <c r="BA73" s="48">
        <f t="shared" si="200"/>
        <v>4.2302068101107166E-3</v>
      </c>
      <c r="BB73" s="48">
        <f t="shared" si="201"/>
        <v>2.3604493596188309E-3</v>
      </c>
      <c r="BC73" s="48">
        <f t="shared" si="202"/>
        <v>4.6511627906976744E-3</v>
      </c>
      <c r="BD73" s="48">
        <f t="shared" si="203"/>
        <v>2.3762376237623762E-3</v>
      </c>
      <c r="BE73" s="48">
        <f t="shared" si="204"/>
        <v>1.0841283607979185E-2</v>
      </c>
      <c r="BF73" s="48">
        <f t="shared" si="205"/>
        <v>4.2272002999343895E-2</v>
      </c>
      <c r="BG73" s="48">
        <f t="shared" si="206"/>
        <v>6.9046101550881665E-3</v>
      </c>
      <c r="BH73" s="48">
        <f t="shared" si="207"/>
        <v>1.0161662817551964E-2</v>
      </c>
      <c r="BI73" s="48">
        <f t="shared" si="208"/>
        <v>3.2309322033898302E-2</v>
      </c>
      <c r="BJ73" s="48">
        <f t="shared" si="209"/>
        <v>1.9533293801667307E-3</v>
      </c>
      <c r="BK73" s="48">
        <f t="shared" si="210"/>
        <v>1.1114635188990168E-2</v>
      </c>
      <c r="BL73" s="48">
        <f t="shared" si="211"/>
        <v>6.0836164213237415E-3</v>
      </c>
      <c r="BM73" s="48">
        <f t="shared" si="212"/>
        <v>7.0374352458215227E-3</v>
      </c>
      <c r="BN73" s="48">
        <f t="shared" si="213"/>
        <v>5.9497308455093694E-3</v>
      </c>
      <c r="BO73" s="48">
        <f t="shared" si="214"/>
        <v>8.0069359445124437E-3</v>
      </c>
      <c r="BP73" s="48">
        <f t="shared" si="215"/>
        <v>7.7156885667523968E-3</v>
      </c>
      <c r="BQ73" s="48">
        <f t="shared" si="216"/>
        <v>2.4566088117489986E-3</v>
      </c>
      <c r="BR73" s="48">
        <f t="shared" si="217"/>
        <v>2.1474028513527928E-2</v>
      </c>
      <c r="BS73" s="48"/>
      <c r="BT73" s="48">
        <f t="shared" si="218"/>
        <v>1.0457812037794289E-2</v>
      </c>
      <c r="BU73" s="48">
        <f t="shared" si="219"/>
        <v>9.8371777476255091E-3</v>
      </c>
      <c r="BV73" s="48">
        <f t="shared" si="220"/>
        <v>1.2838022398251844E-2</v>
      </c>
      <c r="BW73" s="48">
        <f t="shared" si="221"/>
        <v>3.9290353658095441E-3</v>
      </c>
      <c r="BX73" s="48">
        <f t="shared" si="222"/>
        <v>1.3741965960005154E-2</v>
      </c>
      <c r="BY73" s="48">
        <f t="shared" si="223"/>
        <v>5.3342678036054974E-3</v>
      </c>
      <c r="BZ73" s="48">
        <f t="shared" si="224"/>
        <v>1.1701705672352241E-2</v>
      </c>
      <c r="CA73" s="48">
        <f t="shared" si="225"/>
        <v>6.0751778523157902E-3</v>
      </c>
      <c r="CB73" s="48">
        <f t="shared" si="226"/>
        <v>1.890327996642082E-2</v>
      </c>
      <c r="CC73" s="48">
        <f t="shared" si="227"/>
        <v>1.4469613810996906E-2</v>
      </c>
      <c r="CD73" s="48">
        <f t="shared" si="228"/>
        <v>2.1994721266895945E-2</v>
      </c>
      <c r="CE73" s="48">
        <f t="shared" si="229"/>
        <v>2.9359953024075161E-4</v>
      </c>
      <c r="CF73" s="48">
        <f t="shared" si="230"/>
        <v>3.7018614399443664E-2</v>
      </c>
      <c r="CG73" s="48">
        <f t="shared" si="231"/>
        <v>2.5824394119984108E-3</v>
      </c>
      <c r="CH73" s="48">
        <f t="shared" si="232"/>
        <v>5.438941164305656E-3</v>
      </c>
      <c r="CI73" s="48">
        <f t="shared" si="233"/>
        <v>6.6716586741892548E-4</v>
      </c>
      <c r="CJ73" s="48">
        <f t="shared" si="234"/>
        <v>2.1935972353501615E-2</v>
      </c>
      <c r="CK73" s="48">
        <f t="shared" si="235"/>
        <v>4.4339999113200022E-3</v>
      </c>
      <c r="CL73" s="48">
        <f t="shared" si="236"/>
        <v>2.2239471451522646E-2</v>
      </c>
      <c r="CM73" s="48">
        <f t="shared" si="237"/>
        <v>4.1983731304119651E-3</v>
      </c>
      <c r="CN73" s="48">
        <f t="shared" si="258"/>
        <v>2.5378134199573649E-4</v>
      </c>
      <c r="CO73" s="48">
        <f t="shared" si="259"/>
        <v>1.2085543365060913E-2</v>
      </c>
      <c r="CP73" s="48">
        <f t="shared" si="260"/>
        <v>9.8493433771081936E-3</v>
      </c>
      <c r="CQ73" s="48">
        <f t="shared" si="261"/>
        <v>2.2148394241417496E-3</v>
      </c>
      <c r="CR73" s="48">
        <f t="shared" si="262"/>
        <v>4.139342659348396E-3</v>
      </c>
      <c r="CS73" s="48">
        <f t="shared" si="263"/>
        <v>5.1687327332467919E-3</v>
      </c>
      <c r="CT73" s="68">
        <f t="shared" si="264"/>
        <v>0.9123667088703511</v>
      </c>
      <c r="CU73" s="68">
        <f t="shared" si="265"/>
        <v>0.90373030730044446</v>
      </c>
      <c r="CW73" s="42">
        <v>232</v>
      </c>
      <c r="CX73" s="58">
        <f t="shared" si="128"/>
        <v>22300</v>
      </c>
      <c r="CY73" s="58">
        <f t="shared" si="129"/>
        <v>18706</v>
      </c>
      <c r="CZ73" s="58">
        <f t="shared" si="130"/>
        <v>22513</v>
      </c>
      <c r="DA73" s="58">
        <f t="shared" si="131"/>
        <v>428</v>
      </c>
      <c r="DB73" s="58">
        <f t="shared" si="132"/>
        <v>2440</v>
      </c>
      <c r="DC73" s="58">
        <f t="shared" si="133"/>
        <v>10692</v>
      </c>
      <c r="DD73" s="58">
        <f t="shared" si="134"/>
        <v>9272</v>
      </c>
      <c r="DE73" s="58">
        <f t="shared" si="135"/>
        <v>8810</v>
      </c>
      <c r="DF73" s="58">
        <f t="shared" si="136"/>
        <v>12943</v>
      </c>
      <c r="DG73" s="58">
        <f t="shared" si="137"/>
        <v>1415</v>
      </c>
      <c r="DH73" s="58">
        <f t="shared" si="138"/>
        <v>28669</v>
      </c>
      <c r="DI73" s="58">
        <f t="shared" si="139"/>
        <v>68534</v>
      </c>
      <c r="DJ73" s="58">
        <f t="shared" si="140"/>
        <v>39977</v>
      </c>
      <c r="DK73" s="58">
        <f t="shared" si="141"/>
        <v>9053</v>
      </c>
      <c r="DL73" s="58">
        <f t="shared" si="142"/>
        <v>22891</v>
      </c>
      <c r="DM73" s="58">
        <f t="shared" si="143"/>
        <v>35691</v>
      </c>
      <c r="DN73" s="58">
        <f t="shared" si="144"/>
        <v>31216</v>
      </c>
      <c r="DO73" s="58">
        <f t="shared" si="145"/>
        <v>16831</v>
      </c>
      <c r="DP73" s="58">
        <f t="shared" si="146"/>
        <v>23990</v>
      </c>
      <c r="DQ73" s="58"/>
      <c r="DR73" s="58">
        <f t="shared" si="147"/>
        <v>51020</v>
      </c>
      <c r="DS73" s="58">
        <f t="shared" si="148"/>
        <v>2719</v>
      </c>
      <c r="DT73" s="58">
        <f t="shared" si="149"/>
        <v>3110</v>
      </c>
      <c r="DU73" s="58">
        <f t="shared" si="150"/>
        <v>22581.447414749116</v>
      </c>
      <c r="DV73" s="58">
        <f t="shared" si="151"/>
        <v>61918</v>
      </c>
      <c r="DW73" s="58">
        <f t="shared" si="152"/>
        <v>68614</v>
      </c>
      <c r="DX73" s="58">
        <f t="shared" si="153"/>
        <v>51384</v>
      </c>
      <c r="DY73" s="58">
        <f t="shared" si="115"/>
        <v>88243</v>
      </c>
      <c r="DZ73" s="58">
        <f t="shared" si="116"/>
        <v>57785</v>
      </c>
      <c r="EA73" s="58">
        <f t="shared" si="117"/>
        <v>8874</v>
      </c>
      <c r="EB73" s="58">
        <f t="shared" si="118"/>
        <v>11443</v>
      </c>
      <c r="EC73" s="58">
        <f t="shared" si="119"/>
        <v>14351</v>
      </c>
      <c r="ED73" s="58">
        <f t="shared" si="120"/>
        <v>20156</v>
      </c>
      <c r="EE73" s="58">
        <f t="shared" si="121"/>
        <v>38191</v>
      </c>
      <c r="EF73" s="58">
        <f t="shared" si="122"/>
        <v>46427</v>
      </c>
      <c r="EG73" s="58">
        <f t="shared" si="123"/>
        <v>17857.409303526412</v>
      </c>
      <c r="EH73" s="58">
        <f t="shared" si="124"/>
        <v>11550.976971290718</v>
      </c>
      <c r="EI73" s="58">
        <f t="shared" si="125"/>
        <v>20424</v>
      </c>
      <c r="EJ73" s="58">
        <f t="shared" si="198"/>
        <v>48212</v>
      </c>
      <c r="EK73" s="58">
        <f t="shared" si="199"/>
        <v>68206</v>
      </c>
      <c r="EL73" s="58">
        <f t="shared" si="296"/>
        <v>53543</v>
      </c>
      <c r="EM73" s="58">
        <f t="shared" si="297"/>
        <v>37079</v>
      </c>
      <c r="EN73" s="58">
        <f t="shared" si="298"/>
        <v>53195</v>
      </c>
      <c r="EO73" s="58">
        <f t="shared" si="299"/>
        <v>81549</v>
      </c>
      <c r="EP73" s="58">
        <f t="shared" si="300"/>
        <v>142683</v>
      </c>
      <c r="EQ73" s="58">
        <f t="shared" si="301"/>
        <v>206415</v>
      </c>
      <c r="ER73" s="67">
        <f t="shared" si="266"/>
        <v>72285.697697129071</v>
      </c>
      <c r="ES73" s="67">
        <f t="shared" si="267"/>
        <v>39267.191065599174</v>
      </c>
      <c r="EV73" s="42">
        <v>232</v>
      </c>
      <c r="EW73" s="128">
        <f t="shared" si="238"/>
        <v>0.97205875942635456</v>
      </c>
      <c r="EX73" s="128">
        <f t="shared" si="239"/>
        <v>0.97691664925840815</v>
      </c>
      <c r="EY73" s="128">
        <f t="shared" si="240"/>
        <v>0.98408882283516197</v>
      </c>
      <c r="EZ73" s="128">
        <f t="shared" si="241"/>
        <v>0.99534883720930234</v>
      </c>
      <c r="FA73" s="128">
        <f t="shared" si="242"/>
        <v>0.96633663366336631</v>
      </c>
      <c r="FB73" s="128">
        <f t="shared" si="243"/>
        <v>0.92732003469210755</v>
      </c>
      <c r="FC73" s="128">
        <f t="shared" si="244"/>
        <v>0.86905989314837384</v>
      </c>
      <c r="FD73" s="128">
        <f t="shared" si="245"/>
        <v>0.93584023794348847</v>
      </c>
      <c r="FE73" s="128">
        <f t="shared" si="246"/>
        <v>0.99638183217859888</v>
      </c>
      <c r="FF73" s="128">
        <f t="shared" si="247"/>
        <v>0.74947033898305082</v>
      </c>
      <c r="FG73" s="128">
        <f t="shared" si="248"/>
        <v>1</v>
      </c>
      <c r="FH73" s="128">
        <f t="shared" si="249"/>
        <v>0.94507494794324087</v>
      </c>
      <c r="FI73" s="128">
        <f t="shared" si="250"/>
        <v>0.88760851706298982</v>
      </c>
      <c r="FJ73" s="128">
        <f t="shared" si="251"/>
        <v>0.88485974000586454</v>
      </c>
      <c r="FK73" s="128">
        <f t="shared" si="252"/>
        <v>0.92649856316023804</v>
      </c>
      <c r="FL73" s="128">
        <f t="shared" si="253"/>
        <v>0.91011321909424725</v>
      </c>
      <c r="FM73" s="128">
        <f t="shared" si="254"/>
        <v>0.91232172083235918</v>
      </c>
      <c r="FN73" s="128">
        <f t="shared" si="255"/>
        <v>0.89885180240320428</v>
      </c>
      <c r="FO73" s="128">
        <f t="shared" si="256"/>
        <v>0.85291712589326985</v>
      </c>
      <c r="FP73" s="128"/>
      <c r="FQ73" s="128">
        <f t="shared" si="268"/>
        <v>0.88778297864935873</v>
      </c>
      <c r="FR73" s="128">
        <f t="shared" si="269"/>
        <v>0.92232021709633649</v>
      </c>
      <c r="FS73" s="128">
        <f t="shared" si="270"/>
        <v>0.84949467358645181</v>
      </c>
      <c r="FT73" s="128">
        <f t="shared" si="271"/>
        <v>0.94386495216721045</v>
      </c>
      <c r="FU73" s="128">
        <f t="shared" si="272"/>
        <v>0.88632817532458241</v>
      </c>
      <c r="FV73" s="128">
        <f t="shared" si="273"/>
        <v>0.89052421186517672</v>
      </c>
      <c r="FW73" s="128">
        <f t="shared" si="274"/>
        <v>0.78393799774204376</v>
      </c>
      <c r="FX73" s="128">
        <f t="shared" si="275"/>
        <v>0.87311387495423831</v>
      </c>
      <c r="FY73" s="128">
        <f t="shared" si="276"/>
        <v>0.86623793248186121</v>
      </c>
      <c r="FZ73" s="128">
        <f t="shared" si="277"/>
        <v>0.88554036523301072</v>
      </c>
      <c r="GA73" s="128">
        <f t="shared" si="278"/>
        <v>0.91522034711669198</v>
      </c>
      <c r="GB73" s="128">
        <f t="shared" si="279"/>
        <v>0.84268937169700531</v>
      </c>
      <c r="GC73" s="128">
        <f t="shared" si="280"/>
        <v>0.89466090148103894</v>
      </c>
      <c r="GD73" s="128">
        <f t="shared" si="281"/>
        <v>0.94832638061183949</v>
      </c>
      <c r="GE73" s="128">
        <f t="shared" si="282"/>
        <v>0.96012821838486195</v>
      </c>
      <c r="GF73" s="128">
        <f t="shared" si="283"/>
        <v>0.91645030521861459</v>
      </c>
      <c r="GG73" s="128">
        <f t="shared" si="284"/>
        <v>0.85313774915207741</v>
      </c>
      <c r="GH73" s="128">
        <f t="shared" si="285"/>
        <v>0.9056001418879972</v>
      </c>
      <c r="GI73" s="128">
        <f t="shared" si="286"/>
        <v>0.87029983573117675</v>
      </c>
      <c r="GJ73" s="128">
        <f t="shared" si="287"/>
        <v>0.94195472938446878</v>
      </c>
      <c r="GK73" s="128">
        <f t="shared" si="288"/>
        <v>0.90588095963184789</v>
      </c>
      <c r="GL73" s="128">
        <f t="shared" si="289"/>
        <v>0.89803579645910536</v>
      </c>
      <c r="GM73" s="128">
        <f t="shared" si="290"/>
        <v>0.88652423171788552</v>
      </c>
      <c r="GN73" s="128">
        <f t="shared" si="291"/>
        <v>0.95062073789123969</v>
      </c>
      <c r="GO73" s="128">
        <f t="shared" si="292"/>
        <v>0.9301005175807987</v>
      </c>
      <c r="GP73" s="128">
        <f t="shared" si="293"/>
        <v>0.98151238926691486</v>
      </c>
      <c r="GQ73" s="129">
        <f t="shared" si="294"/>
        <v>0.9123667088703511</v>
      </c>
      <c r="GR73" s="129">
        <f t="shared" si="295"/>
        <v>0.9037303073004449</v>
      </c>
    </row>
    <row r="74" spans="1:200" x14ac:dyDescent="0.25">
      <c r="A74" s="42">
        <v>233</v>
      </c>
      <c r="B74" s="81">
        <v>83</v>
      </c>
      <c r="C74" s="81">
        <v>50</v>
      </c>
      <c r="D74" s="81">
        <v>31</v>
      </c>
      <c r="E74" s="81">
        <v>0</v>
      </c>
      <c r="F74" s="81">
        <v>6</v>
      </c>
      <c r="G74" s="81">
        <v>149</v>
      </c>
      <c r="H74" s="81">
        <v>320</v>
      </c>
      <c r="I74" s="81">
        <v>140</v>
      </c>
      <c r="J74" s="81">
        <v>41</v>
      </c>
      <c r="K74" s="81">
        <v>0</v>
      </c>
      <c r="L74" s="81"/>
      <c r="M74" s="81">
        <v>426</v>
      </c>
      <c r="N74" s="81">
        <v>280</v>
      </c>
      <c r="O74" s="81">
        <v>182</v>
      </c>
      <c r="P74" s="81">
        <v>206</v>
      </c>
      <c r="Q74" s="81">
        <v>335</v>
      </c>
      <c r="R74" s="81">
        <v>142</v>
      </c>
      <c r="S74" s="81">
        <v>374</v>
      </c>
      <c r="T74" s="81">
        <v>785</v>
      </c>
      <c r="V74" s="81">
        <v>742</v>
      </c>
      <c r="W74" s="81">
        <v>12</v>
      </c>
      <c r="X74" s="81">
        <v>246</v>
      </c>
      <c r="Y74" s="81">
        <v>82</v>
      </c>
      <c r="Z74" s="81">
        <v>825</v>
      </c>
      <c r="AA74" s="81">
        <v>741</v>
      </c>
      <c r="AB74" s="81">
        <v>1173</v>
      </c>
      <c r="AC74" s="81">
        <v>1962</v>
      </c>
      <c r="AD74" s="81">
        <v>833</v>
      </c>
      <c r="AE74" s="81">
        <v>51</v>
      </c>
      <c r="AF74" s="84">
        <v>257</v>
      </c>
      <c r="AG74" s="84">
        <v>1084</v>
      </c>
      <c r="AH74" s="84">
        <v>733</v>
      </c>
      <c r="AI74" s="83">
        <v>280</v>
      </c>
      <c r="AJ74" s="83">
        <v>113</v>
      </c>
      <c r="AK74" s="83">
        <v>16</v>
      </c>
      <c r="AL74" s="81">
        <v>448</v>
      </c>
      <c r="AM74" s="86">
        <v>88</v>
      </c>
      <c r="AN74" s="86">
        <v>945</v>
      </c>
      <c r="AO74" s="86">
        <v>395</v>
      </c>
      <c r="AP74" s="126">
        <v>725</v>
      </c>
      <c r="AQ74" s="126">
        <v>126</v>
      </c>
      <c r="AR74" s="126">
        <v>358</v>
      </c>
      <c r="AS74" s="126">
        <v>542</v>
      </c>
      <c r="AT74" s="126">
        <v>972</v>
      </c>
      <c r="AU74" s="126">
        <v>1349</v>
      </c>
      <c r="AV74" s="71">
        <f t="shared" si="302"/>
        <v>594.79999999999995</v>
      </c>
      <c r="AW74" s="71">
        <f t="shared" si="257"/>
        <v>72901.990951097308</v>
      </c>
      <c r="AY74" s="42">
        <v>233</v>
      </c>
      <c r="AZ74" s="48">
        <f t="shared" si="154"/>
        <v>3.6179765485375528E-3</v>
      </c>
      <c r="BA74" s="48">
        <f t="shared" si="200"/>
        <v>2.6112387716732818E-3</v>
      </c>
      <c r="BB74" s="48">
        <f t="shared" si="201"/>
        <v>1.3550727805219215E-3</v>
      </c>
      <c r="BC74" s="48">
        <f t="shared" si="202"/>
        <v>0</v>
      </c>
      <c r="BD74" s="48">
        <f t="shared" si="203"/>
        <v>2.3762376237623762E-3</v>
      </c>
      <c r="BE74" s="48">
        <f t="shared" si="204"/>
        <v>1.2922810060711188E-2</v>
      </c>
      <c r="BF74" s="48">
        <f t="shared" si="205"/>
        <v>2.9993438935232916E-2</v>
      </c>
      <c r="BG74" s="48">
        <f t="shared" si="206"/>
        <v>1.4871468026343744E-2</v>
      </c>
      <c r="BH74" s="48">
        <f t="shared" si="207"/>
        <v>3.1562740569668975E-3</v>
      </c>
      <c r="BI74" s="48">
        <f t="shared" si="208"/>
        <v>0</v>
      </c>
      <c r="BJ74" s="48">
        <f t="shared" si="209"/>
        <v>0</v>
      </c>
      <c r="BK74" s="48">
        <f t="shared" si="210"/>
        <v>5.874484603610188E-3</v>
      </c>
      <c r="BL74" s="48">
        <f t="shared" si="211"/>
        <v>6.216834299162948E-3</v>
      </c>
      <c r="BM74" s="48">
        <f t="shared" si="212"/>
        <v>1.7789072426937738E-2</v>
      </c>
      <c r="BN74" s="48">
        <f t="shared" si="213"/>
        <v>8.3377180556117696E-3</v>
      </c>
      <c r="BO74" s="48">
        <f t="shared" si="214"/>
        <v>8.5424316605467159E-3</v>
      </c>
      <c r="BP74" s="48">
        <f t="shared" si="215"/>
        <v>4.1501052139350011E-3</v>
      </c>
      <c r="BQ74" s="48">
        <f t="shared" si="216"/>
        <v>1.9973297730307076E-2</v>
      </c>
      <c r="BR74" s="48">
        <f t="shared" si="217"/>
        <v>2.7909126462118249E-2</v>
      </c>
      <c r="BS74" s="48"/>
      <c r="BT74" s="48">
        <f t="shared" si="218"/>
        <v>1.2911308705562998E-2</v>
      </c>
      <c r="BU74" s="48">
        <f t="shared" si="219"/>
        <v>4.0705563093622792E-3</v>
      </c>
      <c r="BV74" s="48">
        <f t="shared" si="220"/>
        <v>6.7194755531275602E-2</v>
      </c>
      <c r="BW74" s="48">
        <f t="shared" si="221"/>
        <v>3.4274563829402409E-3</v>
      </c>
      <c r="BX74" s="48">
        <f t="shared" si="222"/>
        <v>1.1809501996879428E-2</v>
      </c>
      <c r="BY74" s="48">
        <f t="shared" si="223"/>
        <v>9.6172565510259708E-3</v>
      </c>
      <c r="BZ74" s="48">
        <f t="shared" si="224"/>
        <v>1.7895828883532177E-2</v>
      </c>
      <c r="CA74" s="48">
        <f t="shared" si="225"/>
        <v>1.9412864733295735E-2</v>
      </c>
      <c r="CB74" s="48">
        <f t="shared" si="226"/>
        <v>1.2487257900101937E-2</v>
      </c>
      <c r="CC74" s="48">
        <f t="shared" si="227"/>
        <v>5.0893124438678777E-3</v>
      </c>
      <c r="CD74" s="48">
        <f t="shared" si="228"/>
        <v>2.0555066783971846E-2</v>
      </c>
      <c r="CE74" s="48">
        <f t="shared" si="229"/>
        <v>6.3652378156194955E-2</v>
      </c>
      <c r="CF74" s="48">
        <f t="shared" si="230"/>
        <v>3.2535544789918713E-2</v>
      </c>
      <c r="CG74" s="48">
        <f t="shared" si="231"/>
        <v>6.9527214938418756E-3</v>
      </c>
      <c r="CH74" s="48">
        <f t="shared" si="232"/>
        <v>2.3368834660324684E-3</v>
      </c>
      <c r="CI74" s="48">
        <f t="shared" si="233"/>
        <v>8.2112722143867756E-4</v>
      </c>
      <c r="CJ74" s="48">
        <f t="shared" si="234"/>
        <v>3.3088604762184254E-2</v>
      </c>
      <c r="CK74" s="48">
        <f t="shared" si="235"/>
        <v>3.9019199219616015E-3</v>
      </c>
      <c r="CL74" s="48">
        <f t="shared" si="236"/>
        <v>1.7058685488383848E-2</v>
      </c>
      <c r="CM74" s="48">
        <f t="shared" si="237"/>
        <v>5.4551229819497574E-3</v>
      </c>
      <c r="CN74" s="48">
        <f t="shared" si="258"/>
        <v>1.2266098196460596E-2</v>
      </c>
      <c r="CO74" s="48">
        <f t="shared" si="259"/>
        <v>3.0516602484923347E-3</v>
      </c>
      <c r="CP74" s="48">
        <f t="shared" si="260"/>
        <v>5.9662689154056396E-3</v>
      </c>
      <c r="CQ74" s="48">
        <f t="shared" si="261"/>
        <v>6.3181208836043598E-3</v>
      </c>
      <c r="CR74" s="48">
        <f t="shared" si="262"/>
        <v>6.3361276612388046E-3</v>
      </c>
      <c r="CS74" s="48">
        <f t="shared" si="263"/>
        <v>6.4145542384083914E-3</v>
      </c>
      <c r="CT74" s="68">
        <f t="shared" si="264"/>
        <v>0.92235242520016003</v>
      </c>
      <c r="CU74" s="68">
        <f t="shared" si="265"/>
        <v>0.91721177763709272</v>
      </c>
      <c r="CW74" s="42">
        <v>233</v>
      </c>
      <c r="CX74" s="58">
        <f t="shared" si="128"/>
        <v>22383</v>
      </c>
      <c r="CY74" s="58">
        <f t="shared" si="129"/>
        <v>18756</v>
      </c>
      <c r="CZ74" s="58">
        <f t="shared" si="130"/>
        <v>22544</v>
      </c>
      <c r="DA74" s="58">
        <f t="shared" si="131"/>
        <v>428</v>
      </c>
      <c r="DB74" s="58">
        <f t="shared" si="132"/>
        <v>2446</v>
      </c>
      <c r="DC74" s="58">
        <f t="shared" si="133"/>
        <v>10841</v>
      </c>
      <c r="DD74" s="58">
        <f t="shared" si="134"/>
        <v>9592</v>
      </c>
      <c r="DE74" s="58">
        <f t="shared" si="135"/>
        <v>8950</v>
      </c>
      <c r="DF74" s="58">
        <f t="shared" si="136"/>
        <v>12984</v>
      </c>
      <c r="DG74" s="58">
        <f t="shared" si="137"/>
        <v>1415</v>
      </c>
      <c r="DH74" s="58">
        <f t="shared" si="138"/>
        <v>28669</v>
      </c>
      <c r="DI74" s="58">
        <f t="shared" si="139"/>
        <v>68960</v>
      </c>
      <c r="DJ74" s="58">
        <f t="shared" si="140"/>
        <v>40257</v>
      </c>
      <c r="DK74" s="58">
        <f t="shared" si="141"/>
        <v>9235</v>
      </c>
      <c r="DL74" s="58">
        <f t="shared" si="142"/>
        <v>23097</v>
      </c>
      <c r="DM74" s="58">
        <f t="shared" si="143"/>
        <v>36026</v>
      </c>
      <c r="DN74" s="58">
        <f t="shared" si="144"/>
        <v>31358</v>
      </c>
      <c r="DO74" s="58">
        <f t="shared" si="145"/>
        <v>17205</v>
      </c>
      <c r="DP74" s="58">
        <f t="shared" si="146"/>
        <v>24775</v>
      </c>
      <c r="DQ74" s="58"/>
      <c r="DR74" s="58">
        <f t="shared" si="147"/>
        <v>51762</v>
      </c>
      <c r="DS74" s="58">
        <f t="shared" si="148"/>
        <v>2731</v>
      </c>
      <c r="DT74" s="58">
        <f t="shared" si="149"/>
        <v>3356</v>
      </c>
      <c r="DU74" s="58">
        <f t="shared" si="150"/>
        <v>22663.447414749116</v>
      </c>
      <c r="DV74" s="58">
        <f t="shared" si="151"/>
        <v>62743</v>
      </c>
      <c r="DW74" s="58">
        <f t="shared" si="152"/>
        <v>69355</v>
      </c>
      <c r="DX74" s="58">
        <f t="shared" si="153"/>
        <v>52557</v>
      </c>
      <c r="DY74" s="58">
        <f t="shared" si="115"/>
        <v>90205</v>
      </c>
      <c r="DZ74" s="58">
        <f t="shared" si="116"/>
        <v>58618</v>
      </c>
      <c r="EA74" s="58">
        <f t="shared" si="117"/>
        <v>8925</v>
      </c>
      <c r="EB74" s="58">
        <f t="shared" si="118"/>
        <v>11700</v>
      </c>
      <c r="EC74" s="58">
        <f t="shared" si="119"/>
        <v>15435</v>
      </c>
      <c r="ED74" s="58">
        <f t="shared" si="120"/>
        <v>20889</v>
      </c>
      <c r="EE74" s="58">
        <f t="shared" si="121"/>
        <v>38471</v>
      </c>
      <c r="EF74" s="58">
        <f t="shared" si="122"/>
        <v>46540</v>
      </c>
      <c r="EG74" s="58">
        <f t="shared" si="123"/>
        <v>17873.409303526412</v>
      </c>
      <c r="EH74" s="58">
        <f t="shared" si="124"/>
        <v>11998.976971290718</v>
      </c>
      <c r="EI74" s="58">
        <f t="shared" si="125"/>
        <v>20512</v>
      </c>
      <c r="EJ74" s="58">
        <f t="shared" si="198"/>
        <v>49157</v>
      </c>
      <c r="EK74" s="58">
        <f t="shared" si="199"/>
        <v>68601</v>
      </c>
      <c r="EL74" s="58">
        <f t="shared" si="296"/>
        <v>54268</v>
      </c>
      <c r="EM74" s="58">
        <f t="shared" si="297"/>
        <v>37205</v>
      </c>
      <c r="EN74" s="58">
        <f t="shared" si="298"/>
        <v>53553</v>
      </c>
      <c r="EO74" s="58">
        <f t="shared" si="299"/>
        <v>82091</v>
      </c>
      <c r="EP74" s="58">
        <f t="shared" si="300"/>
        <v>143655</v>
      </c>
      <c r="EQ74" s="58">
        <f t="shared" si="301"/>
        <v>207764</v>
      </c>
      <c r="ER74" s="67">
        <f t="shared" si="266"/>
        <v>72880.497697129074</v>
      </c>
      <c r="ES74" s="67">
        <f t="shared" si="267"/>
        <v>39718.020333891858</v>
      </c>
      <c r="EV74" s="42">
        <v>233</v>
      </c>
      <c r="EW74" s="128">
        <f t="shared" si="238"/>
        <v>0.97567673597489213</v>
      </c>
      <c r="EX74" s="128">
        <f t="shared" si="239"/>
        <v>0.97952788803008151</v>
      </c>
      <c r="EY74" s="128">
        <f t="shared" si="240"/>
        <v>0.98544389561568391</v>
      </c>
      <c r="EZ74" s="128">
        <f t="shared" si="241"/>
        <v>0.99534883720930234</v>
      </c>
      <c r="FA74" s="128">
        <f t="shared" si="242"/>
        <v>0.96871287128712869</v>
      </c>
      <c r="FB74" s="128">
        <f t="shared" si="243"/>
        <v>0.94024284475281872</v>
      </c>
      <c r="FC74" s="128">
        <f t="shared" si="244"/>
        <v>0.89905333208360672</v>
      </c>
      <c r="FD74" s="128">
        <f t="shared" si="245"/>
        <v>0.95071170596983212</v>
      </c>
      <c r="FE74" s="128">
        <f t="shared" si="246"/>
        <v>0.99953810623556583</v>
      </c>
      <c r="FF74" s="128">
        <f t="shared" si="247"/>
        <v>0.74947033898305082</v>
      </c>
      <c r="FG74" s="128">
        <f t="shared" si="248"/>
        <v>1</v>
      </c>
      <c r="FH74" s="128">
        <f t="shared" si="249"/>
        <v>0.95094943254685105</v>
      </c>
      <c r="FI74" s="128">
        <f t="shared" si="250"/>
        <v>0.8938253513621528</v>
      </c>
      <c r="FJ74" s="128">
        <f t="shared" si="251"/>
        <v>0.90264881243280226</v>
      </c>
      <c r="FK74" s="128">
        <f t="shared" si="252"/>
        <v>0.93483628121584972</v>
      </c>
      <c r="FL74" s="128">
        <f t="shared" si="253"/>
        <v>0.91865565075479394</v>
      </c>
      <c r="FM74" s="128">
        <f t="shared" si="254"/>
        <v>0.91647182604629418</v>
      </c>
      <c r="FN74" s="128">
        <f t="shared" si="255"/>
        <v>0.91882510013351137</v>
      </c>
      <c r="FO74" s="128">
        <f t="shared" si="256"/>
        <v>0.88082625235538803</v>
      </c>
      <c r="FP74" s="128"/>
      <c r="FQ74" s="128">
        <f t="shared" si="268"/>
        <v>0.90069428735492174</v>
      </c>
      <c r="FR74" s="128">
        <f t="shared" si="269"/>
        <v>0.92639077340569875</v>
      </c>
      <c r="FS74" s="128">
        <f t="shared" si="270"/>
        <v>0.91668942911772744</v>
      </c>
      <c r="FT74" s="128">
        <f t="shared" si="271"/>
        <v>0.94729240855015073</v>
      </c>
      <c r="FU74" s="128">
        <f t="shared" si="272"/>
        <v>0.89813767732146177</v>
      </c>
      <c r="FV74" s="128">
        <f t="shared" si="273"/>
        <v>0.90014146841620268</v>
      </c>
      <c r="FW74" s="128">
        <f t="shared" si="274"/>
        <v>0.8018338266255759</v>
      </c>
      <c r="FX74" s="128">
        <f t="shared" si="275"/>
        <v>0.89252673968753404</v>
      </c>
      <c r="FY74" s="128">
        <f t="shared" si="276"/>
        <v>0.87872519038196317</v>
      </c>
      <c r="FZ74" s="128">
        <f t="shared" si="277"/>
        <v>0.89062967767687851</v>
      </c>
      <c r="GA74" s="128">
        <f t="shared" si="278"/>
        <v>0.93577541390066388</v>
      </c>
      <c r="GB74" s="128">
        <f t="shared" si="279"/>
        <v>0.90634174985320026</v>
      </c>
      <c r="GC74" s="128">
        <f t="shared" si="280"/>
        <v>0.92719644627095765</v>
      </c>
      <c r="GD74" s="128">
        <f t="shared" si="281"/>
        <v>0.95527910210568134</v>
      </c>
      <c r="GE74" s="128">
        <f t="shared" si="282"/>
        <v>0.9624651018508944</v>
      </c>
      <c r="GF74" s="128">
        <f t="shared" si="283"/>
        <v>0.91727143244005327</v>
      </c>
      <c r="GG74" s="128">
        <f t="shared" si="284"/>
        <v>0.88622635391426174</v>
      </c>
      <c r="GH74" s="128">
        <f t="shared" si="285"/>
        <v>0.90950206180995874</v>
      </c>
      <c r="GI74" s="128">
        <f t="shared" si="286"/>
        <v>0.8873585212195606</v>
      </c>
      <c r="GJ74" s="128">
        <f t="shared" si="287"/>
        <v>0.9474098523664185</v>
      </c>
      <c r="GK74" s="128">
        <f t="shared" si="288"/>
        <v>0.91814705782830841</v>
      </c>
      <c r="GL74" s="128">
        <f t="shared" si="289"/>
        <v>0.90108745670759771</v>
      </c>
      <c r="GM74" s="128">
        <f t="shared" si="290"/>
        <v>0.89249050063329116</v>
      </c>
      <c r="GN74" s="128">
        <f t="shared" si="291"/>
        <v>0.95693885877484408</v>
      </c>
      <c r="GO74" s="128">
        <f t="shared" si="292"/>
        <v>0.93643664524203751</v>
      </c>
      <c r="GP74" s="128">
        <f t="shared" si="293"/>
        <v>0.98792694350532329</v>
      </c>
      <c r="GQ74" s="129">
        <f t="shared" si="294"/>
        <v>0.92235242520016014</v>
      </c>
      <c r="GR74" s="129">
        <f t="shared" si="295"/>
        <v>0.91721177763709305</v>
      </c>
    </row>
    <row r="75" spans="1:200" x14ac:dyDescent="0.25">
      <c r="A75" s="42">
        <v>234</v>
      </c>
      <c r="B75" s="81">
        <v>63</v>
      </c>
      <c r="C75" s="81">
        <v>45</v>
      </c>
      <c r="D75" s="81">
        <v>56</v>
      </c>
      <c r="E75" s="81">
        <v>2</v>
      </c>
      <c r="F75" s="81">
        <v>5</v>
      </c>
      <c r="G75" s="81">
        <v>17</v>
      </c>
      <c r="H75" s="81">
        <v>167</v>
      </c>
      <c r="I75" s="81">
        <v>35</v>
      </c>
      <c r="J75" s="81">
        <v>6</v>
      </c>
      <c r="K75" s="81">
        <v>13</v>
      </c>
      <c r="L75" s="81"/>
      <c r="M75" s="81">
        <v>941</v>
      </c>
      <c r="N75" s="81">
        <v>1121</v>
      </c>
      <c r="O75" s="81">
        <v>81</v>
      </c>
      <c r="P75" s="81">
        <v>167</v>
      </c>
      <c r="Q75" s="81">
        <v>111</v>
      </c>
      <c r="R75" s="81">
        <v>286</v>
      </c>
      <c r="S75" s="81">
        <v>330</v>
      </c>
      <c r="T75" s="81">
        <v>489</v>
      </c>
      <c r="V75" s="81">
        <v>369</v>
      </c>
      <c r="W75" s="81">
        <v>27</v>
      </c>
      <c r="X75" s="81">
        <v>37</v>
      </c>
      <c r="Y75" s="81">
        <v>81</v>
      </c>
      <c r="Z75" s="81">
        <v>112</v>
      </c>
      <c r="AA75" s="81">
        <v>581</v>
      </c>
      <c r="AB75" s="81">
        <v>1143</v>
      </c>
      <c r="AC75" s="81">
        <v>1646</v>
      </c>
      <c r="AD75" s="81">
        <v>537</v>
      </c>
      <c r="AE75" s="81">
        <v>70</v>
      </c>
      <c r="AF75" s="84">
        <v>180</v>
      </c>
      <c r="AG75" s="84">
        <v>388</v>
      </c>
      <c r="AH75" s="84">
        <v>149</v>
      </c>
      <c r="AI75" s="83">
        <v>533</v>
      </c>
      <c r="AJ75" s="83">
        <v>332</v>
      </c>
      <c r="AK75" s="83">
        <v>51</v>
      </c>
      <c r="AL75" s="81">
        <v>294</v>
      </c>
      <c r="AM75" s="86">
        <v>223</v>
      </c>
      <c r="AN75" s="86">
        <v>124</v>
      </c>
      <c r="AO75" s="86">
        <v>323</v>
      </c>
      <c r="AP75" s="126">
        <v>13</v>
      </c>
      <c r="AQ75" s="126">
        <v>319</v>
      </c>
      <c r="AR75" s="126">
        <v>307</v>
      </c>
      <c r="AS75" s="126">
        <v>83</v>
      </c>
      <c r="AT75" s="126">
        <v>1434</v>
      </c>
      <c r="AU75" s="126">
        <v>588</v>
      </c>
      <c r="AV75" s="71">
        <f t="shared" si="302"/>
        <v>370.8</v>
      </c>
      <c r="AW75" s="71">
        <f t="shared" si="257"/>
        <v>73272.790951097311</v>
      </c>
      <c r="AY75" s="42">
        <v>234</v>
      </c>
      <c r="AZ75" s="48">
        <f t="shared" si="154"/>
        <v>2.7461749705766968E-3</v>
      </c>
      <c r="BA75" s="48">
        <f t="shared" si="200"/>
        <v>2.3501148945059536E-3</v>
      </c>
      <c r="BB75" s="48">
        <f t="shared" si="201"/>
        <v>2.447873409975084E-3</v>
      </c>
      <c r="BC75" s="48">
        <f t="shared" si="202"/>
        <v>4.6511627906976744E-3</v>
      </c>
      <c r="BD75" s="48">
        <f t="shared" si="203"/>
        <v>1.9801980198019802E-3</v>
      </c>
      <c r="BE75" s="48">
        <f t="shared" si="204"/>
        <v>1.4744145706851691E-3</v>
      </c>
      <c r="BF75" s="48">
        <f t="shared" si="205"/>
        <v>1.565282594432468E-2</v>
      </c>
      <c r="BG75" s="48">
        <f t="shared" si="206"/>
        <v>3.7178670065859359E-3</v>
      </c>
      <c r="BH75" s="48">
        <f t="shared" si="207"/>
        <v>4.6189376443418013E-4</v>
      </c>
      <c r="BI75" s="48">
        <f t="shared" si="208"/>
        <v>6.8855932203389829E-3</v>
      </c>
      <c r="BJ75" s="48">
        <f t="shared" si="209"/>
        <v>0</v>
      </c>
      <c r="BK75" s="48">
        <f t="shared" si="210"/>
        <v>1.2976267633796213E-2</v>
      </c>
      <c r="BL75" s="48">
        <f t="shared" si="211"/>
        <v>2.488954017629166E-2</v>
      </c>
      <c r="BM75" s="48">
        <f t="shared" si="212"/>
        <v>7.9171146515492133E-3</v>
      </c>
      <c r="BN75" s="48">
        <f t="shared" si="213"/>
        <v>6.7592180353745904E-3</v>
      </c>
      <c r="BO75" s="48">
        <f t="shared" si="214"/>
        <v>2.8304773561811506E-3</v>
      </c>
      <c r="BP75" s="48">
        <f t="shared" si="215"/>
        <v>8.3586626139817623E-3</v>
      </c>
      <c r="BQ75" s="48">
        <f t="shared" si="216"/>
        <v>1.7623497997329773E-2</v>
      </c>
      <c r="BR75" s="48">
        <f t="shared" si="217"/>
        <v>1.7385430369395955E-2</v>
      </c>
      <c r="BS75" s="48"/>
      <c r="BT75" s="48">
        <f t="shared" si="218"/>
        <v>6.4208529816074753E-3</v>
      </c>
      <c r="BU75" s="48">
        <f t="shared" si="219"/>
        <v>9.1587516960651288E-3</v>
      </c>
      <c r="BV75" s="48">
        <f t="shared" si="220"/>
        <v>1.0106528270964218E-2</v>
      </c>
      <c r="BW75" s="48">
        <f t="shared" si="221"/>
        <v>3.3856581343677987E-3</v>
      </c>
      <c r="BX75" s="48">
        <f t="shared" si="222"/>
        <v>1.6032293620006012E-3</v>
      </c>
      <c r="BY75" s="48">
        <f t="shared" si="223"/>
        <v>7.5406559462160442E-3</v>
      </c>
      <c r="BZ75" s="48">
        <f t="shared" si="224"/>
        <v>1.7438135050193756E-2</v>
      </c>
      <c r="CA75" s="48">
        <f t="shared" si="225"/>
        <v>1.6286225968911713E-2</v>
      </c>
      <c r="CB75" s="48">
        <f t="shared" si="226"/>
        <v>8.0500089944234576E-3</v>
      </c>
      <c r="CC75" s="48">
        <f t="shared" si="227"/>
        <v>6.9853308053088514E-3</v>
      </c>
      <c r="CD75" s="48">
        <f t="shared" si="228"/>
        <v>1.4396544829240982E-2</v>
      </c>
      <c r="CE75" s="48">
        <f t="shared" si="229"/>
        <v>2.2783323546682326E-2</v>
      </c>
      <c r="CF75" s="48">
        <f t="shared" si="230"/>
        <v>6.6136373447447314E-3</v>
      </c>
      <c r="CG75" s="48">
        <f t="shared" si="231"/>
        <v>1.3235001986491855E-2</v>
      </c>
      <c r="CH75" s="48">
        <f t="shared" si="232"/>
        <v>6.8658877055113223E-3</v>
      </c>
      <c r="CI75" s="48">
        <f t="shared" si="233"/>
        <v>2.6173430183357846E-3</v>
      </c>
      <c r="CJ75" s="48">
        <f t="shared" si="234"/>
        <v>2.1714396875183416E-2</v>
      </c>
      <c r="CK75" s="48">
        <f t="shared" si="235"/>
        <v>9.887819802243604E-3</v>
      </c>
      <c r="CL75" s="48">
        <f t="shared" si="236"/>
        <v>2.2383883603805262E-3</v>
      </c>
      <c r="CM75" s="48">
        <f t="shared" si="237"/>
        <v>4.4607714510627129E-3</v>
      </c>
      <c r="CN75" s="48">
        <f t="shared" si="258"/>
        <v>2.1994382972963827E-4</v>
      </c>
      <c r="CO75" s="48">
        <f t="shared" si="259"/>
        <v>7.7260287243575768E-3</v>
      </c>
      <c r="CP75" s="48">
        <f t="shared" si="260"/>
        <v>5.1163255782947807E-3</v>
      </c>
      <c r="CQ75" s="48">
        <f t="shared" si="261"/>
        <v>9.6753511686192221E-4</v>
      </c>
      <c r="CR75" s="48">
        <f t="shared" si="262"/>
        <v>9.3477438952844095E-3</v>
      </c>
      <c r="CS75" s="48">
        <f t="shared" si="263"/>
        <v>2.7959658207443545E-3</v>
      </c>
      <c r="CT75" s="68">
        <f t="shared" si="264"/>
        <v>0.92879991714557431</v>
      </c>
      <c r="CU75" s="68">
        <f t="shared" si="265"/>
        <v>0.92567214437990442</v>
      </c>
      <c r="CW75" s="42">
        <v>234</v>
      </c>
      <c r="CX75" s="58">
        <f t="shared" si="128"/>
        <v>22446</v>
      </c>
      <c r="CY75" s="58">
        <f t="shared" si="129"/>
        <v>18801</v>
      </c>
      <c r="CZ75" s="58">
        <f t="shared" si="130"/>
        <v>22600</v>
      </c>
      <c r="DA75" s="58">
        <f t="shared" si="131"/>
        <v>430</v>
      </c>
      <c r="DB75" s="58">
        <f t="shared" si="132"/>
        <v>2451</v>
      </c>
      <c r="DC75" s="58">
        <f t="shared" si="133"/>
        <v>10858</v>
      </c>
      <c r="DD75" s="58">
        <f t="shared" si="134"/>
        <v>9759</v>
      </c>
      <c r="DE75" s="58">
        <f t="shared" si="135"/>
        <v>8985</v>
      </c>
      <c r="DF75" s="58">
        <f t="shared" si="136"/>
        <v>12990</v>
      </c>
      <c r="DG75" s="58">
        <f t="shared" si="137"/>
        <v>1428</v>
      </c>
      <c r="DH75" s="58">
        <f t="shared" si="138"/>
        <v>28669</v>
      </c>
      <c r="DI75" s="58">
        <f t="shared" si="139"/>
        <v>69901</v>
      </c>
      <c r="DJ75" s="58">
        <f t="shared" si="140"/>
        <v>41378</v>
      </c>
      <c r="DK75" s="58">
        <f t="shared" si="141"/>
        <v>9316</v>
      </c>
      <c r="DL75" s="58">
        <f t="shared" si="142"/>
        <v>23264</v>
      </c>
      <c r="DM75" s="58">
        <f t="shared" si="143"/>
        <v>36137</v>
      </c>
      <c r="DN75" s="58">
        <f t="shared" si="144"/>
        <v>31644</v>
      </c>
      <c r="DO75" s="58">
        <f t="shared" si="145"/>
        <v>17535</v>
      </c>
      <c r="DP75" s="58">
        <f t="shared" si="146"/>
        <v>25264</v>
      </c>
      <c r="DQ75" s="58"/>
      <c r="DR75" s="58">
        <f t="shared" si="147"/>
        <v>52131</v>
      </c>
      <c r="DS75" s="58">
        <f t="shared" si="148"/>
        <v>2758</v>
      </c>
      <c r="DT75" s="58">
        <f t="shared" si="149"/>
        <v>3393</v>
      </c>
      <c r="DU75" s="58">
        <f t="shared" si="150"/>
        <v>22744.447414749116</v>
      </c>
      <c r="DV75" s="58">
        <f t="shared" si="151"/>
        <v>62855</v>
      </c>
      <c r="DW75" s="58">
        <f t="shared" si="152"/>
        <v>69936</v>
      </c>
      <c r="DX75" s="58">
        <f t="shared" si="153"/>
        <v>53700</v>
      </c>
      <c r="DY75" s="58">
        <f t="shared" si="115"/>
        <v>91851</v>
      </c>
      <c r="DZ75" s="58">
        <f t="shared" si="116"/>
        <v>59155</v>
      </c>
      <c r="EA75" s="58">
        <f t="shared" si="117"/>
        <v>8995</v>
      </c>
      <c r="EB75" s="58">
        <f t="shared" si="118"/>
        <v>11880</v>
      </c>
      <c r="EC75" s="58">
        <f t="shared" si="119"/>
        <v>15823</v>
      </c>
      <c r="ED75" s="58">
        <f t="shared" si="120"/>
        <v>21038</v>
      </c>
      <c r="EE75" s="58">
        <f t="shared" si="121"/>
        <v>39004</v>
      </c>
      <c r="EF75" s="58">
        <f t="shared" si="122"/>
        <v>46872</v>
      </c>
      <c r="EG75" s="58">
        <f t="shared" si="123"/>
        <v>17924.409303526412</v>
      </c>
      <c r="EH75" s="58">
        <f t="shared" si="124"/>
        <v>12292.976971290718</v>
      </c>
      <c r="EI75" s="58">
        <f t="shared" si="125"/>
        <v>20735</v>
      </c>
      <c r="EJ75" s="58">
        <f t="shared" si="198"/>
        <v>49281</v>
      </c>
      <c r="EK75" s="58">
        <f t="shared" si="199"/>
        <v>68924</v>
      </c>
      <c r="EL75" s="58">
        <f t="shared" si="296"/>
        <v>54281</v>
      </c>
      <c r="EM75" s="58">
        <f t="shared" si="297"/>
        <v>37524</v>
      </c>
      <c r="EN75" s="58">
        <f t="shared" si="298"/>
        <v>53860</v>
      </c>
      <c r="EO75" s="58">
        <f t="shared" si="299"/>
        <v>82174</v>
      </c>
      <c r="EP75" s="58">
        <f t="shared" si="300"/>
        <v>145089</v>
      </c>
      <c r="EQ75" s="58">
        <f t="shared" si="301"/>
        <v>208352</v>
      </c>
      <c r="ER75" s="67">
        <f t="shared" si="266"/>
        <v>73251.297697129077</v>
      </c>
      <c r="ES75" s="67">
        <f t="shared" si="267"/>
        <v>40052.483748526007</v>
      </c>
      <c r="EV75" s="42">
        <v>234</v>
      </c>
      <c r="EW75" s="128">
        <f t="shared" si="238"/>
        <v>0.97842291094546885</v>
      </c>
      <c r="EX75" s="128">
        <f t="shared" si="239"/>
        <v>0.98187800292458738</v>
      </c>
      <c r="EY75" s="128">
        <f t="shared" si="240"/>
        <v>0.98789176902565901</v>
      </c>
      <c r="EZ75" s="128">
        <f t="shared" si="241"/>
        <v>1</v>
      </c>
      <c r="FA75" s="128">
        <f t="shared" si="242"/>
        <v>0.97069306930693067</v>
      </c>
      <c r="FB75" s="128">
        <f t="shared" si="243"/>
        <v>0.94171725932350392</v>
      </c>
      <c r="FC75" s="128">
        <f t="shared" si="244"/>
        <v>0.91470615802793143</v>
      </c>
      <c r="FD75" s="128">
        <f t="shared" si="245"/>
        <v>0.95442957297641806</v>
      </c>
      <c r="FE75" s="128">
        <f t="shared" si="246"/>
        <v>1</v>
      </c>
      <c r="FF75" s="128">
        <f t="shared" si="247"/>
        <v>0.75635593220338981</v>
      </c>
      <c r="FG75" s="128">
        <f t="shared" si="248"/>
        <v>1</v>
      </c>
      <c r="FH75" s="128">
        <f t="shared" si="249"/>
        <v>0.96392570018064727</v>
      </c>
      <c r="FI75" s="128">
        <f t="shared" si="250"/>
        <v>0.91871489153844443</v>
      </c>
      <c r="FJ75" s="128">
        <f t="shared" si="251"/>
        <v>0.91056592708435147</v>
      </c>
      <c r="FK75" s="128">
        <f t="shared" si="252"/>
        <v>0.94159549925122432</v>
      </c>
      <c r="FL75" s="128">
        <f t="shared" si="253"/>
        <v>0.92148612811097508</v>
      </c>
      <c r="FM75" s="128">
        <f t="shared" si="254"/>
        <v>0.92483048866027584</v>
      </c>
      <c r="FN75" s="128">
        <f t="shared" si="255"/>
        <v>0.93644859813084114</v>
      </c>
      <c r="FO75" s="128">
        <f t="shared" si="256"/>
        <v>0.89821168272478402</v>
      </c>
      <c r="FP75" s="128"/>
      <c r="FQ75" s="128">
        <f t="shared" si="268"/>
        <v>0.90711514033652929</v>
      </c>
      <c r="FR75" s="128">
        <f t="shared" si="269"/>
        <v>0.93554952510176392</v>
      </c>
      <c r="FS75" s="128">
        <f t="shared" si="270"/>
        <v>0.92679595738869158</v>
      </c>
      <c r="FT75" s="128">
        <f t="shared" si="271"/>
        <v>0.95067806668451849</v>
      </c>
      <c r="FU75" s="128">
        <f t="shared" si="272"/>
        <v>0.8997409066834624</v>
      </c>
      <c r="FV75" s="128">
        <f t="shared" si="273"/>
        <v>0.90768212436241869</v>
      </c>
      <c r="FW75" s="128">
        <f t="shared" si="274"/>
        <v>0.81927196167576966</v>
      </c>
      <c r="FX75" s="128">
        <f t="shared" si="275"/>
        <v>0.90881296565644576</v>
      </c>
      <c r="FY75" s="128">
        <f t="shared" si="276"/>
        <v>0.8867751993763866</v>
      </c>
      <c r="FZ75" s="128">
        <f t="shared" si="277"/>
        <v>0.89761500848218745</v>
      </c>
      <c r="GA75" s="128">
        <f t="shared" si="278"/>
        <v>0.95017195872990479</v>
      </c>
      <c r="GB75" s="128">
        <f t="shared" si="279"/>
        <v>0.9291250733998826</v>
      </c>
      <c r="GC75" s="128">
        <f t="shared" si="280"/>
        <v>0.93381008361570239</v>
      </c>
      <c r="GD75" s="128">
        <f t="shared" si="281"/>
        <v>0.9685141040921732</v>
      </c>
      <c r="GE75" s="128">
        <f t="shared" si="282"/>
        <v>0.96933098955640573</v>
      </c>
      <c r="GF75" s="128">
        <f t="shared" si="283"/>
        <v>0.91988877545838899</v>
      </c>
      <c r="GG75" s="128">
        <f t="shared" si="284"/>
        <v>0.90794075078944514</v>
      </c>
      <c r="GH75" s="128">
        <f t="shared" si="285"/>
        <v>0.91938988161220236</v>
      </c>
      <c r="GI75" s="128">
        <f t="shared" si="286"/>
        <v>0.8895969095799412</v>
      </c>
      <c r="GJ75" s="128">
        <f t="shared" si="287"/>
        <v>0.95187062381748122</v>
      </c>
      <c r="GK75" s="128">
        <f t="shared" si="288"/>
        <v>0.91836700165803808</v>
      </c>
      <c r="GL75" s="128">
        <f t="shared" si="289"/>
        <v>0.90881348543195528</v>
      </c>
      <c r="GM75" s="128">
        <f t="shared" si="290"/>
        <v>0.89760682621158594</v>
      </c>
      <c r="GN75" s="128">
        <f t="shared" si="291"/>
        <v>0.95790639389170595</v>
      </c>
      <c r="GO75" s="128">
        <f t="shared" si="292"/>
        <v>0.94578438913732188</v>
      </c>
      <c r="GP75" s="128">
        <f t="shared" si="293"/>
        <v>0.99072290932606766</v>
      </c>
      <c r="GQ75" s="129">
        <f t="shared" si="294"/>
        <v>0.92879991714557453</v>
      </c>
      <c r="GR75" s="129">
        <f t="shared" si="295"/>
        <v>0.92567214437990486</v>
      </c>
    </row>
    <row r="76" spans="1:200" x14ac:dyDescent="0.25">
      <c r="A76" s="42">
        <v>235</v>
      </c>
      <c r="B76" s="81">
        <v>53</v>
      </c>
      <c r="C76" s="81">
        <v>24</v>
      </c>
      <c r="D76" s="81">
        <v>58</v>
      </c>
      <c r="E76" s="81">
        <v>0</v>
      </c>
      <c r="F76" s="81">
        <v>7</v>
      </c>
      <c r="G76" s="81">
        <v>129</v>
      </c>
      <c r="H76" s="81">
        <v>184</v>
      </c>
      <c r="I76" s="81">
        <v>90</v>
      </c>
      <c r="J76" s="81"/>
      <c r="K76" s="81">
        <v>37</v>
      </c>
      <c r="L76" s="81"/>
      <c r="M76" s="81">
        <v>108</v>
      </c>
      <c r="N76" s="81">
        <v>494</v>
      </c>
      <c r="O76" s="81">
        <v>33</v>
      </c>
      <c r="P76" s="81">
        <v>119</v>
      </c>
      <c r="Q76" s="81">
        <v>127</v>
      </c>
      <c r="R76" s="81">
        <v>229</v>
      </c>
      <c r="S76" s="81">
        <v>234</v>
      </c>
      <c r="T76" s="81">
        <v>440</v>
      </c>
      <c r="V76" s="81">
        <v>542</v>
      </c>
      <c r="W76" s="81">
        <v>46</v>
      </c>
      <c r="X76" s="81">
        <v>96</v>
      </c>
      <c r="Y76" s="81">
        <v>152</v>
      </c>
      <c r="Z76" s="81">
        <v>1218</v>
      </c>
      <c r="AA76" s="81">
        <v>843</v>
      </c>
      <c r="AB76" s="81">
        <v>863</v>
      </c>
      <c r="AC76" s="81">
        <v>668</v>
      </c>
      <c r="AD76" s="81">
        <v>771</v>
      </c>
      <c r="AE76" s="81">
        <v>204</v>
      </c>
      <c r="AF76" s="84">
        <v>87</v>
      </c>
      <c r="AG76" s="84">
        <v>82</v>
      </c>
      <c r="AH76" s="85">
        <v>199.52528477495045</v>
      </c>
      <c r="AI76" s="83">
        <v>202</v>
      </c>
      <c r="AJ76" s="83">
        <v>125</v>
      </c>
      <c r="AK76" s="83">
        <v>60</v>
      </c>
      <c r="AL76" s="81">
        <v>57</v>
      </c>
      <c r="AM76" s="86">
        <v>211</v>
      </c>
      <c r="AN76" s="86">
        <v>240</v>
      </c>
      <c r="AO76" s="86">
        <v>346</v>
      </c>
      <c r="AP76" s="126">
        <v>53</v>
      </c>
      <c r="AQ76" s="126">
        <v>260</v>
      </c>
      <c r="AR76" s="126">
        <v>305</v>
      </c>
      <c r="AS76" s="126">
        <v>196</v>
      </c>
      <c r="AT76" s="126">
        <v>868</v>
      </c>
      <c r="AU76" s="126">
        <v>1003</v>
      </c>
      <c r="AV76" s="71">
        <f t="shared" si="302"/>
        <v>353.9</v>
      </c>
      <c r="AW76" s="71">
        <f t="shared" si="257"/>
        <v>73626.690951097306</v>
      </c>
      <c r="AY76" s="42">
        <v>235</v>
      </c>
      <c r="AZ76" s="48">
        <f t="shared" si="154"/>
        <v>2.3102741815962686E-3</v>
      </c>
      <c r="BA76" s="48">
        <f t="shared" si="200"/>
        <v>1.2533946104031752E-3</v>
      </c>
      <c r="BB76" s="48">
        <f t="shared" si="201"/>
        <v>2.535297460331337E-3</v>
      </c>
      <c r="BC76" s="48">
        <f t="shared" si="202"/>
        <v>0</v>
      </c>
      <c r="BD76" s="48">
        <f t="shared" si="203"/>
        <v>2.7722772277227721E-3</v>
      </c>
      <c r="BE76" s="48">
        <f t="shared" si="204"/>
        <v>1.1188204683434519E-2</v>
      </c>
      <c r="BF76" s="48">
        <f t="shared" si="205"/>
        <v>1.7246227387758929E-2</v>
      </c>
      <c r="BG76" s="48">
        <f t="shared" si="206"/>
        <v>9.5602294455066923E-3</v>
      </c>
      <c r="BH76" s="48">
        <f t="shared" si="207"/>
        <v>0</v>
      </c>
      <c r="BI76" s="48">
        <f t="shared" si="208"/>
        <v>1.9597457627118644E-2</v>
      </c>
      <c r="BJ76" s="48">
        <f t="shared" si="209"/>
        <v>0</v>
      </c>
      <c r="BK76" s="48">
        <f t="shared" si="210"/>
        <v>1.4893059558448365E-3</v>
      </c>
      <c r="BL76" s="48">
        <f t="shared" si="211"/>
        <v>1.096827194209463E-2</v>
      </c>
      <c r="BM76" s="48">
        <f t="shared" si="212"/>
        <v>3.2254911543348648E-3</v>
      </c>
      <c r="BN76" s="48">
        <f t="shared" si="213"/>
        <v>4.8164487796980614E-3</v>
      </c>
      <c r="BO76" s="48">
        <f t="shared" si="214"/>
        <v>3.2384740922072625E-3</v>
      </c>
      <c r="BP76" s="48">
        <f t="shared" si="215"/>
        <v>6.6927753097965866E-3</v>
      </c>
      <c r="BQ76" s="48">
        <f t="shared" si="216"/>
        <v>1.2496662216288385E-2</v>
      </c>
      <c r="BR76" s="48">
        <f t="shared" si="217"/>
        <v>1.5643332029722332E-2</v>
      </c>
      <c r="BS76" s="48"/>
      <c r="BT76" s="48">
        <f t="shared" si="218"/>
        <v>9.4311715881605727E-3</v>
      </c>
      <c r="BU76" s="48">
        <f t="shared" si="219"/>
        <v>1.5603799185888738E-2</v>
      </c>
      <c r="BV76" s="48">
        <f t="shared" si="220"/>
        <v>2.6222343621961214E-2</v>
      </c>
      <c r="BW76" s="48">
        <f t="shared" si="221"/>
        <v>6.3533337830111777E-3</v>
      </c>
      <c r="BX76" s="48">
        <f t="shared" si="222"/>
        <v>1.743511931175654E-2</v>
      </c>
      <c r="BY76" s="48">
        <f t="shared" si="223"/>
        <v>1.0941089436592298E-2</v>
      </c>
      <c r="BZ76" s="48">
        <f t="shared" si="224"/>
        <v>1.3166325939035181E-2</v>
      </c>
      <c r="CA76" s="48">
        <f t="shared" si="225"/>
        <v>6.609476881672554E-3</v>
      </c>
      <c r="CB76" s="48">
        <f t="shared" si="226"/>
        <v>1.1557834142831444E-2</v>
      </c>
      <c r="CC76" s="48">
        <f t="shared" si="227"/>
        <v>2.0357249775471511E-2</v>
      </c>
      <c r="CD76" s="48">
        <f t="shared" si="228"/>
        <v>6.9583300007998077E-3</v>
      </c>
      <c r="CE76" s="48">
        <f t="shared" si="229"/>
        <v>4.8150322959483261E-3</v>
      </c>
      <c r="CF76" s="48">
        <f t="shared" si="230"/>
        <v>8.8562944604593276E-3</v>
      </c>
      <c r="CG76" s="48">
        <f t="shared" si="231"/>
        <v>5.0158919348430673E-3</v>
      </c>
      <c r="CH76" s="48">
        <f t="shared" si="232"/>
        <v>2.5850480818943233E-3</v>
      </c>
      <c r="CI76" s="48">
        <f t="shared" si="233"/>
        <v>3.0792270803950408E-3</v>
      </c>
      <c r="CJ76" s="48">
        <f t="shared" si="234"/>
        <v>4.2099340880457645E-3</v>
      </c>
      <c r="CK76" s="48">
        <f t="shared" si="235"/>
        <v>9.3557398128852037E-3</v>
      </c>
      <c r="CL76" s="48">
        <f t="shared" si="236"/>
        <v>4.3323645684784371E-3</v>
      </c>
      <c r="CM76" s="48">
        <f t="shared" si="237"/>
        <v>4.7784115234294081E-3</v>
      </c>
      <c r="CN76" s="48">
        <f t="shared" si="258"/>
        <v>8.9669407505160216E-4</v>
      </c>
      <c r="CO76" s="48">
        <f t="shared" si="259"/>
        <v>6.2970767032381504E-3</v>
      </c>
      <c r="CP76" s="48">
        <f t="shared" si="260"/>
        <v>5.0829944670355313E-3</v>
      </c>
      <c r="CQ76" s="48">
        <f t="shared" si="261"/>
        <v>2.2847817217462262E-3</v>
      </c>
      <c r="CR76" s="48">
        <f t="shared" si="262"/>
        <v>5.6581880760856809E-3</v>
      </c>
      <c r="CS76" s="48">
        <f t="shared" si="263"/>
        <v>4.7693090445690266E-3</v>
      </c>
      <c r="CT76" s="68">
        <f t="shared" si="264"/>
        <v>0.93356646655363085</v>
      </c>
      <c r="CU76" s="68">
        <f t="shared" si="265"/>
        <v>0.93385722290314377</v>
      </c>
      <c r="CW76" s="42">
        <v>235</v>
      </c>
      <c r="CX76" s="58">
        <f t="shared" si="128"/>
        <v>22499</v>
      </c>
      <c r="CY76" s="58">
        <f t="shared" si="129"/>
        <v>18825</v>
      </c>
      <c r="CZ76" s="58">
        <f t="shared" si="130"/>
        <v>22658</v>
      </c>
      <c r="DA76" s="58">
        <f t="shared" si="131"/>
        <v>430</v>
      </c>
      <c r="DB76" s="58">
        <f t="shared" si="132"/>
        <v>2458</v>
      </c>
      <c r="DC76" s="58">
        <f t="shared" si="133"/>
        <v>10987</v>
      </c>
      <c r="DD76" s="58">
        <f t="shared" si="134"/>
        <v>9943</v>
      </c>
      <c r="DE76" s="58">
        <f t="shared" si="135"/>
        <v>9075</v>
      </c>
      <c r="DF76" s="58">
        <f t="shared" si="136"/>
        <v>12990</v>
      </c>
      <c r="DG76" s="58">
        <f t="shared" si="137"/>
        <v>1465</v>
      </c>
      <c r="DH76" s="58">
        <f t="shared" si="138"/>
        <v>28669</v>
      </c>
      <c r="DI76" s="58">
        <f t="shared" si="139"/>
        <v>70009</v>
      </c>
      <c r="DJ76" s="58">
        <f t="shared" si="140"/>
        <v>41872</v>
      </c>
      <c r="DK76" s="58">
        <f t="shared" si="141"/>
        <v>9349</v>
      </c>
      <c r="DL76" s="58">
        <f t="shared" si="142"/>
        <v>23383</v>
      </c>
      <c r="DM76" s="58">
        <f t="shared" si="143"/>
        <v>36264</v>
      </c>
      <c r="DN76" s="58">
        <f t="shared" si="144"/>
        <v>31873</v>
      </c>
      <c r="DO76" s="58">
        <f t="shared" si="145"/>
        <v>17769</v>
      </c>
      <c r="DP76" s="58">
        <f t="shared" si="146"/>
        <v>25704</v>
      </c>
      <c r="DQ76" s="58"/>
      <c r="DR76" s="58">
        <f t="shared" si="147"/>
        <v>52673</v>
      </c>
      <c r="DS76" s="58">
        <f t="shared" si="148"/>
        <v>2804</v>
      </c>
      <c r="DT76" s="58">
        <f t="shared" si="149"/>
        <v>3489</v>
      </c>
      <c r="DU76" s="58">
        <f t="shared" si="150"/>
        <v>22896.447414749116</v>
      </c>
      <c r="DV76" s="58">
        <f t="shared" si="151"/>
        <v>64073</v>
      </c>
      <c r="DW76" s="58">
        <f t="shared" si="152"/>
        <v>70779</v>
      </c>
      <c r="DX76" s="58">
        <f t="shared" si="153"/>
        <v>54563</v>
      </c>
      <c r="DY76" s="58">
        <f t="shared" ref="DY76:DY102" si="303">DY75+AC76</f>
        <v>92519</v>
      </c>
      <c r="DZ76" s="58">
        <f t="shared" ref="DZ76:DZ102" si="304">DZ75+AD76</f>
        <v>59926</v>
      </c>
      <c r="EA76" s="58">
        <f t="shared" ref="EA76:EA102" si="305">EA75+AE76</f>
        <v>9199</v>
      </c>
      <c r="EB76" s="58">
        <f t="shared" ref="EB76:EB102" si="306">EB75+AF76</f>
        <v>11967</v>
      </c>
      <c r="EC76" s="58">
        <f t="shared" ref="EC76:EC102" si="307">EC75+AG76</f>
        <v>15905</v>
      </c>
      <c r="ED76" s="58">
        <f t="shared" ref="ED76:ED102" si="308">ED75+AH76</f>
        <v>21237.525284774951</v>
      </c>
      <c r="EE76" s="58">
        <f t="shared" ref="EE76:EE102" si="309">EE75+AI76</f>
        <v>39206</v>
      </c>
      <c r="EF76" s="58">
        <f t="shared" ref="EF76:EF102" si="310">EF75+AJ76</f>
        <v>46997</v>
      </c>
      <c r="EG76" s="58">
        <f t="shared" ref="EG76:EG102" si="311">EG75+AK76</f>
        <v>17984.409303526412</v>
      </c>
      <c r="EH76" s="58">
        <f t="shared" ref="EH76:EH102" si="312">EH75+AL76</f>
        <v>12349.976971290718</v>
      </c>
      <c r="EI76" s="58">
        <f t="shared" ref="EI76:EI102" si="313">EI75+AM76</f>
        <v>20946</v>
      </c>
      <c r="EJ76" s="58">
        <f t="shared" ref="EJ76:EJ102" si="314">EJ75+AN76</f>
        <v>49521</v>
      </c>
      <c r="EK76" s="58">
        <f t="shared" ref="EK76:EK102" si="315">EK75+AO76</f>
        <v>69270</v>
      </c>
      <c r="EL76" s="58">
        <f t="shared" si="296"/>
        <v>54334</v>
      </c>
      <c r="EM76" s="58">
        <f t="shared" si="297"/>
        <v>37784</v>
      </c>
      <c r="EN76" s="58">
        <f t="shared" si="298"/>
        <v>54165</v>
      </c>
      <c r="EO76" s="58">
        <f t="shared" si="299"/>
        <v>82370</v>
      </c>
      <c r="EP76" s="58">
        <f t="shared" si="300"/>
        <v>145957</v>
      </c>
      <c r="EQ76" s="58">
        <f t="shared" si="301"/>
        <v>209355</v>
      </c>
      <c r="ER76" s="67">
        <f t="shared" si="266"/>
        <v>73605.197697129071</v>
      </c>
      <c r="ES76" s="67">
        <f t="shared" si="267"/>
        <v>40343.423389618081</v>
      </c>
      <c r="EV76" s="42">
        <v>235</v>
      </c>
      <c r="EW76" s="128">
        <f t="shared" si="238"/>
        <v>0.98073318512706509</v>
      </c>
      <c r="EX76" s="128">
        <f t="shared" si="239"/>
        <v>0.98313139753499057</v>
      </c>
      <c r="EY76" s="128">
        <f t="shared" si="240"/>
        <v>0.99042706648599033</v>
      </c>
      <c r="EZ76" s="128">
        <f t="shared" si="241"/>
        <v>1</v>
      </c>
      <c r="FA76" s="128">
        <f t="shared" si="242"/>
        <v>0.97346534653465344</v>
      </c>
      <c r="FB76" s="128">
        <f t="shared" si="243"/>
        <v>0.95290546400693843</v>
      </c>
      <c r="FC76" s="128">
        <f t="shared" si="244"/>
        <v>0.93195238541569037</v>
      </c>
      <c r="FD76" s="128">
        <f t="shared" si="245"/>
        <v>0.96398980242192478</v>
      </c>
      <c r="FE76" s="128">
        <f t="shared" si="246"/>
        <v>1</v>
      </c>
      <c r="FF76" s="128">
        <f t="shared" si="247"/>
        <v>0.77595338983050843</v>
      </c>
      <c r="FG76" s="128">
        <f t="shared" si="248"/>
        <v>1</v>
      </c>
      <c r="FH76" s="128">
        <f t="shared" si="249"/>
        <v>0.96541500613649212</v>
      </c>
      <c r="FI76" s="128">
        <f t="shared" si="250"/>
        <v>0.92968316348053914</v>
      </c>
      <c r="FJ76" s="128">
        <f t="shared" si="251"/>
        <v>0.91379141823868637</v>
      </c>
      <c r="FK76" s="128">
        <f t="shared" si="252"/>
        <v>0.94641194803092243</v>
      </c>
      <c r="FL76" s="128">
        <f t="shared" si="253"/>
        <v>0.92472460220318242</v>
      </c>
      <c r="FM76" s="128">
        <f t="shared" si="254"/>
        <v>0.93152326397007246</v>
      </c>
      <c r="FN76" s="128">
        <f t="shared" si="255"/>
        <v>0.94894526034712956</v>
      </c>
      <c r="FO76" s="128">
        <f t="shared" si="256"/>
        <v>0.91385501475450637</v>
      </c>
      <c r="FP76" s="128"/>
      <c r="FQ76" s="128">
        <f t="shared" si="268"/>
        <v>0.91654631192468983</v>
      </c>
      <c r="FR76" s="128">
        <f t="shared" si="269"/>
        <v>0.95115332428765265</v>
      </c>
      <c r="FS76" s="128">
        <f t="shared" si="270"/>
        <v>0.95301830101065288</v>
      </c>
      <c r="FT76" s="128">
        <f t="shared" si="271"/>
        <v>0.95703140046752966</v>
      </c>
      <c r="FU76" s="128">
        <f t="shared" si="272"/>
        <v>0.91717602599521897</v>
      </c>
      <c r="FV76" s="128">
        <f t="shared" si="273"/>
        <v>0.91862321379901102</v>
      </c>
      <c r="FW76" s="128">
        <f t="shared" si="274"/>
        <v>0.83243828761480487</v>
      </c>
      <c r="FX76" s="128">
        <f t="shared" si="275"/>
        <v>0.91542244253811833</v>
      </c>
      <c r="FY76" s="128">
        <f t="shared" si="276"/>
        <v>0.89833303351921812</v>
      </c>
      <c r="FZ76" s="128">
        <f t="shared" si="277"/>
        <v>0.91797225825765894</v>
      </c>
      <c r="GA76" s="128">
        <f t="shared" si="278"/>
        <v>0.9571302887307046</v>
      </c>
      <c r="GB76" s="128">
        <f t="shared" si="279"/>
        <v>0.93394010569583086</v>
      </c>
      <c r="GC76" s="128">
        <f t="shared" si="280"/>
        <v>0.94266637807616172</v>
      </c>
      <c r="GD76" s="128">
        <f t="shared" si="281"/>
        <v>0.97352999602701629</v>
      </c>
      <c r="GE76" s="128">
        <f t="shared" si="282"/>
        <v>0.97191603763830003</v>
      </c>
      <c r="GF76" s="128">
        <f t="shared" si="283"/>
        <v>0.92296800253878408</v>
      </c>
      <c r="GG76" s="128">
        <f t="shared" si="284"/>
        <v>0.91215068487749085</v>
      </c>
      <c r="GH76" s="128">
        <f t="shared" si="285"/>
        <v>0.92874562142508754</v>
      </c>
      <c r="GI76" s="128">
        <f t="shared" si="286"/>
        <v>0.89392927414841961</v>
      </c>
      <c r="GJ76" s="128">
        <f t="shared" si="287"/>
        <v>0.95664903534091061</v>
      </c>
      <c r="GK76" s="128">
        <f t="shared" si="288"/>
        <v>0.91926369573308975</v>
      </c>
      <c r="GL76" s="128">
        <f t="shared" si="289"/>
        <v>0.91511056213519337</v>
      </c>
      <c r="GM76" s="128">
        <f t="shared" si="290"/>
        <v>0.90268982067862147</v>
      </c>
      <c r="GN76" s="128">
        <f t="shared" si="291"/>
        <v>0.96019117561345224</v>
      </c>
      <c r="GO76" s="128">
        <f t="shared" si="292"/>
        <v>0.95144257721340753</v>
      </c>
      <c r="GP76" s="128">
        <f t="shared" si="293"/>
        <v>0.99549221837063662</v>
      </c>
      <c r="GQ76" s="129">
        <f t="shared" si="294"/>
        <v>0.93356646655363085</v>
      </c>
      <c r="GR76" s="129">
        <f t="shared" si="295"/>
        <v>0.93385722290314432</v>
      </c>
    </row>
    <row r="77" spans="1:200" x14ac:dyDescent="0.25">
      <c r="A77" s="42">
        <v>236</v>
      </c>
      <c r="B77" s="81">
        <v>44</v>
      </c>
      <c r="C77" s="81">
        <v>29</v>
      </c>
      <c r="D77" s="81">
        <v>60</v>
      </c>
      <c r="E77" s="81">
        <v>0</v>
      </c>
      <c r="F77" s="81">
        <v>9</v>
      </c>
      <c r="G77" s="81">
        <v>68</v>
      </c>
      <c r="H77" s="81">
        <v>177</v>
      </c>
      <c r="I77" s="81">
        <v>129</v>
      </c>
      <c r="J77" s="81"/>
      <c r="K77" s="81">
        <v>12</v>
      </c>
      <c r="L77" s="81"/>
      <c r="M77" s="81">
        <v>237</v>
      </c>
      <c r="N77" s="81">
        <v>393</v>
      </c>
      <c r="O77" s="81">
        <v>77</v>
      </c>
      <c r="P77" s="81">
        <v>61</v>
      </c>
      <c r="Q77" s="81">
        <v>1192</v>
      </c>
      <c r="R77" s="81">
        <v>199</v>
      </c>
      <c r="S77" s="81">
        <v>317</v>
      </c>
      <c r="T77" s="81">
        <v>625</v>
      </c>
      <c r="V77" s="81">
        <v>53</v>
      </c>
      <c r="W77" s="81">
        <v>14</v>
      </c>
      <c r="X77" s="81">
        <v>10</v>
      </c>
      <c r="Y77" s="81">
        <v>87</v>
      </c>
      <c r="Z77" s="81">
        <v>440</v>
      </c>
      <c r="AA77" s="81">
        <v>880</v>
      </c>
      <c r="AB77" s="81">
        <v>1564</v>
      </c>
      <c r="AC77" s="81">
        <v>664</v>
      </c>
      <c r="AD77" s="81">
        <v>560</v>
      </c>
      <c r="AE77" s="81">
        <v>25</v>
      </c>
      <c r="AF77" s="84">
        <v>23</v>
      </c>
      <c r="AG77" s="84">
        <v>29</v>
      </c>
      <c r="AH77" s="85">
        <v>202.45166294194823</v>
      </c>
      <c r="AI77" s="83">
        <v>185</v>
      </c>
      <c r="AJ77" s="83">
        <v>188</v>
      </c>
      <c r="AK77" s="83">
        <v>43</v>
      </c>
      <c r="AL77" s="81">
        <v>206</v>
      </c>
      <c r="AM77" s="86">
        <v>76</v>
      </c>
      <c r="AN77" s="86">
        <v>889</v>
      </c>
      <c r="AO77" s="86">
        <v>734</v>
      </c>
      <c r="AP77" s="126">
        <v>1941</v>
      </c>
      <c r="AQ77" s="126">
        <v>145</v>
      </c>
      <c r="AR77" s="126">
        <v>271</v>
      </c>
      <c r="AS77" s="126">
        <v>184</v>
      </c>
      <c r="AT77" s="126">
        <v>981</v>
      </c>
      <c r="AU77" s="126">
        <v>809</v>
      </c>
      <c r="AV77" s="71">
        <f t="shared" si="302"/>
        <v>623.6</v>
      </c>
      <c r="AW77" s="71">
        <f t="shared" si="257"/>
        <v>74250.290951097311</v>
      </c>
      <c r="AY77" s="42">
        <v>236</v>
      </c>
      <c r="AZ77" s="48">
        <f t="shared" si="154"/>
        <v>1.9179634715138835E-3</v>
      </c>
      <c r="BA77" s="48">
        <f t="shared" si="200"/>
        <v>1.5145184875705034E-3</v>
      </c>
      <c r="BB77" s="48">
        <f t="shared" si="201"/>
        <v>2.62272151068759E-3</v>
      </c>
      <c r="BC77" s="48">
        <f t="shared" si="202"/>
        <v>0</v>
      </c>
      <c r="BD77" s="48">
        <f t="shared" si="203"/>
        <v>3.5643564356435645E-3</v>
      </c>
      <c r="BE77" s="48">
        <f t="shared" si="204"/>
        <v>5.8976582827406764E-3</v>
      </c>
      <c r="BF77" s="48">
        <f t="shared" si="205"/>
        <v>1.6590120911050707E-2</v>
      </c>
      <c r="BG77" s="48">
        <f t="shared" si="206"/>
        <v>1.3702995538559592E-2</v>
      </c>
      <c r="BH77" s="48">
        <f t="shared" si="207"/>
        <v>0</v>
      </c>
      <c r="BI77" s="48">
        <f t="shared" si="208"/>
        <v>6.3559322033898309E-3</v>
      </c>
      <c r="BJ77" s="48">
        <f t="shared" si="209"/>
        <v>0</v>
      </c>
      <c r="BK77" s="48">
        <f t="shared" si="210"/>
        <v>3.2681991808817244E-3</v>
      </c>
      <c r="BL77" s="48">
        <f t="shared" si="211"/>
        <v>8.7257709984679948E-3</v>
      </c>
      <c r="BM77" s="48">
        <f t="shared" si="212"/>
        <v>7.5261460267813506E-3</v>
      </c>
      <c r="BN77" s="48">
        <f t="shared" si="213"/>
        <v>2.4689359290889223E-3</v>
      </c>
      <c r="BO77" s="48">
        <f t="shared" si="214"/>
        <v>3.0395756833945329E-2</v>
      </c>
      <c r="BP77" s="48">
        <f t="shared" si="215"/>
        <v>5.8159925181201777E-3</v>
      </c>
      <c r="BQ77" s="48">
        <f t="shared" si="216"/>
        <v>1.692923898531375E-2</v>
      </c>
      <c r="BR77" s="48">
        <f t="shared" si="217"/>
        <v>2.2220642087673766E-2</v>
      </c>
      <c r="BS77" s="48"/>
      <c r="BT77" s="48">
        <f t="shared" si="218"/>
        <v>9.2223633611164275E-4</v>
      </c>
      <c r="BU77" s="48">
        <f t="shared" si="219"/>
        <v>4.7489823609226595E-3</v>
      </c>
      <c r="BV77" s="48">
        <f t="shared" si="220"/>
        <v>2.7314941272876263E-3</v>
      </c>
      <c r="BW77" s="48">
        <f t="shared" si="221"/>
        <v>3.6364476258024503E-3</v>
      </c>
      <c r="BX77" s="48">
        <f t="shared" si="222"/>
        <v>6.2984010650023615E-3</v>
      </c>
      <c r="BY77" s="48">
        <f t="shared" si="223"/>
        <v>1.1421303326454593E-2</v>
      </c>
      <c r="BZ77" s="48">
        <f t="shared" si="224"/>
        <v>2.38611051780429E-2</v>
      </c>
      <c r="CA77" s="48">
        <f t="shared" si="225"/>
        <v>6.5698991757942747E-3</v>
      </c>
      <c r="CB77" s="48">
        <f t="shared" si="226"/>
        <v>8.3947952269592847E-3</v>
      </c>
      <c r="CC77" s="48">
        <f t="shared" si="227"/>
        <v>2.4947610018960184E-3</v>
      </c>
      <c r="CD77" s="48">
        <f t="shared" si="228"/>
        <v>1.83955850595857E-3</v>
      </c>
      <c r="CE77" s="48">
        <f t="shared" si="229"/>
        <v>1.7028772753963594E-3</v>
      </c>
      <c r="CF77" s="48">
        <f t="shared" si="230"/>
        <v>8.9861871042855156E-3</v>
      </c>
      <c r="CG77" s="48">
        <f t="shared" si="231"/>
        <v>4.5937624155740963E-3</v>
      </c>
      <c r="CH77" s="48">
        <f t="shared" si="232"/>
        <v>3.8879123151690622E-3</v>
      </c>
      <c r="CI77" s="48">
        <f t="shared" si="233"/>
        <v>2.2067794076164461E-3</v>
      </c>
      <c r="CJ77" s="48">
        <f t="shared" si="234"/>
        <v>1.5214849511182937E-2</v>
      </c>
      <c r="CK77" s="48">
        <f t="shared" si="235"/>
        <v>3.3698399326032012E-3</v>
      </c>
      <c r="CL77" s="48">
        <f t="shared" si="236"/>
        <v>1.6047800422405546E-2</v>
      </c>
      <c r="CM77" s="48">
        <f t="shared" si="237"/>
        <v>1.0136861439876259E-2</v>
      </c>
      <c r="CN77" s="48">
        <f t="shared" si="258"/>
        <v>3.2839305654248301E-2</v>
      </c>
      <c r="CO77" s="48">
        <f t="shared" si="259"/>
        <v>3.5118312383443533E-3</v>
      </c>
      <c r="CP77" s="48">
        <f t="shared" si="260"/>
        <v>4.5163655756282912E-3</v>
      </c>
      <c r="CQ77" s="48">
        <f t="shared" si="261"/>
        <v>2.1448971265372735E-3</v>
      </c>
      <c r="CR77" s="48">
        <f t="shared" si="262"/>
        <v>6.3947955099539783E-3</v>
      </c>
      <c r="CS77" s="48">
        <f t="shared" si="263"/>
        <v>3.8468305254799029E-3</v>
      </c>
      <c r="CT77" s="68">
        <f t="shared" si="264"/>
        <v>0.94336880424725689</v>
      </c>
      <c r="CU77" s="68">
        <f t="shared" si="265"/>
        <v>0.94204701864256302</v>
      </c>
      <c r="CW77" s="42">
        <v>236</v>
      </c>
      <c r="CX77" s="58">
        <f t="shared" ref="CX77:CX102" si="316">CX76+B77</f>
        <v>22543</v>
      </c>
      <c r="CY77" s="58">
        <f t="shared" ref="CY77:CY102" si="317">CY76+C77</f>
        <v>18854</v>
      </c>
      <c r="CZ77" s="58">
        <f t="shared" ref="CZ77:CZ102" si="318">CZ76+D77</f>
        <v>22718</v>
      </c>
      <c r="DA77" s="58">
        <f t="shared" ref="DA77:DA102" si="319">DA76+E77</f>
        <v>430</v>
      </c>
      <c r="DB77" s="58">
        <f t="shared" ref="DB77:DB102" si="320">DB76+F77</f>
        <v>2467</v>
      </c>
      <c r="DC77" s="58">
        <f t="shared" ref="DC77:DC102" si="321">DC76+G77</f>
        <v>11055</v>
      </c>
      <c r="DD77" s="58">
        <f t="shared" ref="DD77:DD102" si="322">DD76+H77</f>
        <v>10120</v>
      </c>
      <c r="DE77" s="58">
        <f t="shared" ref="DE77:DE102" si="323">DE76+I77</f>
        <v>9204</v>
      </c>
      <c r="DF77" s="58">
        <f t="shared" ref="DF77:DF102" si="324">DF76+J77</f>
        <v>12990</v>
      </c>
      <c r="DG77" s="58">
        <f t="shared" ref="DG77:DG102" si="325">DG76+K77</f>
        <v>1477</v>
      </c>
      <c r="DH77" s="58">
        <f t="shared" ref="DH77:DH102" si="326">DH76+L77</f>
        <v>28669</v>
      </c>
      <c r="DI77" s="58">
        <f t="shared" ref="DI77:DI102" si="327">DI76+M77</f>
        <v>70246</v>
      </c>
      <c r="DJ77" s="58">
        <f t="shared" ref="DJ77:DJ102" si="328">DJ76+N77</f>
        <v>42265</v>
      </c>
      <c r="DK77" s="58">
        <f t="shared" ref="DK77:DK102" si="329">DK76+O77</f>
        <v>9426</v>
      </c>
      <c r="DL77" s="58">
        <f t="shared" ref="DL77:DL102" si="330">DL76+P77</f>
        <v>23444</v>
      </c>
      <c r="DM77" s="58">
        <f t="shared" ref="DM77:DM102" si="331">DM76+Q77</f>
        <v>37456</v>
      </c>
      <c r="DN77" s="58">
        <f t="shared" ref="DN77:DN102" si="332">DN76+R77</f>
        <v>32072</v>
      </c>
      <c r="DO77" s="58">
        <f t="shared" ref="DO77:DO102" si="333">DO76+S77</f>
        <v>18086</v>
      </c>
      <c r="DP77" s="58">
        <f t="shared" ref="DP77:DP102" si="334">DP76+T77</f>
        <v>26329</v>
      </c>
      <c r="DQ77" s="58"/>
      <c r="DR77" s="58">
        <f t="shared" ref="DR77:DR102" si="335">DR76+V77</f>
        <v>52726</v>
      </c>
      <c r="DS77" s="58">
        <f t="shared" ref="DS77:DS102" si="336">DS76+W77</f>
        <v>2818</v>
      </c>
      <c r="DT77" s="58">
        <f t="shared" ref="DT77:DT102" si="337">DT76+X77</f>
        <v>3499</v>
      </c>
      <c r="DU77" s="58">
        <f t="shared" ref="DU77:DU102" si="338">DU76+Y77</f>
        <v>22983.447414749116</v>
      </c>
      <c r="DV77" s="58">
        <f t="shared" ref="DV77:DV102" si="339">DV76+Z77</f>
        <v>64513</v>
      </c>
      <c r="DW77" s="58">
        <f t="shared" ref="DW77:DW102" si="340">DW76+AA77</f>
        <v>71659</v>
      </c>
      <c r="DX77" s="58">
        <f t="shared" ref="DX77:DX102" si="341">DX76+AB77</f>
        <v>56127</v>
      </c>
      <c r="DY77" s="58">
        <f t="shared" si="303"/>
        <v>93183</v>
      </c>
      <c r="DZ77" s="58">
        <f t="shared" si="304"/>
        <v>60486</v>
      </c>
      <c r="EA77" s="58">
        <f t="shared" si="305"/>
        <v>9224</v>
      </c>
      <c r="EB77" s="58">
        <f t="shared" si="306"/>
        <v>11990</v>
      </c>
      <c r="EC77" s="58">
        <f t="shared" si="307"/>
        <v>15934</v>
      </c>
      <c r="ED77" s="58">
        <f t="shared" si="308"/>
        <v>21439.976947716899</v>
      </c>
      <c r="EE77" s="58">
        <f t="shared" si="309"/>
        <v>39391</v>
      </c>
      <c r="EF77" s="58">
        <f t="shared" si="310"/>
        <v>47185</v>
      </c>
      <c r="EG77" s="58">
        <f t="shared" si="311"/>
        <v>18027.409303526412</v>
      </c>
      <c r="EH77" s="58">
        <f t="shared" si="312"/>
        <v>12555.976971290718</v>
      </c>
      <c r="EI77" s="58">
        <f t="shared" si="313"/>
        <v>21022</v>
      </c>
      <c r="EJ77" s="58">
        <f t="shared" si="314"/>
        <v>50410</v>
      </c>
      <c r="EK77" s="58">
        <f t="shared" si="315"/>
        <v>70004</v>
      </c>
      <c r="EL77" s="58">
        <f t="shared" si="296"/>
        <v>56275</v>
      </c>
      <c r="EM77" s="58">
        <f t="shared" si="297"/>
        <v>37929</v>
      </c>
      <c r="EN77" s="58">
        <f t="shared" si="298"/>
        <v>54436</v>
      </c>
      <c r="EO77" s="58">
        <f t="shared" si="299"/>
        <v>82554</v>
      </c>
      <c r="EP77" s="58">
        <f t="shared" si="300"/>
        <v>146938</v>
      </c>
      <c r="EQ77" s="58">
        <f t="shared" si="301"/>
        <v>210164</v>
      </c>
      <c r="ER77" s="67">
        <f t="shared" si="266"/>
        <v>74228.797697129077</v>
      </c>
      <c r="ES77" s="67">
        <f t="shared" si="267"/>
        <v>40701.946600909345</v>
      </c>
      <c r="EV77" s="42">
        <v>236</v>
      </c>
      <c r="EW77" s="128">
        <f t="shared" si="238"/>
        <v>0.98265114859857894</v>
      </c>
      <c r="EX77" s="128">
        <f t="shared" si="239"/>
        <v>0.98464591602256113</v>
      </c>
      <c r="EY77" s="128">
        <f t="shared" si="240"/>
        <v>0.99304978799667787</v>
      </c>
      <c r="EZ77" s="128">
        <f t="shared" si="241"/>
        <v>1</v>
      </c>
      <c r="FA77" s="128">
        <f t="shared" si="242"/>
        <v>0.97702970297029701</v>
      </c>
      <c r="FB77" s="128">
        <f t="shared" si="243"/>
        <v>0.95880312228967912</v>
      </c>
      <c r="FC77" s="128">
        <f t="shared" si="244"/>
        <v>0.94854250632674098</v>
      </c>
      <c r="FD77" s="128">
        <f t="shared" si="245"/>
        <v>0.97769279796048436</v>
      </c>
      <c r="FE77" s="128">
        <f t="shared" si="246"/>
        <v>1</v>
      </c>
      <c r="FF77" s="128">
        <f t="shared" si="247"/>
        <v>0.78230932203389836</v>
      </c>
      <c r="FG77" s="128">
        <f t="shared" si="248"/>
        <v>1</v>
      </c>
      <c r="FH77" s="128">
        <f t="shared" si="249"/>
        <v>0.96868320531737384</v>
      </c>
      <c r="FI77" s="128">
        <f t="shared" si="250"/>
        <v>0.93840893447900708</v>
      </c>
      <c r="FJ77" s="128">
        <f t="shared" si="251"/>
        <v>0.92131756426546774</v>
      </c>
      <c r="FK77" s="128">
        <f t="shared" si="252"/>
        <v>0.94888088396001136</v>
      </c>
      <c r="FL77" s="128">
        <f t="shared" si="253"/>
        <v>0.95512035903712766</v>
      </c>
      <c r="FM77" s="128">
        <f t="shared" si="254"/>
        <v>0.93733925648819261</v>
      </c>
      <c r="FN77" s="128">
        <f t="shared" si="255"/>
        <v>0.96587449933244329</v>
      </c>
      <c r="FO77" s="128">
        <f t="shared" si="256"/>
        <v>0.93607565684218008</v>
      </c>
      <c r="FP77" s="128"/>
      <c r="FQ77" s="128">
        <f t="shared" si="268"/>
        <v>0.91746854826080149</v>
      </c>
      <c r="FR77" s="128">
        <f t="shared" si="269"/>
        <v>0.95590230664857534</v>
      </c>
      <c r="FS77" s="128">
        <f t="shared" si="270"/>
        <v>0.95574979513794045</v>
      </c>
      <c r="FT77" s="128">
        <f t="shared" si="271"/>
        <v>0.96066784809333217</v>
      </c>
      <c r="FU77" s="128">
        <f t="shared" si="272"/>
        <v>0.92347442706022131</v>
      </c>
      <c r="FV77" s="128">
        <f t="shared" si="273"/>
        <v>0.93004451712546565</v>
      </c>
      <c r="FW77" s="128">
        <f t="shared" si="274"/>
        <v>0.85629939279284772</v>
      </c>
      <c r="FX77" s="128">
        <f t="shared" si="275"/>
        <v>0.92199234171391253</v>
      </c>
      <c r="FY77" s="128">
        <f t="shared" si="276"/>
        <v>0.90672782874617741</v>
      </c>
      <c r="FZ77" s="128">
        <f t="shared" si="277"/>
        <v>0.92046701925955499</v>
      </c>
      <c r="GA77" s="128">
        <f t="shared" si="278"/>
        <v>0.95896984723666323</v>
      </c>
      <c r="GB77" s="128">
        <f t="shared" si="279"/>
        <v>0.93564298297122728</v>
      </c>
      <c r="GC77" s="128">
        <f t="shared" si="280"/>
        <v>0.95165256518044727</v>
      </c>
      <c r="GD77" s="128">
        <f t="shared" si="281"/>
        <v>0.97812375844259036</v>
      </c>
      <c r="GE77" s="128">
        <f t="shared" si="282"/>
        <v>0.97580394995346909</v>
      </c>
      <c r="GF77" s="128">
        <f t="shared" si="283"/>
        <v>0.92517478194640046</v>
      </c>
      <c r="GG77" s="128">
        <f t="shared" si="284"/>
        <v>0.92736553438867386</v>
      </c>
      <c r="GH77" s="128">
        <f t="shared" si="285"/>
        <v>0.93211546135769074</v>
      </c>
      <c r="GI77" s="128">
        <f t="shared" si="286"/>
        <v>0.90997707457082511</v>
      </c>
      <c r="GJ77" s="128">
        <f t="shared" si="287"/>
        <v>0.96678589678078697</v>
      </c>
      <c r="GK77" s="128">
        <f t="shared" si="288"/>
        <v>0.95210300138733805</v>
      </c>
      <c r="GL77" s="128">
        <f t="shared" si="289"/>
        <v>0.91862239337353779</v>
      </c>
      <c r="GM77" s="128">
        <f t="shared" si="290"/>
        <v>0.90720618625424976</v>
      </c>
      <c r="GN77" s="128">
        <f t="shared" si="291"/>
        <v>0.96233607273998956</v>
      </c>
      <c r="GO77" s="128">
        <f t="shared" si="292"/>
        <v>0.95783737272336156</v>
      </c>
      <c r="GP77" s="128">
        <f t="shared" si="293"/>
        <v>0.99933904889611658</v>
      </c>
      <c r="GQ77" s="129">
        <f t="shared" si="294"/>
        <v>0.94336880424725711</v>
      </c>
      <c r="GR77" s="129">
        <f t="shared" si="295"/>
        <v>0.94204701864256335</v>
      </c>
    </row>
    <row r="78" spans="1:200" x14ac:dyDescent="0.25">
      <c r="A78" s="42">
        <v>237</v>
      </c>
      <c r="B78" s="81">
        <v>44</v>
      </c>
      <c r="C78" s="81">
        <v>63</v>
      </c>
      <c r="D78" s="81">
        <v>29</v>
      </c>
      <c r="E78" s="81">
        <v>0</v>
      </c>
      <c r="F78" s="81">
        <v>6</v>
      </c>
      <c r="G78" s="81">
        <v>41</v>
      </c>
      <c r="H78" s="81">
        <v>168</v>
      </c>
      <c r="I78" s="81">
        <v>58</v>
      </c>
      <c r="J78" s="81"/>
      <c r="K78" s="81">
        <v>38</v>
      </c>
      <c r="L78" s="81"/>
      <c r="M78" s="81">
        <v>303</v>
      </c>
      <c r="N78" s="81">
        <v>342</v>
      </c>
      <c r="O78" s="81">
        <v>11</v>
      </c>
      <c r="P78" s="81">
        <v>564</v>
      </c>
      <c r="Q78" s="81">
        <v>104</v>
      </c>
      <c r="R78" s="81">
        <v>156</v>
      </c>
      <c r="S78" s="81">
        <v>30</v>
      </c>
      <c r="T78" s="81">
        <v>42</v>
      </c>
      <c r="V78" s="81">
        <v>719</v>
      </c>
      <c r="W78" s="81">
        <v>84</v>
      </c>
      <c r="X78" s="81">
        <v>5</v>
      </c>
      <c r="Y78" s="81">
        <v>167</v>
      </c>
      <c r="Z78" s="81">
        <v>303</v>
      </c>
      <c r="AA78" s="81">
        <v>516</v>
      </c>
      <c r="AB78" s="81">
        <v>2833</v>
      </c>
      <c r="AC78" s="81">
        <v>624</v>
      </c>
      <c r="AD78" s="81">
        <v>655</v>
      </c>
      <c r="AE78" s="81">
        <v>0</v>
      </c>
      <c r="AF78" s="84">
        <v>34</v>
      </c>
      <c r="AG78" s="84">
        <v>71</v>
      </c>
      <c r="AH78" s="85">
        <v>200.78765884685981</v>
      </c>
      <c r="AI78" s="83">
        <v>116</v>
      </c>
      <c r="AJ78" s="83">
        <v>163</v>
      </c>
      <c r="AK78" s="83">
        <v>167</v>
      </c>
      <c r="AL78" s="81">
        <v>54</v>
      </c>
      <c r="AM78" s="86">
        <v>280</v>
      </c>
      <c r="AN78" s="86">
        <v>1092</v>
      </c>
      <c r="AO78" s="86">
        <v>196</v>
      </c>
      <c r="AP78" s="126">
        <v>57</v>
      </c>
      <c r="AQ78" s="126">
        <v>145</v>
      </c>
      <c r="AR78" s="126">
        <v>912</v>
      </c>
      <c r="AS78" s="126">
        <v>222</v>
      </c>
      <c r="AT78" s="126">
        <v>459</v>
      </c>
      <c r="AU78" s="126">
        <v>89</v>
      </c>
      <c r="AV78" s="71">
        <f t="shared" si="302"/>
        <v>350.6</v>
      </c>
      <c r="AW78" s="71">
        <f t="shared" si="257"/>
        <v>74600.890951097317</v>
      </c>
      <c r="AY78" s="42">
        <v>237</v>
      </c>
      <c r="AZ78" s="48">
        <f t="shared" si="154"/>
        <v>1.9179634715138835E-3</v>
      </c>
      <c r="BA78" s="48">
        <f t="shared" si="200"/>
        <v>3.2901608523083349E-3</v>
      </c>
      <c r="BB78" s="48">
        <f t="shared" si="201"/>
        <v>1.2676487301656685E-3</v>
      </c>
      <c r="BC78" s="48">
        <f t="shared" si="202"/>
        <v>0</v>
      </c>
      <c r="BD78" s="48">
        <f t="shared" si="203"/>
        <v>2.3762376237623762E-3</v>
      </c>
      <c r="BE78" s="48">
        <f t="shared" si="204"/>
        <v>3.5559410234171727E-3</v>
      </c>
      <c r="BF78" s="48">
        <f t="shared" si="205"/>
        <v>1.5746555440997283E-2</v>
      </c>
      <c r="BG78" s="48">
        <f t="shared" si="206"/>
        <v>6.1610367537709796E-3</v>
      </c>
      <c r="BH78" s="48">
        <f t="shared" si="207"/>
        <v>0</v>
      </c>
      <c r="BI78" s="48">
        <f t="shared" si="208"/>
        <v>2.0127118644067795E-2</v>
      </c>
      <c r="BJ78" s="48">
        <f t="shared" si="209"/>
        <v>0</v>
      </c>
      <c r="BK78" s="48">
        <f t="shared" si="210"/>
        <v>4.1783305983424572E-3</v>
      </c>
      <c r="BL78" s="48">
        <f t="shared" si="211"/>
        <v>7.5934190368347433E-3</v>
      </c>
      <c r="BM78" s="48">
        <f t="shared" si="212"/>
        <v>1.0751637181116215E-3</v>
      </c>
      <c r="BN78" s="48">
        <f t="shared" si="213"/>
        <v>2.2827538754199215E-2</v>
      </c>
      <c r="BO78" s="48">
        <f t="shared" si="214"/>
        <v>2.6519787841697267E-3</v>
      </c>
      <c r="BP78" s="48">
        <f t="shared" si="215"/>
        <v>4.559270516717325E-3</v>
      </c>
      <c r="BQ78" s="48">
        <f t="shared" si="216"/>
        <v>1.6021361815754338E-3</v>
      </c>
      <c r="BR78" s="48">
        <f t="shared" si="217"/>
        <v>1.4932271482916771E-3</v>
      </c>
      <c r="BS78" s="48"/>
      <c r="BT78" s="48">
        <f t="shared" si="218"/>
        <v>1.251109293706172E-2</v>
      </c>
      <c r="BU78" s="48">
        <f t="shared" si="219"/>
        <v>2.8493894165535955E-2</v>
      </c>
      <c r="BV78" s="48">
        <f t="shared" si="220"/>
        <v>1.3657470636438131E-3</v>
      </c>
      <c r="BW78" s="48">
        <f t="shared" si="221"/>
        <v>6.9803075115978074E-3</v>
      </c>
      <c r="BX78" s="48">
        <f t="shared" si="222"/>
        <v>4.3373080061266268E-3</v>
      </c>
      <c r="BY78" s="48">
        <f t="shared" si="223"/>
        <v>6.6970369505120119E-3</v>
      </c>
      <c r="BZ78" s="48">
        <f t="shared" si="224"/>
        <v>4.322155432825802E-2</v>
      </c>
      <c r="CA78" s="48">
        <f t="shared" si="225"/>
        <v>6.1741221170114871E-3</v>
      </c>
      <c r="CB78" s="48">
        <f t="shared" si="226"/>
        <v>9.818912274389878E-3</v>
      </c>
      <c r="CC78" s="48">
        <f t="shared" si="227"/>
        <v>0</v>
      </c>
      <c r="CD78" s="48">
        <f t="shared" si="228"/>
        <v>2.7193473566344078E-3</v>
      </c>
      <c r="CE78" s="48">
        <f t="shared" si="229"/>
        <v>4.1691133294186732E-3</v>
      </c>
      <c r="CF78" s="48">
        <f t="shared" si="230"/>
        <v>8.9123272410299124E-3</v>
      </c>
      <c r="CG78" s="48">
        <f t="shared" si="231"/>
        <v>2.8804131903059195E-3</v>
      </c>
      <c r="CH78" s="48">
        <f t="shared" si="232"/>
        <v>3.3709026987901974E-3</v>
      </c>
      <c r="CI78" s="48">
        <f t="shared" si="233"/>
        <v>8.5705153737661976E-3</v>
      </c>
      <c r="CJ78" s="48">
        <f t="shared" si="234"/>
        <v>3.9883586097275662E-3</v>
      </c>
      <c r="CK78" s="48">
        <f t="shared" si="235"/>
        <v>1.2415199751696006E-2</v>
      </c>
      <c r="CL78" s="48">
        <f t="shared" si="236"/>
        <v>1.971225878657689E-2</v>
      </c>
      <c r="CM78" s="48">
        <f t="shared" si="237"/>
        <v>2.7068458340813988E-3</v>
      </c>
      <c r="CN78" s="48">
        <f t="shared" si="258"/>
        <v>9.6436909958379864E-4</v>
      </c>
      <c r="CO78" s="48">
        <f t="shared" si="259"/>
        <v>3.5118312383443533E-3</v>
      </c>
      <c r="CP78" s="48">
        <f t="shared" si="260"/>
        <v>1.5198986734217719E-2</v>
      </c>
      <c r="CQ78" s="48">
        <f t="shared" si="261"/>
        <v>2.5878650113656232E-3</v>
      </c>
      <c r="CR78" s="48">
        <f t="shared" si="262"/>
        <v>2.9920602844738797E-3</v>
      </c>
      <c r="CS78" s="48">
        <f t="shared" si="263"/>
        <v>4.2319890824191761E-4</v>
      </c>
      <c r="CT78" s="68">
        <f t="shared" si="264"/>
        <v>0.9498189016730878</v>
      </c>
      <c r="CU78" s="68">
        <f t="shared" si="265"/>
        <v>0.94957559237492029</v>
      </c>
      <c r="CW78" s="42">
        <v>237</v>
      </c>
      <c r="CX78" s="58">
        <f t="shared" si="316"/>
        <v>22587</v>
      </c>
      <c r="CY78" s="58">
        <f t="shared" si="317"/>
        <v>18917</v>
      </c>
      <c r="CZ78" s="58">
        <f t="shared" si="318"/>
        <v>22747</v>
      </c>
      <c r="DA78" s="58">
        <f t="shared" si="319"/>
        <v>430</v>
      </c>
      <c r="DB78" s="58">
        <f t="shared" si="320"/>
        <v>2473</v>
      </c>
      <c r="DC78" s="58">
        <f t="shared" si="321"/>
        <v>11096</v>
      </c>
      <c r="DD78" s="58">
        <f t="shared" si="322"/>
        <v>10288</v>
      </c>
      <c r="DE78" s="58">
        <f t="shared" si="323"/>
        <v>9262</v>
      </c>
      <c r="DF78" s="58">
        <f t="shared" si="324"/>
        <v>12990</v>
      </c>
      <c r="DG78" s="58">
        <f t="shared" si="325"/>
        <v>1515</v>
      </c>
      <c r="DH78" s="58">
        <f t="shared" si="326"/>
        <v>28669</v>
      </c>
      <c r="DI78" s="58">
        <f t="shared" si="327"/>
        <v>70549</v>
      </c>
      <c r="DJ78" s="58">
        <f t="shared" si="328"/>
        <v>42607</v>
      </c>
      <c r="DK78" s="58">
        <f t="shared" si="329"/>
        <v>9437</v>
      </c>
      <c r="DL78" s="58">
        <f t="shared" si="330"/>
        <v>24008</v>
      </c>
      <c r="DM78" s="58">
        <f t="shared" si="331"/>
        <v>37560</v>
      </c>
      <c r="DN78" s="58">
        <f t="shared" si="332"/>
        <v>32228</v>
      </c>
      <c r="DO78" s="58">
        <f t="shared" si="333"/>
        <v>18116</v>
      </c>
      <c r="DP78" s="58">
        <f t="shared" si="334"/>
        <v>26371</v>
      </c>
      <c r="DQ78" s="58"/>
      <c r="DR78" s="58">
        <f t="shared" si="335"/>
        <v>53445</v>
      </c>
      <c r="DS78" s="58">
        <f t="shared" si="336"/>
        <v>2902</v>
      </c>
      <c r="DT78" s="58">
        <f t="shared" si="337"/>
        <v>3504</v>
      </c>
      <c r="DU78" s="58">
        <f t="shared" si="338"/>
        <v>23150.447414749116</v>
      </c>
      <c r="DV78" s="58">
        <f t="shared" si="339"/>
        <v>64816</v>
      </c>
      <c r="DW78" s="58">
        <f t="shared" si="340"/>
        <v>72175</v>
      </c>
      <c r="DX78" s="58">
        <f t="shared" si="341"/>
        <v>58960</v>
      </c>
      <c r="DY78" s="58">
        <f t="shared" si="303"/>
        <v>93807</v>
      </c>
      <c r="DZ78" s="58">
        <f t="shared" si="304"/>
        <v>61141</v>
      </c>
      <c r="EA78" s="58">
        <f t="shared" si="305"/>
        <v>9224</v>
      </c>
      <c r="EB78" s="58">
        <f t="shared" si="306"/>
        <v>12024</v>
      </c>
      <c r="EC78" s="58">
        <f t="shared" si="307"/>
        <v>16005</v>
      </c>
      <c r="ED78" s="58">
        <f t="shared" si="308"/>
        <v>21640.76460656376</v>
      </c>
      <c r="EE78" s="58">
        <f t="shared" si="309"/>
        <v>39507</v>
      </c>
      <c r="EF78" s="58">
        <f t="shared" si="310"/>
        <v>47348</v>
      </c>
      <c r="EG78" s="58">
        <f t="shared" si="311"/>
        <v>18194.409303526412</v>
      </c>
      <c r="EH78" s="58">
        <f t="shared" si="312"/>
        <v>12609.976971290718</v>
      </c>
      <c r="EI78" s="58">
        <f t="shared" si="313"/>
        <v>21302</v>
      </c>
      <c r="EJ78" s="58">
        <f t="shared" si="314"/>
        <v>51502</v>
      </c>
      <c r="EK78" s="58">
        <f t="shared" si="315"/>
        <v>70200</v>
      </c>
      <c r="EL78" s="58">
        <f t="shared" si="296"/>
        <v>56332</v>
      </c>
      <c r="EM78" s="58">
        <f t="shared" si="297"/>
        <v>38074</v>
      </c>
      <c r="EN78" s="58">
        <f t="shared" si="298"/>
        <v>55348</v>
      </c>
      <c r="EO78" s="58">
        <f t="shared" si="299"/>
        <v>82776</v>
      </c>
      <c r="EP78" s="58">
        <f t="shared" si="300"/>
        <v>147397</v>
      </c>
      <c r="EQ78" s="58">
        <f t="shared" si="301"/>
        <v>210253</v>
      </c>
      <c r="ER78" s="67">
        <f t="shared" si="266"/>
        <v>74579.397697129083</v>
      </c>
      <c r="ES78" s="67">
        <f t="shared" si="267"/>
        <v>40995.282885271467</v>
      </c>
      <c r="EV78" s="42">
        <v>237</v>
      </c>
      <c r="EW78" s="128">
        <f t="shared" si="238"/>
        <v>0.9845691120700929</v>
      </c>
      <c r="EX78" s="128">
        <f t="shared" si="239"/>
        <v>0.9879360768748694</v>
      </c>
      <c r="EY78" s="128">
        <f t="shared" si="240"/>
        <v>0.99431743672684358</v>
      </c>
      <c r="EZ78" s="128">
        <f t="shared" si="241"/>
        <v>1</v>
      </c>
      <c r="FA78" s="128">
        <f t="shared" si="242"/>
        <v>0.97940594059405939</v>
      </c>
      <c r="FB78" s="128">
        <f t="shared" si="243"/>
        <v>0.96235906331309629</v>
      </c>
      <c r="FC78" s="128">
        <f t="shared" si="244"/>
        <v>0.96428906176773832</v>
      </c>
      <c r="FD78" s="128">
        <f t="shared" si="245"/>
        <v>0.98385383471425536</v>
      </c>
      <c r="FE78" s="128">
        <f t="shared" si="246"/>
        <v>1</v>
      </c>
      <c r="FF78" s="128">
        <f t="shared" si="247"/>
        <v>0.80243644067796616</v>
      </c>
      <c r="FG78" s="128">
        <f t="shared" si="248"/>
        <v>1</v>
      </c>
      <c r="FH78" s="128">
        <f t="shared" si="249"/>
        <v>0.97286153591571634</v>
      </c>
      <c r="FI78" s="128">
        <f t="shared" si="250"/>
        <v>0.94600235351584183</v>
      </c>
      <c r="FJ78" s="128">
        <f t="shared" si="251"/>
        <v>0.9223927279835793</v>
      </c>
      <c r="FK78" s="128">
        <f t="shared" si="252"/>
        <v>0.97170842271421054</v>
      </c>
      <c r="FL78" s="128">
        <f t="shared" si="253"/>
        <v>0.95777233782129745</v>
      </c>
      <c r="FM78" s="128">
        <f t="shared" si="254"/>
        <v>0.94189852700490995</v>
      </c>
      <c r="FN78" s="128">
        <f t="shared" si="255"/>
        <v>0.96747663551401875</v>
      </c>
      <c r="FO78" s="128">
        <f t="shared" si="256"/>
        <v>0.93756888399047178</v>
      </c>
      <c r="FP78" s="128"/>
      <c r="FQ78" s="128">
        <f t="shared" si="268"/>
        <v>0.92997964119786325</v>
      </c>
      <c r="FR78" s="128">
        <f t="shared" si="269"/>
        <v>0.98439620081411128</v>
      </c>
      <c r="FS78" s="128">
        <f t="shared" si="270"/>
        <v>0.95711554220158424</v>
      </c>
      <c r="FT78" s="128">
        <f t="shared" si="271"/>
        <v>0.96764815560492989</v>
      </c>
      <c r="FU78" s="128">
        <f t="shared" si="272"/>
        <v>0.92781173506634795</v>
      </c>
      <c r="FV78" s="128">
        <f t="shared" si="273"/>
        <v>0.93674155407597759</v>
      </c>
      <c r="FW78" s="128">
        <f t="shared" si="274"/>
        <v>0.89952094712110575</v>
      </c>
      <c r="FX78" s="128">
        <f t="shared" si="275"/>
        <v>0.92816646383092405</v>
      </c>
      <c r="FY78" s="128">
        <f t="shared" si="276"/>
        <v>0.91654674102056721</v>
      </c>
      <c r="FZ78" s="128">
        <f t="shared" si="277"/>
        <v>0.92046701925955499</v>
      </c>
      <c r="GA78" s="128">
        <f t="shared" si="278"/>
        <v>0.9616891945932976</v>
      </c>
      <c r="GB78" s="128">
        <f t="shared" si="279"/>
        <v>0.93981209630064588</v>
      </c>
      <c r="GC78" s="128">
        <f t="shared" si="280"/>
        <v>0.96056489242147725</v>
      </c>
      <c r="GD78" s="128">
        <f t="shared" si="281"/>
        <v>0.98100417163289633</v>
      </c>
      <c r="GE78" s="128">
        <f t="shared" si="282"/>
        <v>0.97917485265225934</v>
      </c>
      <c r="GF78" s="128">
        <f t="shared" si="283"/>
        <v>0.93374529732016676</v>
      </c>
      <c r="GG78" s="128">
        <f t="shared" si="284"/>
        <v>0.93135389299840143</v>
      </c>
      <c r="GH78" s="128">
        <f t="shared" si="285"/>
        <v>0.94453066110938677</v>
      </c>
      <c r="GI78" s="128">
        <f t="shared" si="286"/>
        <v>0.929689333357402</v>
      </c>
      <c r="GJ78" s="128">
        <f t="shared" si="287"/>
        <v>0.96949274261486829</v>
      </c>
      <c r="GK78" s="128">
        <f t="shared" si="288"/>
        <v>0.95306737048692181</v>
      </c>
      <c r="GL78" s="128">
        <f t="shared" si="289"/>
        <v>0.9221342246118821</v>
      </c>
      <c r="GM78" s="128">
        <f t="shared" si="290"/>
        <v>0.92240517298846747</v>
      </c>
      <c r="GN78" s="128">
        <f t="shared" si="291"/>
        <v>0.9649239377513551</v>
      </c>
      <c r="GO78" s="128">
        <f t="shared" si="292"/>
        <v>0.96082943300783541</v>
      </c>
      <c r="GP78" s="128">
        <f t="shared" si="293"/>
        <v>0.99976224780435852</v>
      </c>
      <c r="GQ78" s="129">
        <f t="shared" si="294"/>
        <v>0.94981890167308802</v>
      </c>
      <c r="GR78" s="129">
        <f t="shared" si="295"/>
        <v>0.94957559237492073</v>
      </c>
    </row>
    <row r="79" spans="1:200" x14ac:dyDescent="0.25">
      <c r="A79" s="42">
        <v>238</v>
      </c>
      <c r="B79" s="81">
        <v>60</v>
      </c>
      <c r="C79" s="81">
        <v>5</v>
      </c>
      <c r="D79" s="81">
        <v>29</v>
      </c>
      <c r="E79" s="81"/>
      <c r="F79" s="81">
        <v>5</v>
      </c>
      <c r="G79" s="81">
        <v>65</v>
      </c>
      <c r="H79" s="81">
        <v>49</v>
      </c>
      <c r="I79" s="81">
        <v>35</v>
      </c>
      <c r="J79" s="81"/>
      <c r="K79" s="81">
        <v>22</v>
      </c>
      <c r="L79" s="81"/>
      <c r="M79" s="81">
        <v>298</v>
      </c>
      <c r="N79" s="81">
        <v>399</v>
      </c>
      <c r="O79" s="81">
        <v>55</v>
      </c>
      <c r="P79" s="81">
        <v>22</v>
      </c>
      <c r="Q79" s="81">
        <v>124</v>
      </c>
      <c r="R79" s="81">
        <v>324</v>
      </c>
      <c r="S79" s="81">
        <v>241</v>
      </c>
      <c r="T79" s="81">
        <v>539</v>
      </c>
      <c r="V79" s="81">
        <v>283</v>
      </c>
      <c r="W79" s="81">
        <v>16</v>
      </c>
      <c r="X79" s="81">
        <v>6</v>
      </c>
      <c r="Y79" s="81">
        <v>123</v>
      </c>
      <c r="Z79" s="81">
        <v>249</v>
      </c>
      <c r="AA79" s="81">
        <v>706</v>
      </c>
      <c r="AB79" s="81">
        <v>1056</v>
      </c>
      <c r="AC79" s="81">
        <v>704</v>
      </c>
      <c r="AD79" s="81">
        <v>207</v>
      </c>
      <c r="AE79" s="81">
        <v>168</v>
      </c>
      <c r="AF79" s="84">
        <v>33</v>
      </c>
      <c r="AG79" s="84">
        <v>159</v>
      </c>
      <c r="AH79" s="85">
        <v>151.35113288427112</v>
      </c>
      <c r="AI79" s="83">
        <v>151</v>
      </c>
      <c r="AJ79" s="83">
        <v>201</v>
      </c>
      <c r="AK79" s="83">
        <v>59</v>
      </c>
      <c r="AL79" s="80">
        <v>95.540370944437143</v>
      </c>
      <c r="AM79" s="86">
        <v>333</v>
      </c>
      <c r="AN79" s="86">
        <v>389</v>
      </c>
      <c r="AO79" s="86">
        <v>773</v>
      </c>
      <c r="AP79" s="126">
        <v>35</v>
      </c>
      <c r="AQ79" s="126">
        <v>265</v>
      </c>
      <c r="AR79" s="126">
        <v>311</v>
      </c>
      <c r="AS79" s="126">
        <v>178</v>
      </c>
      <c r="AT79" s="126">
        <v>102</v>
      </c>
      <c r="AU79" s="126">
        <v>0</v>
      </c>
      <c r="AV79" s="71">
        <f t="shared" si="302"/>
        <v>248.15403709444371</v>
      </c>
      <c r="AW79" s="71">
        <f t="shared" si="257"/>
        <v>74849.044988191759</v>
      </c>
      <c r="AY79" s="42">
        <v>238</v>
      </c>
      <c r="AZ79" s="48">
        <f t="shared" si="154"/>
        <v>2.6154047338825684E-3</v>
      </c>
      <c r="BA79" s="48">
        <f t="shared" si="200"/>
        <v>2.6112387716732818E-4</v>
      </c>
      <c r="BB79" s="48">
        <f t="shared" si="201"/>
        <v>1.2676487301656685E-3</v>
      </c>
      <c r="BC79" s="48">
        <f t="shared" si="202"/>
        <v>0</v>
      </c>
      <c r="BD79" s="48">
        <f t="shared" si="203"/>
        <v>1.9801980198019802E-3</v>
      </c>
      <c r="BE79" s="48">
        <f t="shared" si="204"/>
        <v>5.6374674761491758E-3</v>
      </c>
      <c r="BF79" s="48">
        <f t="shared" si="205"/>
        <v>4.5927453369575405E-3</v>
      </c>
      <c r="BG79" s="48">
        <f t="shared" si="206"/>
        <v>3.7178670065859359E-3</v>
      </c>
      <c r="BH79" s="48">
        <f t="shared" si="207"/>
        <v>0</v>
      </c>
      <c r="BI79" s="48">
        <f t="shared" si="208"/>
        <v>1.1652542372881356E-2</v>
      </c>
      <c r="BJ79" s="48">
        <f t="shared" si="209"/>
        <v>0</v>
      </c>
      <c r="BK79" s="48">
        <f t="shared" si="210"/>
        <v>4.109381248534826E-3</v>
      </c>
      <c r="BL79" s="48">
        <f t="shared" si="211"/>
        <v>8.8589888763072003E-3</v>
      </c>
      <c r="BM79" s="48">
        <f t="shared" si="212"/>
        <v>5.3758185905581077E-3</v>
      </c>
      <c r="BN79" s="48">
        <f t="shared" si="213"/>
        <v>8.9043590885174242E-4</v>
      </c>
      <c r="BO79" s="48">
        <f t="shared" si="214"/>
        <v>3.1619747042023662E-3</v>
      </c>
      <c r="BP79" s="48">
        <f t="shared" si="215"/>
        <v>9.4692541501052146E-3</v>
      </c>
      <c r="BQ79" s="48">
        <f t="shared" si="216"/>
        <v>1.2870493991989319E-2</v>
      </c>
      <c r="BR79" s="48">
        <f t="shared" si="217"/>
        <v>1.9163081736409855E-2</v>
      </c>
      <c r="BS79" s="48"/>
      <c r="BT79" s="48">
        <f t="shared" si="218"/>
        <v>4.9243940211244324E-3</v>
      </c>
      <c r="BU79" s="48">
        <f t="shared" si="219"/>
        <v>5.4274084124830389E-3</v>
      </c>
      <c r="BV79" s="48">
        <f t="shared" si="220"/>
        <v>1.6388964763725759E-3</v>
      </c>
      <c r="BW79" s="48">
        <f t="shared" si="221"/>
        <v>5.1411845744103613E-3</v>
      </c>
      <c r="BX79" s="48">
        <f t="shared" si="222"/>
        <v>3.5643224208763368E-3</v>
      </c>
      <c r="BY79" s="48">
        <f t="shared" si="223"/>
        <v>9.1630001687237998E-3</v>
      </c>
      <c r="BZ79" s="48">
        <f t="shared" si="224"/>
        <v>1.6110822933512344E-2</v>
      </c>
      <c r="CA79" s="48">
        <f t="shared" si="225"/>
        <v>6.9656762345770631E-3</v>
      </c>
      <c r="CB79" s="48">
        <f t="shared" si="226"/>
        <v>3.10307609282245E-3</v>
      </c>
      <c r="CC79" s="48">
        <f t="shared" si="227"/>
        <v>1.6764793932741242E-2</v>
      </c>
      <c r="CD79" s="48">
        <f t="shared" si="228"/>
        <v>2.6393665520275133E-3</v>
      </c>
      <c r="CE79" s="48">
        <f t="shared" si="229"/>
        <v>9.3364650616559013E-3</v>
      </c>
      <c r="CF79" s="48">
        <f t="shared" si="230"/>
        <v>6.7179966752539452E-3</v>
      </c>
      <c r="CG79" s="48">
        <f t="shared" si="231"/>
        <v>3.749503377036154E-3</v>
      </c>
      <c r="CH79" s="48">
        <f t="shared" si="232"/>
        <v>4.1567573156860715E-3</v>
      </c>
      <c r="CI79" s="48">
        <f t="shared" si="233"/>
        <v>3.0279066290551234E-3</v>
      </c>
      <c r="CJ79" s="48">
        <f t="shared" si="234"/>
        <v>7.0564677969039129E-3</v>
      </c>
      <c r="CK79" s="48">
        <f t="shared" si="235"/>
        <v>1.4765219704695605E-2</v>
      </c>
      <c r="CL79" s="48">
        <f t="shared" si="236"/>
        <v>7.0220409047421339E-3</v>
      </c>
      <c r="CM79" s="48">
        <f t="shared" si="237"/>
        <v>1.0675468519106741E-2</v>
      </c>
      <c r="CN79" s="48">
        <f t="shared" si="258"/>
        <v>5.9215646465671842E-4</v>
      </c>
      <c r="CO79" s="48">
        <f t="shared" si="259"/>
        <v>6.4181743321465763E-3</v>
      </c>
      <c r="CP79" s="48">
        <f t="shared" si="260"/>
        <v>5.1829878008132794E-3</v>
      </c>
      <c r="CQ79" s="48">
        <f t="shared" si="261"/>
        <v>2.0749548289327969E-3</v>
      </c>
      <c r="CR79" s="48">
        <f t="shared" si="262"/>
        <v>6.6490228543863994E-4</v>
      </c>
      <c r="CS79" s="48">
        <f t="shared" si="263"/>
        <v>0</v>
      </c>
      <c r="CT79" s="68">
        <f t="shared" si="264"/>
        <v>0.95526413893683149</v>
      </c>
      <c r="CU79" s="68">
        <f t="shared" si="265"/>
        <v>0.95563325561724055</v>
      </c>
      <c r="CW79" s="42">
        <v>238</v>
      </c>
      <c r="CX79" s="58">
        <f t="shared" si="316"/>
        <v>22647</v>
      </c>
      <c r="CY79" s="58">
        <f t="shared" si="317"/>
        <v>18922</v>
      </c>
      <c r="CZ79" s="58">
        <f t="shared" si="318"/>
        <v>22776</v>
      </c>
      <c r="DA79" s="58">
        <f t="shared" si="319"/>
        <v>430</v>
      </c>
      <c r="DB79" s="58">
        <f t="shared" si="320"/>
        <v>2478</v>
      </c>
      <c r="DC79" s="58">
        <f t="shared" si="321"/>
        <v>11161</v>
      </c>
      <c r="DD79" s="58">
        <f t="shared" si="322"/>
        <v>10337</v>
      </c>
      <c r="DE79" s="58">
        <f t="shared" si="323"/>
        <v>9297</v>
      </c>
      <c r="DF79" s="58">
        <f t="shared" si="324"/>
        <v>12990</v>
      </c>
      <c r="DG79" s="58">
        <f t="shared" si="325"/>
        <v>1537</v>
      </c>
      <c r="DH79" s="58">
        <f t="shared" si="326"/>
        <v>28669</v>
      </c>
      <c r="DI79" s="58">
        <f t="shared" si="327"/>
        <v>70847</v>
      </c>
      <c r="DJ79" s="58">
        <f t="shared" si="328"/>
        <v>43006</v>
      </c>
      <c r="DK79" s="58">
        <f t="shared" si="329"/>
        <v>9492</v>
      </c>
      <c r="DL79" s="58">
        <f t="shared" si="330"/>
        <v>24030</v>
      </c>
      <c r="DM79" s="58">
        <f t="shared" si="331"/>
        <v>37684</v>
      </c>
      <c r="DN79" s="58">
        <f t="shared" si="332"/>
        <v>32552</v>
      </c>
      <c r="DO79" s="58">
        <f t="shared" si="333"/>
        <v>18357</v>
      </c>
      <c r="DP79" s="58">
        <f t="shared" si="334"/>
        <v>26910</v>
      </c>
      <c r="DQ79" s="58"/>
      <c r="DR79" s="58">
        <f t="shared" si="335"/>
        <v>53728</v>
      </c>
      <c r="DS79" s="58">
        <f t="shared" si="336"/>
        <v>2918</v>
      </c>
      <c r="DT79" s="58">
        <f t="shared" si="337"/>
        <v>3510</v>
      </c>
      <c r="DU79" s="58">
        <f t="shared" si="338"/>
        <v>23273.447414749116</v>
      </c>
      <c r="DV79" s="58">
        <f t="shared" si="339"/>
        <v>65065</v>
      </c>
      <c r="DW79" s="58">
        <f t="shared" si="340"/>
        <v>72881</v>
      </c>
      <c r="DX79" s="58">
        <f t="shared" si="341"/>
        <v>60016</v>
      </c>
      <c r="DY79" s="58">
        <f t="shared" si="303"/>
        <v>94511</v>
      </c>
      <c r="DZ79" s="58">
        <f t="shared" si="304"/>
        <v>61348</v>
      </c>
      <c r="EA79" s="58">
        <f t="shared" si="305"/>
        <v>9392</v>
      </c>
      <c r="EB79" s="58">
        <f t="shared" si="306"/>
        <v>12057</v>
      </c>
      <c r="EC79" s="58">
        <f t="shared" si="307"/>
        <v>16164</v>
      </c>
      <c r="ED79" s="58">
        <f t="shared" si="308"/>
        <v>21792.115739448032</v>
      </c>
      <c r="EE79" s="58">
        <f t="shared" si="309"/>
        <v>39658</v>
      </c>
      <c r="EF79" s="58">
        <f t="shared" si="310"/>
        <v>47549</v>
      </c>
      <c r="EG79" s="58">
        <f t="shared" si="311"/>
        <v>18253.409303526412</v>
      </c>
      <c r="EH79" s="58">
        <f t="shared" si="312"/>
        <v>12705.517342235155</v>
      </c>
      <c r="EI79" s="58">
        <f t="shared" si="313"/>
        <v>21635</v>
      </c>
      <c r="EJ79" s="58">
        <f t="shared" si="314"/>
        <v>51891</v>
      </c>
      <c r="EK79" s="58">
        <f t="shared" si="315"/>
        <v>70973</v>
      </c>
      <c r="EL79" s="58">
        <f t="shared" si="296"/>
        <v>56367</v>
      </c>
      <c r="EM79" s="58">
        <f t="shared" si="297"/>
        <v>38339</v>
      </c>
      <c r="EN79" s="58">
        <f t="shared" si="298"/>
        <v>55659</v>
      </c>
      <c r="EO79" s="58">
        <f t="shared" si="299"/>
        <v>82954</v>
      </c>
      <c r="EP79" s="58">
        <f t="shared" si="300"/>
        <v>147499</v>
      </c>
      <c r="EQ79" s="58">
        <f t="shared" si="301"/>
        <v>210253</v>
      </c>
      <c r="ER79" s="67">
        <f t="shared" si="266"/>
        <v>74827.551734223525</v>
      </c>
      <c r="ES79" s="67">
        <f t="shared" si="267"/>
        <v>41213.133897559965</v>
      </c>
      <c r="EV79" s="42">
        <v>238</v>
      </c>
      <c r="EW79" s="128">
        <f t="shared" si="238"/>
        <v>0.98718451680397545</v>
      </c>
      <c r="EX79" s="128">
        <f t="shared" si="239"/>
        <v>0.98819720075203676</v>
      </c>
      <c r="EY79" s="128">
        <f t="shared" si="240"/>
        <v>0.99558508545700919</v>
      </c>
      <c r="EZ79" s="128">
        <f t="shared" si="241"/>
        <v>1</v>
      </c>
      <c r="FA79" s="128">
        <f t="shared" si="242"/>
        <v>0.98138613861386137</v>
      </c>
      <c r="FB79" s="128">
        <f t="shared" si="243"/>
        <v>0.96799653078924541</v>
      </c>
      <c r="FC79" s="128">
        <f t="shared" si="244"/>
        <v>0.96888180710469585</v>
      </c>
      <c r="FD79" s="128">
        <f t="shared" si="245"/>
        <v>0.9875717017208413</v>
      </c>
      <c r="FE79" s="128">
        <f t="shared" si="246"/>
        <v>1</v>
      </c>
      <c r="FF79" s="128">
        <f t="shared" si="247"/>
        <v>0.81408898305084743</v>
      </c>
      <c r="FG79" s="128">
        <f t="shared" si="248"/>
        <v>1</v>
      </c>
      <c r="FH79" s="128">
        <f t="shared" si="249"/>
        <v>0.97697091716425111</v>
      </c>
      <c r="FI79" s="128">
        <f t="shared" si="250"/>
        <v>0.95486134239214904</v>
      </c>
      <c r="FJ79" s="128">
        <f t="shared" si="251"/>
        <v>0.92776854657413743</v>
      </c>
      <c r="FK79" s="128">
        <f t="shared" si="252"/>
        <v>0.97259885862306228</v>
      </c>
      <c r="FL79" s="128">
        <f t="shared" si="253"/>
        <v>0.96093431252549977</v>
      </c>
      <c r="FM79" s="128">
        <f t="shared" si="254"/>
        <v>0.95136778115501519</v>
      </c>
      <c r="FN79" s="128">
        <f t="shared" si="255"/>
        <v>0.980347129506008</v>
      </c>
      <c r="FO79" s="128">
        <f t="shared" si="256"/>
        <v>0.95673196572688168</v>
      </c>
      <c r="FP79" s="128"/>
      <c r="FQ79" s="128">
        <f t="shared" si="268"/>
        <v>0.93490403521898768</v>
      </c>
      <c r="FR79" s="128">
        <f t="shared" si="269"/>
        <v>0.98982360922659429</v>
      </c>
      <c r="FS79" s="128">
        <f t="shared" si="270"/>
        <v>0.95875443867795684</v>
      </c>
      <c r="FT79" s="128">
        <f t="shared" si="271"/>
        <v>0.97278934017934027</v>
      </c>
      <c r="FU79" s="128">
        <f t="shared" si="272"/>
        <v>0.9313760574872243</v>
      </c>
      <c r="FV79" s="128">
        <f t="shared" si="273"/>
        <v>0.94590455424470143</v>
      </c>
      <c r="FW79" s="128">
        <f t="shared" si="274"/>
        <v>0.91563177005461815</v>
      </c>
      <c r="FX79" s="128">
        <f t="shared" si="275"/>
        <v>0.93513214006550105</v>
      </c>
      <c r="FY79" s="128">
        <f t="shared" si="276"/>
        <v>0.91964981711338967</v>
      </c>
      <c r="FZ79" s="128">
        <f t="shared" si="277"/>
        <v>0.9372318131922962</v>
      </c>
      <c r="GA79" s="128">
        <f t="shared" si="278"/>
        <v>0.96432856114532517</v>
      </c>
      <c r="GB79" s="128">
        <f t="shared" si="279"/>
        <v>0.94914856136230186</v>
      </c>
      <c r="GC79" s="128">
        <f t="shared" si="280"/>
        <v>0.96728288909673121</v>
      </c>
      <c r="GD79" s="128">
        <f t="shared" si="281"/>
        <v>0.98475367500993249</v>
      </c>
      <c r="GE79" s="128">
        <f t="shared" si="282"/>
        <v>0.98333160996794544</v>
      </c>
      <c r="GF79" s="128">
        <f t="shared" si="283"/>
        <v>0.93677320394922181</v>
      </c>
      <c r="GG79" s="128">
        <f t="shared" si="284"/>
        <v>0.93841036079530527</v>
      </c>
      <c r="GH79" s="128">
        <f t="shared" si="285"/>
        <v>0.95929588081408235</v>
      </c>
      <c r="GI79" s="128">
        <f t="shared" si="286"/>
        <v>0.93671137426214413</v>
      </c>
      <c r="GJ79" s="128">
        <f t="shared" si="287"/>
        <v>0.98016821113397501</v>
      </c>
      <c r="GK79" s="128">
        <f t="shared" si="288"/>
        <v>0.95365952695157852</v>
      </c>
      <c r="GL79" s="128">
        <f t="shared" si="289"/>
        <v>0.92855239894402863</v>
      </c>
      <c r="GM79" s="128">
        <f t="shared" si="290"/>
        <v>0.92758816078928075</v>
      </c>
      <c r="GN79" s="128">
        <f t="shared" si="291"/>
        <v>0.96699889258028793</v>
      </c>
      <c r="GO79" s="128">
        <f t="shared" si="292"/>
        <v>0.9614943352932741</v>
      </c>
      <c r="GP79" s="128">
        <f t="shared" si="293"/>
        <v>0.99976224780435852</v>
      </c>
      <c r="GQ79" s="129">
        <f t="shared" si="294"/>
        <v>0.95526413893683149</v>
      </c>
      <c r="GR79" s="129">
        <f t="shared" si="295"/>
        <v>0.95563325561724077</v>
      </c>
    </row>
    <row r="80" spans="1:200" x14ac:dyDescent="0.25">
      <c r="A80" s="42">
        <v>239</v>
      </c>
      <c r="B80" s="81">
        <v>44</v>
      </c>
      <c r="C80" s="81">
        <v>42</v>
      </c>
      <c r="D80" s="81">
        <v>20</v>
      </c>
      <c r="E80" s="81"/>
      <c r="F80" s="81">
        <v>1</v>
      </c>
      <c r="G80" s="81">
        <v>68</v>
      </c>
      <c r="H80" s="81">
        <v>80</v>
      </c>
      <c r="I80" s="81">
        <v>53</v>
      </c>
      <c r="J80" s="81"/>
      <c r="K80" s="81">
        <v>24</v>
      </c>
      <c r="L80" s="81"/>
      <c r="M80" s="81">
        <v>338</v>
      </c>
      <c r="N80" s="81">
        <v>82</v>
      </c>
      <c r="O80" s="81">
        <v>7</v>
      </c>
      <c r="P80" s="81">
        <v>47</v>
      </c>
      <c r="Q80" s="81">
        <v>446</v>
      </c>
      <c r="R80" s="81">
        <v>209</v>
      </c>
      <c r="S80" s="81">
        <v>24</v>
      </c>
      <c r="T80" s="81">
        <v>227</v>
      </c>
      <c r="V80" s="81">
        <v>131</v>
      </c>
      <c r="W80" s="81">
        <v>2</v>
      </c>
      <c r="X80" s="81">
        <v>2</v>
      </c>
      <c r="Y80" s="81">
        <v>40</v>
      </c>
      <c r="Z80" s="81">
        <v>83</v>
      </c>
      <c r="AA80" s="81">
        <v>536</v>
      </c>
      <c r="AB80" s="81">
        <v>648</v>
      </c>
      <c r="AC80" s="81">
        <v>1281</v>
      </c>
      <c r="AD80" s="81">
        <v>320</v>
      </c>
      <c r="AE80" s="81">
        <v>316</v>
      </c>
      <c r="AF80" s="84">
        <v>6</v>
      </c>
      <c r="AG80" s="84">
        <v>102</v>
      </c>
      <c r="AH80" s="85">
        <v>130.0905404210983</v>
      </c>
      <c r="AI80" s="83">
        <v>127</v>
      </c>
      <c r="AJ80" s="83">
        <v>146</v>
      </c>
      <c r="AK80" s="83">
        <v>135</v>
      </c>
      <c r="AL80" s="80">
        <v>82.887030354248566</v>
      </c>
      <c r="AM80" s="86">
        <v>229</v>
      </c>
      <c r="AN80" s="86">
        <v>148</v>
      </c>
      <c r="AO80" s="86">
        <v>411</v>
      </c>
      <c r="AP80" s="126">
        <v>136</v>
      </c>
      <c r="AQ80" s="126">
        <v>566</v>
      </c>
      <c r="AR80" s="126">
        <v>571</v>
      </c>
      <c r="AS80" s="126">
        <v>391</v>
      </c>
      <c r="AT80" s="126">
        <v>539</v>
      </c>
      <c r="AU80" s="126">
        <v>0</v>
      </c>
      <c r="AV80" s="71">
        <f t="shared" si="302"/>
        <v>307.38870303542484</v>
      </c>
      <c r="AW80" s="71">
        <f t="shared" si="257"/>
        <v>75156.433691227183</v>
      </c>
      <c r="AY80" s="42">
        <v>239</v>
      </c>
      <c r="AZ80" s="48">
        <f t="shared" si="154"/>
        <v>1.9179634715138835E-3</v>
      </c>
      <c r="BA80" s="48">
        <f t="shared" si="200"/>
        <v>2.1934405682055569E-3</v>
      </c>
      <c r="BB80" s="48">
        <f t="shared" si="201"/>
        <v>8.7424050356253009E-4</v>
      </c>
      <c r="BC80" s="48">
        <f t="shared" si="202"/>
        <v>0</v>
      </c>
      <c r="BD80" s="48">
        <f t="shared" si="203"/>
        <v>3.9603960396039607E-4</v>
      </c>
      <c r="BE80" s="48">
        <f t="shared" si="204"/>
        <v>5.8976582827406764E-3</v>
      </c>
      <c r="BF80" s="48">
        <f t="shared" si="205"/>
        <v>7.498359733808229E-3</v>
      </c>
      <c r="BG80" s="48">
        <f t="shared" si="206"/>
        <v>5.6299128956872743E-3</v>
      </c>
      <c r="BH80" s="48">
        <f t="shared" si="207"/>
        <v>0</v>
      </c>
      <c r="BI80" s="48">
        <f t="shared" si="208"/>
        <v>1.2711864406779662E-2</v>
      </c>
      <c r="BJ80" s="48">
        <f t="shared" si="209"/>
        <v>0</v>
      </c>
      <c r="BK80" s="48">
        <f t="shared" si="210"/>
        <v>4.6609760469958766E-3</v>
      </c>
      <c r="BL80" s="48">
        <f t="shared" si="211"/>
        <v>1.820644330469149E-3</v>
      </c>
      <c r="BM80" s="48">
        <f t="shared" si="212"/>
        <v>6.8419509334375912E-4</v>
      </c>
      <c r="BN80" s="48">
        <f t="shared" si="213"/>
        <v>1.9022948961832679E-3</v>
      </c>
      <c r="BO80" s="48">
        <f t="shared" si="214"/>
        <v>1.1372909016727866E-2</v>
      </c>
      <c r="BP80" s="48">
        <f t="shared" si="215"/>
        <v>6.1082534486789804E-3</v>
      </c>
      <c r="BQ80" s="48">
        <f t="shared" si="216"/>
        <v>1.2817089452603471E-3</v>
      </c>
      <c r="BR80" s="48">
        <f t="shared" si="217"/>
        <v>8.070537206243112E-3</v>
      </c>
      <c r="BS80" s="48"/>
      <c r="BT80" s="48">
        <f t="shared" si="218"/>
        <v>2.2794898118985887E-3</v>
      </c>
      <c r="BU80" s="48">
        <f t="shared" si="219"/>
        <v>6.7842605156037987E-4</v>
      </c>
      <c r="BV80" s="48">
        <f t="shared" si="220"/>
        <v>5.4629882545752522E-4</v>
      </c>
      <c r="BW80" s="48">
        <f t="shared" si="221"/>
        <v>1.6719299428976785E-3</v>
      </c>
      <c r="BX80" s="48">
        <f t="shared" si="222"/>
        <v>1.1881074736254456E-3</v>
      </c>
      <c r="BY80" s="48">
        <f t="shared" si="223"/>
        <v>6.9566120261132522E-3</v>
      </c>
      <c r="BZ80" s="48">
        <f t="shared" si="224"/>
        <v>9.8861868001098464E-3</v>
      </c>
      <c r="CA80" s="48">
        <f t="shared" si="225"/>
        <v>1.2674760307518775E-2</v>
      </c>
      <c r="CB80" s="48">
        <f t="shared" si="226"/>
        <v>4.7970258439767348E-3</v>
      </c>
      <c r="CC80" s="48">
        <f t="shared" si="227"/>
        <v>3.1533779063965671E-2</v>
      </c>
      <c r="CD80" s="48">
        <f t="shared" si="228"/>
        <v>4.7988482764136606E-4</v>
      </c>
      <c r="CE80" s="48">
        <f t="shared" si="229"/>
        <v>5.9894304169113332E-3</v>
      </c>
      <c r="CF80" s="48">
        <f t="shared" si="230"/>
        <v>5.7743064183020118E-3</v>
      </c>
      <c r="CG80" s="48">
        <f t="shared" si="231"/>
        <v>3.1535558204211361E-3</v>
      </c>
      <c r="CH80" s="48">
        <f t="shared" si="232"/>
        <v>3.0193361596525694E-3</v>
      </c>
      <c r="CI80" s="48">
        <f t="shared" si="233"/>
        <v>6.928260930888842E-3</v>
      </c>
      <c r="CJ80" s="48">
        <f t="shared" si="234"/>
        <v>6.1219111323725442E-3</v>
      </c>
      <c r="CK80" s="48">
        <f t="shared" si="235"/>
        <v>1.0153859796922803E-2</v>
      </c>
      <c r="CL80" s="48">
        <f t="shared" si="236"/>
        <v>2.6716248172283697E-3</v>
      </c>
      <c r="CM80" s="48">
        <f t="shared" si="237"/>
        <v>5.6760899888135454E-3</v>
      </c>
      <c r="CN80" s="48">
        <f t="shared" si="258"/>
        <v>2.3009508340946774E-3</v>
      </c>
      <c r="CO80" s="48">
        <f t="shared" si="259"/>
        <v>1.370825159243382E-2</v>
      </c>
      <c r="CP80" s="48">
        <f t="shared" si="260"/>
        <v>9.5160322645156982E-3</v>
      </c>
      <c r="CQ80" s="48">
        <f t="shared" si="261"/>
        <v>4.5579063938917062E-3</v>
      </c>
      <c r="CR80" s="48">
        <f t="shared" si="262"/>
        <v>3.5135522730532051E-3</v>
      </c>
      <c r="CS80" s="48">
        <f t="shared" si="263"/>
        <v>0</v>
      </c>
      <c r="CT80" s="68">
        <f t="shared" si="264"/>
        <v>0.96108615684616416</v>
      </c>
      <c r="CU80" s="68">
        <f t="shared" si="265"/>
        <v>0.96109210741531725</v>
      </c>
      <c r="CW80" s="42">
        <v>239</v>
      </c>
      <c r="CX80" s="58">
        <f t="shared" si="316"/>
        <v>22691</v>
      </c>
      <c r="CY80" s="58">
        <f t="shared" si="317"/>
        <v>18964</v>
      </c>
      <c r="CZ80" s="58">
        <f t="shared" si="318"/>
        <v>22796</v>
      </c>
      <c r="DA80" s="58">
        <f t="shared" si="319"/>
        <v>430</v>
      </c>
      <c r="DB80" s="58">
        <f t="shared" si="320"/>
        <v>2479</v>
      </c>
      <c r="DC80" s="58">
        <f t="shared" si="321"/>
        <v>11229</v>
      </c>
      <c r="DD80" s="58">
        <f t="shared" si="322"/>
        <v>10417</v>
      </c>
      <c r="DE80" s="58">
        <f t="shared" si="323"/>
        <v>9350</v>
      </c>
      <c r="DF80" s="58">
        <f t="shared" si="324"/>
        <v>12990</v>
      </c>
      <c r="DG80" s="58">
        <f t="shared" si="325"/>
        <v>1561</v>
      </c>
      <c r="DH80" s="58">
        <f t="shared" si="326"/>
        <v>28669</v>
      </c>
      <c r="DI80" s="58">
        <f t="shared" si="327"/>
        <v>71185</v>
      </c>
      <c r="DJ80" s="58">
        <f t="shared" si="328"/>
        <v>43088</v>
      </c>
      <c r="DK80" s="58">
        <f t="shared" si="329"/>
        <v>9499</v>
      </c>
      <c r="DL80" s="58">
        <f t="shared" si="330"/>
        <v>24077</v>
      </c>
      <c r="DM80" s="58">
        <f t="shared" si="331"/>
        <v>38130</v>
      </c>
      <c r="DN80" s="58">
        <f t="shared" si="332"/>
        <v>32761</v>
      </c>
      <c r="DO80" s="58">
        <f t="shared" si="333"/>
        <v>18381</v>
      </c>
      <c r="DP80" s="58">
        <f t="shared" si="334"/>
        <v>27137</v>
      </c>
      <c r="DQ80" s="58"/>
      <c r="DR80" s="58">
        <f t="shared" si="335"/>
        <v>53859</v>
      </c>
      <c r="DS80" s="58">
        <f t="shared" si="336"/>
        <v>2920</v>
      </c>
      <c r="DT80" s="58">
        <f t="shared" si="337"/>
        <v>3512</v>
      </c>
      <c r="DU80" s="58">
        <f t="shared" si="338"/>
        <v>23313.447414749116</v>
      </c>
      <c r="DV80" s="58">
        <f t="shared" si="339"/>
        <v>65148</v>
      </c>
      <c r="DW80" s="58">
        <f t="shared" si="340"/>
        <v>73417</v>
      </c>
      <c r="DX80" s="58">
        <f t="shared" si="341"/>
        <v>60664</v>
      </c>
      <c r="DY80" s="58">
        <f t="shared" si="303"/>
        <v>95792</v>
      </c>
      <c r="DZ80" s="58">
        <f t="shared" si="304"/>
        <v>61668</v>
      </c>
      <c r="EA80" s="58">
        <f t="shared" si="305"/>
        <v>9708</v>
      </c>
      <c r="EB80" s="58">
        <f t="shared" si="306"/>
        <v>12063</v>
      </c>
      <c r="EC80" s="58">
        <f t="shared" si="307"/>
        <v>16266</v>
      </c>
      <c r="ED80" s="58">
        <f t="shared" si="308"/>
        <v>21922.20627986913</v>
      </c>
      <c r="EE80" s="58">
        <f t="shared" si="309"/>
        <v>39785</v>
      </c>
      <c r="EF80" s="58">
        <f t="shared" si="310"/>
        <v>47695</v>
      </c>
      <c r="EG80" s="58">
        <f t="shared" si="311"/>
        <v>18388.409303526412</v>
      </c>
      <c r="EH80" s="58">
        <f t="shared" si="312"/>
        <v>12788.404372589403</v>
      </c>
      <c r="EI80" s="58">
        <f t="shared" si="313"/>
        <v>21864</v>
      </c>
      <c r="EJ80" s="58">
        <f t="shared" si="314"/>
        <v>52039</v>
      </c>
      <c r="EK80" s="58">
        <f t="shared" si="315"/>
        <v>71384</v>
      </c>
      <c r="EL80" s="58">
        <f t="shared" si="296"/>
        <v>56503</v>
      </c>
      <c r="EM80" s="58">
        <f t="shared" si="297"/>
        <v>38905</v>
      </c>
      <c r="EN80" s="58">
        <f t="shared" si="298"/>
        <v>56230</v>
      </c>
      <c r="EO80" s="58">
        <f t="shared" si="299"/>
        <v>83345</v>
      </c>
      <c r="EP80" s="58">
        <f t="shared" si="300"/>
        <v>148038</v>
      </c>
      <c r="EQ80" s="58">
        <f t="shared" si="301"/>
        <v>210253</v>
      </c>
      <c r="ER80" s="67">
        <f t="shared" si="266"/>
        <v>75134.940437258949</v>
      </c>
      <c r="ES80" s="67">
        <f t="shared" si="267"/>
        <v>41424.962618798396</v>
      </c>
      <c r="EV80" s="42">
        <v>239</v>
      </c>
      <c r="EW80" s="128">
        <f t="shared" si="238"/>
        <v>0.9891024802754893</v>
      </c>
      <c r="EX80" s="128">
        <f t="shared" si="239"/>
        <v>0.99039064132024235</v>
      </c>
      <c r="EY80" s="128">
        <f t="shared" si="240"/>
        <v>0.99645932596057174</v>
      </c>
      <c r="EZ80" s="128">
        <f t="shared" si="241"/>
        <v>1</v>
      </c>
      <c r="FA80" s="128">
        <f t="shared" si="242"/>
        <v>0.98178217821782177</v>
      </c>
      <c r="FB80" s="128">
        <f t="shared" si="243"/>
        <v>0.9738941890719861</v>
      </c>
      <c r="FC80" s="128">
        <f t="shared" si="244"/>
        <v>0.97638016683850404</v>
      </c>
      <c r="FD80" s="128">
        <f t="shared" si="245"/>
        <v>0.99320161461652856</v>
      </c>
      <c r="FE80" s="128">
        <f t="shared" si="246"/>
        <v>1</v>
      </c>
      <c r="FF80" s="128">
        <f t="shared" si="247"/>
        <v>0.82680084745762716</v>
      </c>
      <c r="FG80" s="128">
        <f t="shared" si="248"/>
        <v>1</v>
      </c>
      <c r="FH80" s="128">
        <f t="shared" si="249"/>
        <v>0.981631893211247</v>
      </c>
      <c r="FI80" s="128">
        <f t="shared" si="250"/>
        <v>0.95668198672261817</v>
      </c>
      <c r="FJ80" s="128">
        <f t="shared" si="251"/>
        <v>0.92845274166748115</v>
      </c>
      <c r="FK80" s="128">
        <f t="shared" si="252"/>
        <v>0.9745011535192456</v>
      </c>
      <c r="FL80" s="128">
        <f t="shared" si="253"/>
        <v>0.97230722154222771</v>
      </c>
      <c r="FM80" s="128">
        <f t="shared" si="254"/>
        <v>0.95747603460369413</v>
      </c>
      <c r="FN80" s="128">
        <f t="shared" si="255"/>
        <v>0.98162883845126836</v>
      </c>
      <c r="FO80" s="128">
        <f t="shared" si="256"/>
        <v>0.96480250293312475</v>
      </c>
      <c r="FP80" s="128"/>
      <c r="FQ80" s="128">
        <f t="shared" si="268"/>
        <v>0.9371835250308862</v>
      </c>
      <c r="FR80" s="128">
        <f t="shared" si="269"/>
        <v>0.99050203527815472</v>
      </c>
      <c r="FS80" s="128">
        <f t="shared" si="270"/>
        <v>0.95930073750341438</v>
      </c>
      <c r="FT80" s="128">
        <f t="shared" si="271"/>
        <v>0.97446127012223793</v>
      </c>
      <c r="FU80" s="128">
        <f t="shared" si="272"/>
        <v>0.93256416496084971</v>
      </c>
      <c r="FV80" s="128">
        <f t="shared" si="273"/>
        <v>0.95286116627081463</v>
      </c>
      <c r="FW80" s="128">
        <f t="shared" si="274"/>
        <v>0.92551795685472793</v>
      </c>
      <c r="FX80" s="128">
        <f t="shared" si="275"/>
        <v>0.94780690037301984</v>
      </c>
      <c r="FY80" s="128">
        <f t="shared" si="276"/>
        <v>0.92444684295736645</v>
      </c>
      <c r="FZ80" s="128">
        <f t="shared" si="277"/>
        <v>0.9687655922562618</v>
      </c>
      <c r="GA80" s="128">
        <f t="shared" si="278"/>
        <v>0.96480844597296644</v>
      </c>
      <c r="GB80" s="128">
        <f t="shared" si="279"/>
        <v>0.9551379917792131</v>
      </c>
      <c r="GC80" s="128">
        <f t="shared" si="280"/>
        <v>0.97305719551503322</v>
      </c>
      <c r="GD80" s="128">
        <f t="shared" si="281"/>
        <v>0.98790723083035359</v>
      </c>
      <c r="GE80" s="128">
        <f t="shared" si="282"/>
        <v>0.98635094612759799</v>
      </c>
      <c r="GF80" s="128">
        <f t="shared" si="283"/>
        <v>0.94370146488011064</v>
      </c>
      <c r="GG80" s="128">
        <f t="shared" si="284"/>
        <v>0.94453227192767775</v>
      </c>
      <c r="GH80" s="128">
        <f t="shared" si="285"/>
        <v>0.9694497406110052</v>
      </c>
      <c r="GI80" s="128">
        <f t="shared" si="286"/>
        <v>0.9393829990793725</v>
      </c>
      <c r="GJ80" s="128">
        <f t="shared" si="287"/>
        <v>0.98584430112278865</v>
      </c>
      <c r="GK80" s="128">
        <f t="shared" si="288"/>
        <v>0.95596047778567317</v>
      </c>
      <c r="GL80" s="128">
        <f t="shared" si="289"/>
        <v>0.94226065053646246</v>
      </c>
      <c r="GM80" s="128">
        <f t="shared" si="290"/>
        <v>0.93710419305379644</v>
      </c>
      <c r="GN80" s="128">
        <f t="shared" si="291"/>
        <v>0.97155679897417968</v>
      </c>
      <c r="GO80" s="128">
        <f t="shared" si="292"/>
        <v>0.96500788756632727</v>
      </c>
      <c r="GP80" s="128">
        <f t="shared" si="293"/>
        <v>0.99976224780435852</v>
      </c>
      <c r="GQ80" s="129">
        <f t="shared" si="294"/>
        <v>0.96108615684616416</v>
      </c>
      <c r="GR80" s="129">
        <f t="shared" si="295"/>
        <v>0.96109210741531759</v>
      </c>
    </row>
    <row r="81" spans="1:200" x14ac:dyDescent="0.25">
      <c r="A81" s="42">
        <v>240</v>
      </c>
      <c r="B81" s="81">
        <v>25</v>
      </c>
      <c r="C81" s="81">
        <v>31</v>
      </c>
      <c r="D81" s="81">
        <v>21</v>
      </c>
      <c r="E81" s="81"/>
      <c r="F81" s="81">
        <v>3</v>
      </c>
      <c r="G81" s="81">
        <v>10</v>
      </c>
      <c r="H81" s="81">
        <v>48</v>
      </c>
      <c r="I81" s="81">
        <v>22</v>
      </c>
      <c r="J81" s="81"/>
      <c r="K81" s="81">
        <v>9</v>
      </c>
      <c r="L81" s="81"/>
      <c r="M81" s="81">
        <v>153</v>
      </c>
      <c r="N81" s="81">
        <v>328</v>
      </c>
      <c r="O81" s="81">
        <v>45</v>
      </c>
      <c r="P81" s="81">
        <v>163</v>
      </c>
      <c r="Q81" s="81">
        <v>186</v>
      </c>
      <c r="R81" s="81">
        <v>156</v>
      </c>
      <c r="S81" s="81">
        <v>17</v>
      </c>
      <c r="T81" s="81">
        <v>264</v>
      </c>
      <c r="V81" s="81">
        <v>144</v>
      </c>
      <c r="W81" s="81">
        <v>13</v>
      </c>
      <c r="X81" s="81">
        <v>22</v>
      </c>
      <c r="Y81" s="81">
        <v>79</v>
      </c>
      <c r="Z81" s="81">
        <v>292</v>
      </c>
      <c r="AA81" s="81">
        <v>391</v>
      </c>
      <c r="AB81" s="81">
        <v>1145</v>
      </c>
      <c r="AC81" s="81">
        <v>1646</v>
      </c>
      <c r="AD81" s="81">
        <v>242</v>
      </c>
      <c r="AE81" s="81">
        <v>17</v>
      </c>
      <c r="AF81" s="84">
        <v>39</v>
      </c>
      <c r="AG81" s="84">
        <v>53</v>
      </c>
      <c r="AH81" s="84">
        <v>8</v>
      </c>
      <c r="AI81" s="83">
        <v>74</v>
      </c>
      <c r="AJ81" s="83">
        <v>113</v>
      </c>
      <c r="AK81" s="83">
        <v>209</v>
      </c>
      <c r="AL81" s="81">
        <v>73</v>
      </c>
      <c r="AM81" s="86">
        <v>89</v>
      </c>
      <c r="AN81" s="86">
        <v>331</v>
      </c>
      <c r="AO81" s="86">
        <v>37</v>
      </c>
      <c r="AP81" s="126">
        <v>1187</v>
      </c>
      <c r="AQ81" s="126">
        <v>487</v>
      </c>
      <c r="AR81" s="126">
        <v>648</v>
      </c>
      <c r="AS81" s="126">
        <v>374</v>
      </c>
      <c r="AT81" s="126">
        <v>710</v>
      </c>
      <c r="AU81" s="126">
        <v>8</v>
      </c>
      <c r="AV81" s="71">
        <f t="shared" si="302"/>
        <v>394.4</v>
      </c>
      <c r="AW81" s="71">
        <f t="shared" si="257"/>
        <v>75550.833691227177</v>
      </c>
      <c r="AY81" s="42">
        <v>240</v>
      </c>
      <c r="AZ81" s="48">
        <f t="shared" si="154"/>
        <v>1.0897519724510701E-3</v>
      </c>
      <c r="BA81" s="48">
        <f t="shared" si="200"/>
        <v>1.6189680384374348E-3</v>
      </c>
      <c r="BB81" s="48">
        <f t="shared" si="201"/>
        <v>9.179525287406566E-4</v>
      </c>
      <c r="BC81" s="48">
        <f t="shared" si="202"/>
        <v>0</v>
      </c>
      <c r="BD81" s="48">
        <f t="shared" si="203"/>
        <v>1.1881188118811881E-3</v>
      </c>
      <c r="BE81" s="48">
        <f t="shared" si="204"/>
        <v>8.6730268863833475E-4</v>
      </c>
      <c r="BF81" s="48">
        <f t="shared" si="205"/>
        <v>4.4990158402849374E-3</v>
      </c>
      <c r="BG81" s="48">
        <f t="shared" si="206"/>
        <v>2.3369449755683024E-3</v>
      </c>
      <c r="BH81" s="48">
        <f t="shared" si="207"/>
        <v>0</v>
      </c>
      <c r="BI81" s="48">
        <f t="shared" si="208"/>
        <v>4.7669491525423732E-3</v>
      </c>
      <c r="BJ81" s="48">
        <f t="shared" si="209"/>
        <v>0</v>
      </c>
      <c r="BK81" s="48">
        <f t="shared" si="210"/>
        <v>2.1098501041135181E-3</v>
      </c>
      <c r="BL81" s="48">
        <f t="shared" si="211"/>
        <v>7.2825773218765958E-3</v>
      </c>
      <c r="BM81" s="48">
        <f t="shared" si="212"/>
        <v>4.3983970286384519E-3</v>
      </c>
      <c r="BN81" s="48">
        <f t="shared" si="213"/>
        <v>6.597320597401546E-3</v>
      </c>
      <c r="BO81" s="48">
        <f t="shared" si="214"/>
        <v>4.7429620563035494E-3</v>
      </c>
      <c r="BP81" s="48">
        <f t="shared" si="215"/>
        <v>4.559270516717325E-3</v>
      </c>
      <c r="BQ81" s="48">
        <f t="shared" si="216"/>
        <v>9.0787716955941259E-4</v>
      </c>
      <c r="BR81" s="48">
        <f t="shared" si="217"/>
        <v>9.3859992178333979E-3</v>
      </c>
      <c r="BS81" s="48"/>
      <c r="BT81" s="48">
        <f t="shared" si="218"/>
        <v>2.5056987245297463E-3</v>
      </c>
      <c r="BU81" s="48">
        <f t="shared" si="219"/>
        <v>4.4097693351424693E-3</v>
      </c>
      <c r="BV81" s="48">
        <f t="shared" si="220"/>
        <v>6.0092870800327776E-3</v>
      </c>
      <c r="BW81" s="48">
        <f t="shared" si="221"/>
        <v>3.3020616372229149E-3</v>
      </c>
      <c r="BX81" s="48">
        <f t="shared" si="222"/>
        <v>4.1798479795015671E-3</v>
      </c>
      <c r="BY81" s="48">
        <f t="shared" si="223"/>
        <v>5.0746927280042571E-3</v>
      </c>
      <c r="BZ81" s="48">
        <f t="shared" si="224"/>
        <v>1.7468647972416318E-2</v>
      </c>
      <c r="CA81" s="48">
        <f t="shared" si="225"/>
        <v>1.6286225968911713E-2</v>
      </c>
      <c r="CB81" s="48">
        <f t="shared" si="226"/>
        <v>3.6277507945074055E-3</v>
      </c>
      <c r="CC81" s="48">
        <f t="shared" si="227"/>
        <v>1.6964374812892926E-3</v>
      </c>
      <c r="CD81" s="48">
        <f t="shared" si="228"/>
        <v>3.1192513796688796E-3</v>
      </c>
      <c r="CE81" s="48">
        <f t="shared" si="229"/>
        <v>3.1121550205519669E-3</v>
      </c>
      <c r="CF81" s="48">
        <f t="shared" si="230"/>
        <v>3.5509462253662986E-4</v>
      </c>
      <c r="CG81" s="48">
        <f t="shared" si="231"/>
        <v>1.8375049662296384E-3</v>
      </c>
      <c r="CH81" s="48">
        <f t="shared" si="232"/>
        <v>2.3368834660324684E-3</v>
      </c>
      <c r="CI81" s="48">
        <f t="shared" si="233"/>
        <v>1.0725974330042725E-2</v>
      </c>
      <c r="CJ81" s="48">
        <f t="shared" si="234"/>
        <v>5.391669972409488E-3</v>
      </c>
      <c r="CK81" s="48">
        <f t="shared" si="235"/>
        <v>3.9462599210748012E-3</v>
      </c>
      <c r="CL81" s="48">
        <f t="shared" si="236"/>
        <v>5.9750528006931782E-3</v>
      </c>
      <c r="CM81" s="48">
        <f t="shared" si="237"/>
        <v>5.1098620337250899E-4</v>
      </c>
      <c r="CN81" s="48">
        <f t="shared" si="258"/>
        <v>2.0082563529929279E-2</v>
      </c>
      <c r="CO81" s="48">
        <f t="shared" si="259"/>
        <v>1.179490905568069E-2</v>
      </c>
      <c r="CP81" s="48">
        <f t="shared" si="260"/>
        <v>1.0799280047996801E-2</v>
      </c>
      <c r="CQ81" s="48">
        <f t="shared" si="261"/>
        <v>4.3597365506790236E-3</v>
      </c>
      <c r="CR81" s="48">
        <f t="shared" si="262"/>
        <v>4.628241398641513E-3</v>
      </c>
      <c r="CS81" s="48">
        <f t="shared" si="263"/>
        <v>3.8040351302644278E-5</v>
      </c>
      <c r="CT81" s="68">
        <f t="shared" si="264"/>
        <v>0.96783883082934219</v>
      </c>
      <c r="CU81" s="68">
        <f t="shared" si="265"/>
        <v>0.96614617104457967</v>
      </c>
      <c r="CW81" s="42">
        <v>240</v>
      </c>
      <c r="CX81" s="58">
        <f t="shared" si="316"/>
        <v>22716</v>
      </c>
      <c r="CY81" s="58">
        <f t="shared" si="317"/>
        <v>18995</v>
      </c>
      <c r="CZ81" s="58">
        <f t="shared" si="318"/>
        <v>22817</v>
      </c>
      <c r="DA81" s="58">
        <f t="shared" si="319"/>
        <v>430</v>
      </c>
      <c r="DB81" s="58">
        <f t="shared" si="320"/>
        <v>2482</v>
      </c>
      <c r="DC81" s="58">
        <f t="shared" si="321"/>
        <v>11239</v>
      </c>
      <c r="DD81" s="58">
        <f t="shared" si="322"/>
        <v>10465</v>
      </c>
      <c r="DE81" s="58">
        <f t="shared" si="323"/>
        <v>9372</v>
      </c>
      <c r="DF81" s="58">
        <f t="shared" si="324"/>
        <v>12990</v>
      </c>
      <c r="DG81" s="58">
        <f t="shared" si="325"/>
        <v>1570</v>
      </c>
      <c r="DH81" s="58">
        <f t="shared" si="326"/>
        <v>28669</v>
      </c>
      <c r="DI81" s="58">
        <f t="shared" si="327"/>
        <v>71338</v>
      </c>
      <c r="DJ81" s="58">
        <f t="shared" si="328"/>
        <v>43416</v>
      </c>
      <c r="DK81" s="58">
        <f t="shared" si="329"/>
        <v>9544</v>
      </c>
      <c r="DL81" s="58">
        <f t="shared" si="330"/>
        <v>24240</v>
      </c>
      <c r="DM81" s="58">
        <f t="shared" si="331"/>
        <v>38316</v>
      </c>
      <c r="DN81" s="58">
        <f t="shared" si="332"/>
        <v>32917</v>
      </c>
      <c r="DO81" s="58">
        <f t="shared" si="333"/>
        <v>18398</v>
      </c>
      <c r="DP81" s="58">
        <f t="shared" si="334"/>
        <v>27401</v>
      </c>
      <c r="DQ81" s="58"/>
      <c r="DR81" s="58">
        <f t="shared" si="335"/>
        <v>54003</v>
      </c>
      <c r="DS81" s="58">
        <f t="shared" si="336"/>
        <v>2933</v>
      </c>
      <c r="DT81" s="58">
        <f t="shared" si="337"/>
        <v>3534</v>
      </c>
      <c r="DU81" s="58">
        <f t="shared" si="338"/>
        <v>23392.447414749116</v>
      </c>
      <c r="DV81" s="58">
        <f t="shared" si="339"/>
        <v>65440</v>
      </c>
      <c r="DW81" s="58">
        <f t="shared" si="340"/>
        <v>73808</v>
      </c>
      <c r="DX81" s="58">
        <f t="shared" si="341"/>
        <v>61809</v>
      </c>
      <c r="DY81" s="58">
        <f t="shared" si="303"/>
        <v>97438</v>
      </c>
      <c r="DZ81" s="58">
        <f t="shared" si="304"/>
        <v>61910</v>
      </c>
      <c r="EA81" s="58">
        <f t="shared" si="305"/>
        <v>9725</v>
      </c>
      <c r="EB81" s="58">
        <f t="shared" si="306"/>
        <v>12102</v>
      </c>
      <c r="EC81" s="58">
        <f t="shared" si="307"/>
        <v>16319</v>
      </c>
      <c r="ED81" s="58">
        <f t="shared" si="308"/>
        <v>21930.20627986913</v>
      </c>
      <c r="EE81" s="58">
        <f t="shared" si="309"/>
        <v>39859</v>
      </c>
      <c r="EF81" s="58">
        <f t="shared" si="310"/>
        <v>47808</v>
      </c>
      <c r="EG81" s="58">
        <f t="shared" si="311"/>
        <v>18597.409303526412</v>
      </c>
      <c r="EH81" s="58">
        <f t="shared" si="312"/>
        <v>12861.404372589403</v>
      </c>
      <c r="EI81" s="58">
        <f t="shared" si="313"/>
        <v>21953</v>
      </c>
      <c r="EJ81" s="58">
        <f t="shared" si="314"/>
        <v>52370</v>
      </c>
      <c r="EK81" s="58">
        <f t="shared" si="315"/>
        <v>71421</v>
      </c>
      <c r="EL81" s="58">
        <f t="shared" si="296"/>
        <v>57690</v>
      </c>
      <c r="EM81" s="58">
        <f t="shared" si="297"/>
        <v>39392</v>
      </c>
      <c r="EN81" s="58">
        <f t="shared" si="298"/>
        <v>56878</v>
      </c>
      <c r="EO81" s="58">
        <f t="shared" si="299"/>
        <v>83719</v>
      </c>
      <c r="EP81" s="58">
        <f t="shared" si="300"/>
        <v>148748</v>
      </c>
      <c r="EQ81" s="58">
        <f t="shared" si="301"/>
        <v>210261</v>
      </c>
      <c r="ER81" s="67">
        <f t="shared" si="266"/>
        <v>75529.340437258943</v>
      </c>
      <c r="ES81" s="67">
        <f t="shared" si="267"/>
        <v>41664.840667578879</v>
      </c>
      <c r="EV81" s="42">
        <v>240</v>
      </c>
      <c r="EW81" s="128">
        <f t="shared" si="238"/>
        <v>0.9901922322479404</v>
      </c>
      <c r="EX81" s="128">
        <f t="shared" si="239"/>
        <v>0.99200960935867977</v>
      </c>
      <c r="EY81" s="128">
        <f t="shared" si="240"/>
        <v>0.99737727848931246</v>
      </c>
      <c r="EZ81" s="128">
        <f t="shared" si="241"/>
        <v>1</v>
      </c>
      <c r="FA81" s="128">
        <f t="shared" si="242"/>
        <v>0.98297029702970296</v>
      </c>
      <c r="FB81" s="128">
        <f t="shared" si="243"/>
        <v>0.97476149176062443</v>
      </c>
      <c r="FC81" s="128">
        <f t="shared" si="244"/>
        <v>0.98087918267878904</v>
      </c>
      <c r="FD81" s="128">
        <f t="shared" si="245"/>
        <v>0.99553855959209692</v>
      </c>
      <c r="FE81" s="128">
        <f t="shared" si="246"/>
        <v>1</v>
      </c>
      <c r="FF81" s="128">
        <f t="shared" si="247"/>
        <v>0.83156779661016944</v>
      </c>
      <c r="FG81" s="128">
        <f t="shared" si="248"/>
        <v>1</v>
      </c>
      <c r="FH81" s="128">
        <f t="shared" si="249"/>
        <v>0.98374174331536057</v>
      </c>
      <c r="FI81" s="128">
        <f t="shared" si="250"/>
        <v>0.96396456404449482</v>
      </c>
      <c r="FJ81" s="128">
        <f t="shared" si="251"/>
        <v>0.93285113869611969</v>
      </c>
      <c r="FK81" s="128">
        <f t="shared" si="252"/>
        <v>0.98109847411664708</v>
      </c>
      <c r="FL81" s="128">
        <f t="shared" si="253"/>
        <v>0.97705018359853124</v>
      </c>
      <c r="FM81" s="128">
        <f t="shared" si="254"/>
        <v>0.96203530512041147</v>
      </c>
      <c r="FN81" s="128">
        <f t="shared" si="255"/>
        <v>0.98253671562082778</v>
      </c>
      <c r="FO81" s="128">
        <f t="shared" si="256"/>
        <v>0.9741885021509582</v>
      </c>
      <c r="FP81" s="128"/>
      <c r="FQ81" s="128">
        <f t="shared" si="268"/>
        <v>0.93968922375541597</v>
      </c>
      <c r="FR81" s="128">
        <f t="shared" si="269"/>
        <v>0.9949118046132972</v>
      </c>
      <c r="FS81" s="128">
        <f t="shared" si="270"/>
        <v>0.96531002458344717</v>
      </c>
      <c r="FT81" s="128">
        <f t="shared" si="271"/>
        <v>0.97776333175946084</v>
      </c>
      <c r="FU81" s="128">
        <f t="shared" si="272"/>
        <v>0.93674401294035126</v>
      </c>
      <c r="FV81" s="128">
        <f t="shared" si="273"/>
        <v>0.95793585899881895</v>
      </c>
      <c r="FW81" s="128">
        <f t="shared" si="274"/>
        <v>0.94298660482714425</v>
      </c>
      <c r="FX81" s="128">
        <f t="shared" si="275"/>
        <v>0.96409312634193156</v>
      </c>
      <c r="FY81" s="128">
        <f t="shared" si="276"/>
        <v>0.92807459375187384</v>
      </c>
      <c r="FZ81" s="128">
        <f t="shared" si="277"/>
        <v>0.97046202973755114</v>
      </c>
      <c r="GA81" s="128">
        <f t="shared" si="278"/>
        <v>0.9679276973526354</v>
      </c>
      <c r="GB81" s="128">
        <f t="shared" si="279"/>
        <v>0.95825014679976517</v>
      </c>
      <c r="GC81" s="128">
        <f t="shared" si="280"/>
        <v>0.9734122901375698</v>
      </c>
      <c r="GD81" s="128">
        <f t="shared" si="281"/>
        <v>0.98974473579658329</v>
      </c>
      <c r="GE81" s="128">
        <f t="shared" si="282"/>
        <v>0.98868782959363044</v>
      </c>
      <c r="GF81" s="128">
        <f t="shared" si="283"/>
        <v>0.95442743921015338</v>
      </c>
      <c r="GG81" s="128">
        <f t="shared" si="284"/>
        <v>0.94992394190008722</v>
      </c>
      <c r="GH81" s="128">
        <f t="shared" si="285"/>
        <v>0.97339600053207997</v>
      </c>
      <c r="GI81" s="128">
        <f t="shared" si="286"/>
        <v>0.94535805188006572</v>
      </c>
      <c r="GJ81" s="128">
        <f t="shared" si="287"/>
        <v>0.98635528732616107</v>
      </c>
      <c r="GK81" s="128">
        <f t="shared" si="288"/>
        <v>0.97604304131560249</v>
      </c>
      <c r="GL81" s="128">
        <f t="shared" si="289"/>
        <v>0.95405555959214317</v>
      </c>
      <c r="GM81" s="128">
        <f t="shared" si="290"/>
        <v>0.94790347310179324</v>
      </c>
      <c r="GN81" s="128">
        <f t="shared" si="291"/>
        <v>0.97591653552485869</v>
      </c>
      <c r="GO81" s="128">
        <f t="shared" si="292"/>
        <v>0.96963612896496876</v>
      </c>
      <c r="GP81" s="128">
        <f t="shared" si="293"/>
        <v>0.99980028815566113</v>
      </c>
      <c r="GQ81" s="129">
        <f t="shared" si="294"/>
        <v>0.96783883082934208</v>
      </c>
      <c r="GR81" s="129">
        <f t="shared" si="295"/>
        <v>0.96614617104458056</v>
      </c>
    </row>
    <row r="82" spans="1:200" x14ac:dyDescent="0.25">
      <c r="A82" s="42">
        <v>241</v>
      </c>
      <c r="B82" s="81">
        <v>16</v>
      </c>
      <c r="C82" s="81">
        <v>44</v>
      </c>
      <c r="D82" s="81">
        <v>13</v>
      </c>
      <c r="E82" s="81"/>
      <c r="F82" s="81">
        <v>4</v>
      </c>
      <c r="G82" s="81">
        <v>12</v>
      </c>
      <c r="H82" s="81">
        <v>38</v>
      </c>
      <c r="I82" s="81">
        <v>5</v>
      </c>
      <c r="J82" s="81"/>
      <c r="K82" s="81">
        <v>42</v>
      </c>
      <c r="L82" s="81"/>
      <c r="M82" s="81">
        <v>155</v>
      </c>
      <c r="N82" s="81">
        <v>367</v>
      </c>
      <c r="O82" s="81">
        <v>46</v>
      </c>
      <c r="P82" s="81">
        <v>16</v>
      </c>
      <c r="Q82" s="81">
        <v>162</v>
      </c>
      <c r="R82" s="81">
        <v>427</v>
      </c>
      <c r="S82" s="81">
        <v>192</v>
      </c>
      <c r="T82" s="81">
        <v>367</v>
      </c>
      <c r="V82" s="81">
        <v>706</v>
      </c>
      <c r="W82" s="81">
        <v>8</v>
      </c>
      <c r="X82" s="81">
        <v>7</v>
      </c>
      <c r="Y82" s="81">
        <v>64</v>
      </c>
      <c r="Z82" s="81">
        <v>210</v>
      </c>
      <c r="AA82" s="81">
        <v>71</v>
      </c>
      <c r="AB82" s="81">
        <v>322</v>
      </c>
      <c r="AC82" s="81">
        <v>515</v>
      </c>
      <c r="AD82" s="81">
        <v>376</v>
      </c>
      <c r="AE82" s="81">
        <v>23</v>
      </c>
      <c r="AF82" s="84">
        <v>88</v>
      </c>
      <c r="AG82" s="84">
        <v>54</v>
      </c>
      <c r="AH82" s="84">
        <v>22</v>
      </c>
      <c r="AI82" s="83">
        <v>105</v>
      </c>
      <c r="AJ82" s="83">
        <v>74</v>
      </c>
      <c r="AK82" s="83">
        <v>12</v>
      </c>
      <c r="AL82" s="81">
        <v>225</v>
      </c>
      <c r="AM82" s="86">
        <v>232</v>
      </c>
      <c r="AN82" s="86">
        <v>226</v>
      </c>
      <c r="AO82" s="86">
        <v>17</v>
      </c>
      <c r="AP82" s="126">
        <v>436</v>
      </c>
      <c r="AQ82" s="126">
        <v>112</v>
      </c>
      <c r="AR82" s="126">
        <v>830</v>
      </c>
      <c r="AS82" s="126">
        <v>255</v>
      </c>
      <c r="AT82" s="126">
        <v>410</v>
      </c>
      <c r="AU82" s="126">
        <v>16</v>
      </c>
      <c r="AV82" s="71">
        <f t="shared" si="302"/>
        <v>275.89999999999998</v>
      </c>
      <c r="AW82" s="71">
        <f t="shared" si="257"/>
        <v>75826.733691227171</v>
      </c>
      <c r="AY82" s="42">
        <v>241</v>
      </c>
      <c r="AZ82" s="48">
        <f t="shared" si="154"/>
        <v>6.9744126236868486E-4</v>
      </c>
      <c r="BA82" s="48">
        <f t="shared" si="200"/>
        <v>2.2978901190724879E-3</v>
      </c>
      <c r="BB82" s="48">
        <f t="shared" si="201"/>
        <v>5.6825632731564448E-4</v>
      </c>
      <c r="BC82" s="48">
        <f t="shared" si="202"/>
        <v>0</v>
      </c>
      <c r="BD82" s="48">
        <f t="shared" si="203"/>
        <v>1.5841584158415843E-3</v>
      </c>
      <c r="BE82" s="48">
        <f t="shared" si="204"/>
        <v>1.0407632263660018E-3</v>
      </c>
      <c r="BF82" s="48">
        <f t="shared" si="205"/>
        <v>3.5617208735589088E-3</v>
      </c>
      <c r="BG82" s="48">
        <f t="shared" si="206"/>
        <v>5.311238580837051E-4</v>
      </c>
      <c r="BH82" s="48">
        <f t="shared" si="207"/>
        <v>0</v>
      </c>
      <c r="BI82" s="48">
        <f t="shared" si="208"/>
        <v>2.2245762711864406E-2</v>
      </c>
      <c r="BJ82" s="48">
        <f t="shared" si="209"/>
        <v>0</v>
      </c>
      <c r="BK82" s="48">
        <f t="shared" si="210"/>
        <v>2.1374298440365708E-3</v>
      </c>
      <c r="BL82" s="48">
        <f t="shared" si="211"/>
        <v>8.1484935278314345E-3</v>
      </c>
      <c r="BM82" s="48">
        <f t="shared" si="212"/>
        <v>4.4961391848304172E-3</v>
      </c>
      <c r="BN82" s="48">
        <f t="shared" si="213"/>
        <v>6.475897518921763E-4</v>
      </c>
      <c r="BO82" s="48">
        <f t="shared" si="214"/>
        <v>4.1309669522643817E-3</v>
      </c>
      <c r="BP82" s="48">
        <f t="shared" si="215"/>
        <v>1.2479541734860884E-2</v>
      </c>
      <c r="BQ82" s="48">
        <f t="shared" si="216"/>
        <v>1.0253671562082777E-2</v>
      </c>
      <c r="BR82" s="48">
        <f t="shared" si="217"/>
        <v>1.3047961033882035E-2</v>
      </c>
      <c r="BS82" s="48"/>
      <c r="BT82" s="48">
        <f t="shared" si="218"/>
        <v>1.2284884024430563E-2</v>
      </c>
      <c r="BU82" s="48">
        <f t="shared" si="219"/>
        <v>2.7137042062415195E-3</v>
      </c>
      <c r="BV82" s="48">
        <f t="shared" si="220"/>
        <v>1.9120458891013384E-3</v>
      </c>
      <c r="BW82" s="48">
        <f t="shared" si="221"/>
        <v>2.6750879086362856E-3</v>
      </c>
      <c r="BX82" s="48">
        <f t="shared" si="222"/>
        <v>3.0060550537511273E-3</v>
      </c>
      <c r="BY82" s="48">
        <f t="shared" si="223"/>
        <v>9.2149151838440471E-4</v>
      </c>
      <c r="BZ82" s="48">
        <f t="shared" si="224"/>
        <v>4.9125804778323619E-3</v>
      </c>
      <c r="CA82" s="48">
        <f t="shared" si="225"/>
        <v>5.0956296318283908E-3</v>
      </c>
      <c r="CB82" s="48">
        <f t="shared" si="226"/>
        <v>5.6365053666726627E-3</v>
      </c>
      <c r="CC82" s="48">
        <f t="shared" si="227"/>
        <v>2.2951801217443368E-3</v>
      </c>
      <c r="CD82" s="48">
        <f t="shared" si="228"/>
        <v>7.0383108054067021E-3</v>
      </c>
      <c r="CE82" s="48">
        <f t="shared" si="229"/>
        <v>3.1708749266001176E-3</v>
      </c>
      <c r="CF82" s="48">
        <f t="shared" si="230"/>
        <v>9.765102119757322E-4</v>
      </c>
      <c r="CG82" s="48">
        <f t="shared" si="231"/>
        <v>2.6072705601907034E-3</v>
      </c>
      <c r="CH82" s="48">
        <f t="shared" si="232"/>
        <v>1.5303484644814394E-3</v>
      </c>
      <c r="CI82" s="48">
        <f t="shared" si="233"/>
        <v>6.1584541607900812E-4</v>
      </c>
      <c r="CJ82" s="48">
        <f t="shared" si="234"/>
        <v>1.6618160873864859E-2</v>
      </c>
      <c r="CK82" s="48">
        <f t="shared" si="235"/>
        <v>1.0286879794262405E-2</v>
      </c>
      <c r="CL82" s="48">
        <f t="shared" si="236"/>
        <v>4.0796433019838615E-3</v>
      </c>
      <c r="CM82" s="48">
        <f t="shared" si="237"/>
        <v>2.3477744479277437E-4</v>
      </c>
      <c r="CN82" s="48">
        <f t="shared" si="258"/>
        <v>7.3765776740094069E-3</v>
      </c>
      <c r="CO82" s="48">
        <f t="shared" si="259"/>
        <v>2.7125868875487419E-3</v>
      </c>
      <c r="CP82" s="48">
        <f t="shared" si="260"/>
        <v>1.3832411172588495E-2</v>
      </c>
      <c r="CQ82" s="48">
        <f t="shared" si="261"/>
        <v>2.9725476481902431E-3</v>
      </c>
      <c r="CR82" s="48">
        <f t="shared" si="262"/>
        <v>2.6726464414690431E-3</v>
      </c>
      <c r="CS82" s="48">
        <f t="shared" si="263"/>
        <v>7.6080702605288555E-5</v>
      </c>
      <c r="CT82" s="68">
        <f t="shared" si="264"/>
        <v>0.97392506202347373</v>
      </c>
      <c r="CU82" s="68">
        <f t="shared" si="265"/>
        <v>0.97108665785438619</v>
      </c>
      <c r="CW82" s="42">
        <v>241</v>
      </c>
      <c r="CX82" s="58">
        <f t="shared" si="316"/>
        <v>22732</v>
      </c>
      <c r="CY82" s="58">
        <f t="shared" si="317"/>
        <v>19039</v>
      </c>
      <c r="CZ82" s="58">
        <f t="shared" si="318"/>
        <v>22830</v>
      </c>
      <c r="DA82" s="58">
        <f t="shared" si="319"/>
        <v>430</v>
      </c>
      <c r="DB82" s="58">
        <f t="shared" si="320"/>
        <v>2486</v>
      </c>
      <c r="DC82" s="58">
        <f t="shared" si="321"/>
        <v>11251</v>
      </c>
      <c r="DD82" s="58">
        <f t="shared" si="322"/>
        <v>10503</v>
      </c>
      <c r="DE82" s="58">
        <f t="shared" si="323"/>
        <v>9377</v>
      </c>
      <c r="DF82" s="58">
        <f t="shared" si="324"/>
        <v>12990</v>
      </c>
      <c r="DG82" s="58">
        <f t="shared" si="325"/>
        <v>1612</v>
      </c>
      <c r="DH82" s="58">
        <f t="shared" si="326"/>
        <v>28669</v>
      </c>
      <c r="DI82" s="58">
        <f t="shared" si="327"/>
        <v>71493</v>
      </c>
      <c r="DJ82" s="58">
        <f t="shared" si="328"/>
        <v>43783</v>
      </c>
      <c r="DK82" s="58">
        <f t="shared" si="329"/>
        <v>9590</v>
      </c>
      <c r="DL82" s="58">
        <f t="shared" si="330"/>
        <v>24256</v>
      </c>
      <c r="DM82" s="58">
        <f t="shared" si="331"/>
        <v>38478</v>
      </c>
      <c r="DN82" s="58">
        <f t="shared" si="332"/>
        <v>33344</v>
      </c>
      <c r="DO82" s="58">
        <f t="shared" si="333"/>
        <v>18590</v>
      </c>
      <c r="DP82" s="58">
        <f t="shared" si="334"/>
        <v>27768</v>
      </c>
      <c r="DQ82" s="58"/>
      <c r="DR82" s="58">
        <f t="shared" si="335"/>
        <v>54709</v>
      </c>
      <c r="DS82" s="58">
        <f t="shared" si="336"/>
        <v>2941</v>
      </c>
      <c r="DT82" s="58">
        <f t="shared" si="337"/>
        <v>3541</v>
      </c>
      <c r="DU82" s="58">
        <f t="shared" si="338"/>
        <v>23456.447414749116</v>
      </c>
      <c r="DV82" s="58">
        <f t="shared" si="339"/>
        <v>65650</v>
      </c>
      <c r="DW82" s="58">
        <f t="shared" si="340"/>
        <v>73879</v>
      </c>
      <c r="DX82" s="58">
        <f t="shared" si="341"/>
        <v>62131</v>
      </c>
      <c r="DY82" s="58">
        <f t="shared" si="303"/>
        <v>97953</v>
      </c>
      <c r="DZ82" s="58">
        <f t="shared" si="304"/>
        <v>62286</v>
      </c>
      <c r="EA82" s="58">
        <f t="shared" si="305"/>
        <v>9748</v>
      </c>
      <c r="EB82" s="58">
        <f t="shared" si="306"/>
        <v>12190</v>
      </c>
      <c r="EC82" s="58">
        <f t="shared" si="307"/>
        <v>16373</v>
      </c>
      <c r="ED82" s="58">
        <f t="shared" si="308"/>
        <v>21952.20627986913</v>
      </c>
      <c r="EE82" s="58">
        <f t="shared" si="309"/>
        <v>39964</v>
      </c>
      <c r="EF82" s="58">
        <f t="shared" si="310"/>
        <v>47882</v>
      </c>
      <c r="EG82" s="58">
        <f t="shared" si="311"/>
        <v>18609.409303526412</v>
      </c>
      <c r="EH82" s="58">
        <f t="shared" si="312"/>
        <v>13086.404372589403</v>
      </c>
      <c r="EI82" s="58">
        <f t="shared" si="313"/>
        <v>22185</v>
      </c>
      <c r="EJ82" s="58">
        <f t="shared" si="314"/>
        <v>52596</v>
      </c>
      <c r="EK82" s="58">
        <f t="shared" si="315"/>
        <v>71438</v>
      </c>
      <c r="EL82" s="58">
        <f t="shared" si="296"/>
        <v>58126</v>
      </c>
      <c r="EM82" s="58">
        <f t="shared" si="297"/>
        <v>39504</v>
      </c>
      <c r="EN82" s="58">
        <f t="shared" si="298"/>
        <v>57708</v>
      </c>
      <c r="EO82" s="58">
        <f t="shared" si="299"/>
        <v>83974</v>
      </c>
      <c r="EP82" s="58">
        <f t="shared" si="300"/>
        <v>149158</v>
      </c>
      <c r="EQ82" s="58">
        <f t="shared" si="301"/>
        <v>210277</v>
      </c>
      <c r="ER82" s="67">
        <f t="shared" si="266"/>
        <v>75805.240437258937</v>
      </c>
      <c r="ES82" s="67">
        <f t="shared" si="267"/>
        <v>41841.64554562766</v>
      </c>
      <c r="EV82" s="42">
        <v>241</v>
      </c>
      <c r="EW82" s="128">
        <f t="shared" si="238"/>
        <v>0.9908896735103091</v>
      </c>
      <c r="EX82" s="128">
        <f t="shared" si="239"/>
        <v>0.99430749947775221</v>
      </c>
      <c r="EY82" s="128">
        <f t="shared" si="240"/>
        <v>0.99794553481662807</v>
      </c>
      <c r="EZ82" s="128">
        <f t="shared" si="241"/>
        <v>1</v>
      </c>
      <c r="FA82" s="128">
        <f t="shared" si="242"/>
        <v>0.98455445544554454</v>
      </c>
      <c r="FB82" s="128">
        <f t="shared" si="243"/>
        <v>0.97580225498699047</v>
      </c>
      <c r="FC82" s="128">
        <f t="shared" si="244"/>
        <v>0.98444090355234792</v>
      </c>
      <c r="FD82" s="128">
        <f t="shared" si="245"/>
        <v>0.99606968345018054</v>
      </c>
      <c r="FE82" s="128">
        <f t="shared" si="246"/>
        <v>1</v>
      </c>
      <c r="FF82" s="128">
        <f t="shared" si="247"/>
        <v>0.85381355932203384</v>
      </c>
      <c r="FG82" s="128">
        <f t="shared" si="248"/>
        <v>1</v>
      </c>
      <c r="FH82" s="128">
        <f t="shared" si="249"/>
        <v>0.9858791731593971</v>
      </c>
      <c r="FI82" s="128">
        <f t="shared" si="250"/>
        <v>0.97211305757232624</v>
      </c>
      <c r="FJ82" s="128">
        <f t="shared" si="251"/>
        <v>0.93734727788095007</v>
      </c>
      <c r="FK82" s="128">
        <f t="shared" si="252"/>
        <v>0.98174606386853924</v>
      </c>
      <c r="FL82" s="128">
        <f t="shared" si="253"/>
        <v>0.98118115055079558</v>
      </c>
      <c r="FM82" s="128">
        <f t="shared" si="254"/>
        <v>0.97451484685527234</v>
      </c>
      <c r="FN82" s="128">
        <f t="shared" si="255"/>
        <v>0.99279038718291057</v>
      </c>
      <c r="FO82" s="128">
        <f t="shared" si="256"/>
        <v>0.98723646318484015</v>
      </c>
      <c r="FP82" s="128"/>
      <c r="FQ82" s="128">
        <f t="shared" si="268"/>
        <v>0.95197410777984648</v>
      </c>
      <c r="FR82" s="128">
        <f t="shared" si="269"/>
        <v>0.99762550881953871</v>
      </c>
      <c r="FS82" s="128">
        <f t="shared" si="270"/>
        <v>0.96722207047254849</v>
      </c>
      <c r="FT82" s="128">
        <f t="shared" si="271"/>
        <v>0.98043841966809719</v>
      </c>
      <c r="FU82" s="128">
        <f t="shared" si="272"/>
        <v>0.93975006799410243</v>
      </c>
      <c r="FV82" s="128">
        <f t="shared" si="273"/>
        <v>0.95885735051720333</v>
      </c>
      <c r="FW82" s="128">
        <f t="shared" si="274"/>
        <v>0.94789918530497663</v>
      </c>
      <c r="FX82" s="128">
        <f t="shared" si="275"/>
        <v>0.96918875597375997</v>
      </c>
      <c r="FY82" s="128">
        <f t="shared" si="276"/>
        <v>0.93371109911854655</v>
      </c>
      <c r="FZ82" s="128">
        <f t="shared" si="277"/>
        <v>0.97275720985929548</v>
      </c>
      <c r="GA82" s="128">
        <f t="shared" si="278"/>
        <v>0.97496600815804202</v>
      </c>
      <c r="GB82" s="128">
        <f t="shared" si="279"/>
        <v>0.96142102172636523</v>
      </c>
      <c r="GC82" s="128">
        <f t="shared" si="280"/>
        <v>0.97438880034954556</v>
      </c>
      <c r="GD82" s="128">
        <f t="shared" si="281"/>
        <v>0.9923520063567739</v>
      </c>
      <c r="GE82" s="128">
        <f t="shared" si="282"/>
        <v>0.99021817805811185</v>
      </c>
      <c r="GF82" s="128">
        <f t="shared" si="283"/>
        <v>0.95504328462623245</v>
      </c>
      <c r="GG82" s="128">
        <f t="shared" si="284"/>
        <v>0.96654210277395214</v>
      </c>
      <c r="GH82" s="128">
        <f t="shared" si="285"/>
        <v>0.98368288032634243</v>
      </c>
      <c r="GI82" s="128">
        <f t="shared" si="286"/>
        <v>0.94943769518204957</v>
      </c>
      <c r="GJ82" s="128">
        <f t="shared" si="287"/>
        <v>0.9865900647709539</v>
      </c>
      <c r="GK82" s="128">
        <f t="shared" si="288"/>
        <v>0.98341961898961183</v>
      </c>
      <c r="GL82" s="128">
        <f t="shared" si="289"/>
        <v>0.95676814647969188</v>
      </c>
      <c r="GM82" s="128">
        <f t="shared" si="290"/>
        <v>0.96173588427438172</v>
      </c>
      <c r="GN82" s="128">
        <f t="shared" si="291"/>
        <v>0.9788890831730489</v>
      </c>
      <c r="GO82" s="128">
        <f t="shared" si="292"/>
        <v>0.97230877540643779</v>
      </c>
      <c r="GP82" s="128">
        <f t="shared" si="293"/>
        <v>0.99987636885826636</v>
      </c>
      <c r="GQ82" s="129">
        <f t="shared" si="294"/>
        <v>0.97392506202347362</v>
      </c>
      <c r="GR82" s="129">
        <f t="shared" si="295"/>
        <v>0.97108665785438664</v>
      </c>
    </row>
    <row r="83" spans="1:200" x14ac:dyDescent="0.25">
      <c r="A83" s="42">
        <v>242</v>
      </c>
      <c r="B83" s="81">
        <v>35</v>
      </c>
      <c r="C83" s="81">
        <v>22</v>
      </c>
      <c r="D83" s="81">
        <v>0</v>
      </c>
      <c r="E83" s="81"/>
      <c r="F83" s="81">
        <v>2</v>
      </c>
      <c r="G83" s="81">
        <v>56</v>
      </c>
      <c r="H83" s="81">
        <v>88</v>
      </c>
      <c r="I83" s="81">
        <v>10</v>
      </c>
      <c r="J83" s="81"/>
      <c r="K83" s="81">
        <v>31</v>
      </c>
      <c r="L83" s="81"/>
      <c r="M83" s="81">
        <v>79</v>
      </c>
      <c r="N83" s="81">
        <v>236</v>
      </c>
      <c r="O83" s="81">
        <v>109</v>
      </c>
      <c r="P83" s="81">
        <v>27</v>
      </c>
      <c r="Q83" s="81">
        <v>228</v>
      </c>
      <c r="R83" s="81">
        <v>197</v>
      </c>
      <c r="S83" s="81">
        <v>110</v>
      </c>
      <c r="T83" s="81">
        <v>245</v>
      </c>
      <c r="V83" s="81">
        <v>46</v>
      </c>
      <c r="W83" s="81">
        <v>7</v>
      </c>
      <c r="X83" s="81">
        <v>74</v>
      </c>
      <c r="Y83" s="81">
        <v>81</v>
      </c>
      <c r="Z83" s="81">
        <v>270</v>
      </c>
      <c r="AA83" s="81">
        <v>240</v>
      </c>
      <c r="AB83" s="81">
        <v>266</v>
      </c>
      <c r="AC83" s="81">
        <v>696</v>
      </c>
      <c r="AD83" s="81">
        <v>555</v>
      </c>
      <c r="AE83" s="81">
        <v>73</v>
      </c>
      <c r="AF83" s="84">
        <v>0</v>
      </c>
      <c r="AG83" s="84">
        <v>69</v>
      </c>
      <c r="AH83" s="84">
        <v>111</v>
      </c>
      <c r="AI83" s="83">
        <v>33</v>
      </c>
      <c r="AJ83" s="83">
        <v>92</v>
      </c>
      <c r="AK83" s="83">
        <v>347</v>
      </c>
      <c r="AL83" s="81">
        <v>23</v>
      </c>
      <c r="AM83" s="86">
        <v>78</v>
      </c>
      <c r="AN83" s="86">
        <v>127</v>
      </c>
      <c r="AO83" s="86">
        <v>0</v>
      </c>
      <c r="AP83" s="126">
        <v>102</v>
      </c>
      <c r="AQ83" s="126">
        <v>331</v>
      </c>
      <c r="AR83" s="126">
        <v>376</v>
      </c>
      <c r="AS83" s="126">
        <v>942</v>
      </c>
      <c r="AT83" s="126">
        <v>220</v>
      </c>
      <c r="AU83" s="126">
        <v>26</v>
      </c>
      <c r="AV83" s="71">
        <f t="shared" si="302"/>
        <v>222.5</v>
      </c>
      <c r="AW83" s="71">
        <f t="shared" si="257"/>
        <v>76049.233691227171</v>
      </c>
      <c r="AY83" s="42">
        <v>242</v>
      </c>
      <c r="AZ83" s="48">
        <f t="shared" si="154"/>
        <v>1.5256527614314981E-3</v>
      </c>
      <c r="BA83" s="48">
        <f t="shared" si="200"/>
        <v>1.1489450595362439E-3</v>
      </c>
      <c r="BB83" s="48">
        <f t="shared" si="201"/>
        <v>0</v>
      </c>
      <c r="BC83" s="48">
        <f t="shared" si="202"/>
        <v>0</v>
      </c>
      <c r="BD83" s="48">
        <f t="shared" si="203"/>
        <v>7.9207920792079213E-4</v>
      </c>
      <c r="BE83" s="48">
        <f t="shared" si="204"/>
        <v>4.8568950563746749E-3</v>
      </c>
      <c r="BF83" s="48">
        <f t="shared" si="205"/>
        <v>8.2481957071890519E-3</v>
      </c>
      <c r="BG83" s="48">
        <f t="shared" si="206"/>
        <v>1.0622477161674102E-3</v>
      </c>
      <c r="BH83" s="48">
        <f t="shared" si="207"/>
        <v>0</v>
      </c>
      <c r="BI83" s="48">
        <f t="shared" si="208"/>
        <v>1.641949152542373E-2</v>
      </c>
      <c r="BJ83" s="48">
        <f t="shared" si="209"/>
        <v>0</v>
      </c>
      <c r="BK83" s="48">
        <f t="shared" si="210"/>
        <v>1.0893997269605749E-3</v>
      </c>
      <c r="BL83" s="48">
        <f t="shared" si="211"/>
        <v>5.2399031950087702E-3</v>
      </c>
      <c r="BM83" s="48">
        <f t="shared" si="212"/>
        <v>1.065389502492425E-2</v>
      </c>
      <c r="BN83" s="48">
        <f t="shared" si="213"/>
        <v>1.0928077063180476E-3</v>
      </c>
      <c r="BO83" s="48">
        <f t="shared" si="214"/>
        <v>5.8139534883720929E-3</v>
      </c>
      <c r="BP83" s="48">
        <f t="shared" si="215"/>
        <v>5.7575403320084175E-3</v>
      </c>
      <c r="BQ83" s="48">
        <f t="shared" si="216"/>
        <v>5.8744993324432579E-3</v>
      </c>
      <c r="BR83" s="48">
        <f t="shared" si="217"/>
        <v>8.7104916983681158E-3</v>
      </c>
      <c r="BS83" s="48"/>
      <c r="BT83" s="48">
        <f t="shared" si="218"/>
        <v>8.0043153700255787E-4</v>
      </c>
      <c r="BU83" s="48">
        <f t="shared" si="219"/>
        <v>2.3744911804613297E-3</v>
      </c>
      <c r="BV83" s="48">
        <f t="shared" si="220"/>
        <v>2.0213056541928436E-2</v>
      </c>
      <c r="BW83" s="48">
        <f t="shared" si="221"/>
        <v>3.3856581343677987E-3</v>
      </c>
      <c r="BX83" s="48">
        <f t="shared" si="222"/>
        <v>3.8649279262514494E-3</v>
      </c>
      <c r="BY83" s="48">
        <f t="shared" si="223"/>
        <v>3.114900907214889E-3</v>
      </c>
      <c r="BZ83" s="48">
        <f t="shared" si="224"/>
        <v>4.0582186556006473E-3</v>
      </c>
      <c r="CA83" s="48">
        <f t="shared" si="225"/>
        <v>6.8865208228205054E-3</v>
      </c>
      <c r="CB83" s="48">
        <f t="shared" si="226"/>
        <v>8.3198416981471492E-3</v>
      </c>
      <c r="CC83" s="48">
        <f t="shared" si="227"/>
        <v>7.2847021255363735E-3</v>
      </c>
      <c r="CD83" s="48">
        <f t="shared" si="228"/>
        <v>0</v>
      </c>
      <c r="CE83" s="48">
        <f t="shared" si="229"/>
        <v>4.051673517322372E-3</v>
      </c>
      <c r="CF83" s="48">
        <f t="shared" si="230"/>
        <v>4.92693788769574E-3</v>
      </c>
      <c r="CG83" s="48">
        <f t="shared" si="231"/>
        <v>8.194278903456496E-4</v>
      </c>
      <c r="CH83" s="48">
        <f t="shared" si="232"/>
        <v>1.902595388274222E-3</v>
      </c>
      <c r="CI83" s="48">
        <f t="shared" si="233"/>
        <v>1.7808196614951321E-2</v>
      </c>
      <c r="CJ83" s="48">
        <f t="shared" si="234"/>
        <v>1.6987453337728522E-3</v>
      </c>
      <c r="CK83" s="48">
        <f t="shared" si="235"/>
        <v>3.4585199308296015E-3</v>
      </c>
      <c r="CL83" s="48">
        <f t="shared" si="236"/>
        <v>2.2925429174865063E-3</v>
      </c>
      <c r="CM83" s="48">
        <f t="shared" si="237"/>
        <v>0</v>
      </c>
      <c r="CN83" s="48">
        <f t="shared" si="258"/>
        <v>1.725713125571008E-3</v>
      </c>
      <c r="CO83" s="48">
        <f t="shared" si="259"/>
        <v>8.0166630337377993E-3</v>
      </c>
      <c r="CP83" s="48">
        <f t="shared" si="260"/>
        <v>6.2662489167388839E-3</v>
      </c>
      <c r="CQ83" s="48">
        <f t="shared" si="261"/>
        <v>1.098094072390278E-2</v>
      </c>
      <c r="CR83" s="48">
        <f t="shared" si="262"/>
        <v>1.434102968593145E-3</v>
      </c>
      <c r="CS83" s="48">
        <f t="shared" si="263"/>
        <v>1.2363114173359391E-4</v>
      </c>
      <c r="CT83" s="68">
        <f t="shared" si="264"/>
        <v>0.97752477283271033</v>
      </c>
      <c r="CU83" s="68">
        <f t="shared" si="265"/>
        <v>0.97599934294311219</v>
      </c>
      <c r="CW83" s="42">
        <v>242</v>
      </c>
      <c r="CX83" s="58">
        <f t="shared" si="316"/>
        <v>22767</v>
      </c>
      <c r="CY83" s="58">
        <f t="shared" si="317"/>
        <v>19061</v>
      </c>
      <c r="CZ83" s="58">
        <f t="shared" si="318"/>
        <v>22830</v>
      </c>
      <c r="DA83" s="58">
        <f t="shared" si="319"/>
        <v>430</v>
      </c>
      <c r="DB83" s="58">
        <f t="shared" si="320"/>
        <v>2488</v>
      </c>
      <c r="DC83" s="58">
        <f t="shared" si="321"/>
        <v>11307</v>
      </c>
      <c r="DD83" s="58">
        <f t="shared" si="322"/>
        <v>10591</v>
      </c>
      <c r="DE83" s="58">
        <f t="shared" si="323"/>
        <v>9387</v>
      </c>
      <c r="DF83" s="58">
        <f t="shared" si="324"/>
        <v>12990</v>
      </c>
      <c r="DG83" s="58">
        <f t="shared" si="325"/>
        <v>1643</v>
      </c>
      <c r="DH83" s="58">
        <f t="shared" si="326"/>
        <v>28669</v>
      </c>
      <c r="DI83" s="58">
        <f t="shared" si="327"/>
        <v>71572</v>
      </c>
      <c r="DJ83" s="58">
        <f t="shared" si="328"/>
        <v>44019</v>
      </c>
      <c r="DK83" s="58">
        <f t="shared" si="329"/>
        <v>9699</v>
      </c>
      <c r="DL83" s="58">
        <f t="shared" si="330"/>
        <v>24283</v>
      </c>
      <c r="DM83" s="58">
        <f t="shared" si="331"/>
        <v>38706</v>
      </c>
      <c r="DN83" s="58">
        <f t="shared" si="332"/>
        <v>33541</v>
      </c>
      <c r="DO83" s="58">
        <f t="shared" si="333"/>
        <v>18700</v>
      </c>
      <c r="DP83" s="58">
        <f t="shared" si="334"/>
        <v>28013</v>
      </c>
      <c r="DQ83" s="58"/>
      <c r="DR83" s="58">
        <f t="shared" si="335"/>
        <v>54755</v>
      </c>
      <c r="DS83" s="58">
        <f t="shared" si="336"/>
        <v>2948</v>
      </c>
      <c r="DT83" s="58">
        <f t="shared" si="337"/>
        <v>3615</v>
      </c>
      <c r="DU83" s="58">
        <f t="shared" si="338"/>
        <v>23537.447414749116</v>
      </c>
      <c r="DV83" s="58">
        <f t="shared" si="339"/>
        <v>65920</v>
      </c>
      <c r="DW83" s="58">
        <f t="shared" si="340"/>
        <v>74119</v>
      </c>
      <c r="DX83" s="58">
        <f t="shared" si="341"/>
        <v>62397</v>
      </c>
      <c r="DY83" s="58">
        <f t="shared" si="303"/>
        <v>98649</v>
      </c>
      <c r="DZ83" s="58">
        <f t="shared" si="304"/>
        <v>62841</v>
      </c>
      <c r="EA83" s="58">
        <f t="shared" si="305"/>
        <v>9821</v>
      </c>
      <c r="EB83" s="58">
        <f t="shared" si="306"/>
        <v>12190</v>
      </c>
      <c r="EC83" s="58">
        <f t="shared" si="307"/>
        <v>16442</v>
      </c>
      <c r="ED83" s="58">
        <f t="shared" si="308"/>
        <v>22063.20627986913</v>
      </c>
      <c r="EE83" s="58">
        <f t="shared" si="309"/>
        <v>39997</v>
      </c>
      <c r="EF83" s="58">
        <f t="shared" si="310"/>
        <v>47974</v>
      </c>
      <c r="EG83" s="58">
        <f t="shared" si="311"/>
        <v>18956.409303526412</v>
      </c>
      <c r="EH83" s="58">
        <f t="shared" si="312"/>
        <v>13109.404372589403</v>
      </c>
      <c r="EI83" s="58">
        <f t="shared" si="313"/>
        <v>22263</v>
      </c>
      <c r="EJ83" s="58">
        <f t="shared" si="314"/>
        <v>52723</v>
      </c>
      <c r="EK83" s="58">
        <f t="shared" si="315"/>
        <v>71438</v>
      </c>
      <c r="EL83" s="58">
        <f t="shared" si="296"/>
        <v>58228</v>
      </c>
      <c r="EM83" s="58">
        <f t="shared" si="297"/>
        <v>39835</v>
      </c>
      <c r="EN83" s="58">
        <f t="shared" si="298"/>
        <v>58084</v>
      </c>
      <c r="EO83" s="58">
        <f t="shared" si="299"/>
        <v>84916</v>
      </c>
      <c r="EP83" s="58">
        <f t="shared" si="300"/>
        <v>149378</v>
      </c>
      <c r="EQ83" s="58">
        <f t="shared" si="301"/>
        <v>210303</v>
      </c>
      <c r="ER83" s="67">
        <f t="shared" si="266"/>
        <v>76027.740437258937</v>
      </c>
      <c r="ES83" s="67">
        <f t="shared" si="267"/>
        <v>42002.694326115467</v>
      </c>
      <c r="EV83" s="42">
        <v>242</v>
      </c>
      <c r="EW83" s="128">
        <f t="shared" si="238"/>
        <v>0.99241532627174056</v>
      </c>
      <c r="EX83" s="128">
        <f t="shared" si="239"/>
        <v>0.99545644453728854</v>
      </c>
      <c r="EY83" s="128">
        <f t="shared" si="240"/>
        <v>0.99794553481662807</v>
      </c>
      <c r="EZ83" s="128">
        <f t="shared" si="241"/>
        <v>1</v>
      </c>
      <c r="FA83" s="128">
        <f t="shared" si="242"/>
        <v>0.98534653465346533</v>
      </c>
      <c r="FB83" s="128">
        <f t="shared" si="243"/>
        <v>0.98065915004336512</v>
      </c>
      <c r="FC83" s="128">
        <f t="shared" si="244"/>
        <v>0.99268909925953697</v>
      </c>
      <c r="FD83" s="128">
        <f t="shared" si="245"/>
        <v>0.99713193116634802</v>
      </c>
      <c r="FE83" s="128">
        <f t="shared" si="246"/>
        <v>1</v>
      </c>
      <c r="FF83" s="128">
        <f t="shared" si="247"/>
        <v>0.87023305084745761</v>
      </c>
      <c r="FG83" s="128">
        <f t="shared" si="248"/>
        <v>1</v>
      </c>
      <c r="FH83" s="128">
        <f t="shared" si="249"/>
        <v>0.98696857288635764</v>
      </c>
      <c r="FI83" s="128">
        <f t="shared" si="250"/>
        <v>0.97735296076733502</v>
      </c>
      <c r="FJ83" s="128">
        <f t="shared" si="251"/>
        <v>0.94800117290587427</v>
      </c>
      <c r="FK83" s="128">
        <f t="shared" si="252"/>
        <v>0.98283887157485728</v>
      </c>
      <c r="FL83" s="128">
        <f t="shared" si="253"/>
        <v>0.98699510403916768</v>
      </c>
      <c r="FM83" s="128">
        <f t="shared" si="254"/>
        <v>0.98027238718728082</v>
      </c>
      <c r="FN83" s="128">
        <f t="shared" si="255"/>
        <v>0.99866488651535379</v>
      </c>
      <c r="FO83" s="128">
        <f t="shared" si="256"/>
        <v>0.99594695488320828</v>
      </c>
      <c r="FP83" s="128"/>
      <c r="FQ83" s="128">
        <f t="shared" si="268"/>
        <v>0.95277453931684908</v>
      </c>
      <c r="FR83" s="128">
        <f t="shared" si="269"/>
        <v>1</v>
      </c>
      <c r="FS83" s="128">
        <f t="shared" si="270"/>
        <v>0.98743512701447689</v>
      </c>
      <c r="FT83" s="128">
        <f t="shared" si="271"/>
        <v>0.98382407780246495</v>
      </c>
      <c r="FU83" s="128">
        <f t="shared" si="272"/>
        <v>0.94361499592035381</v>
      </c>
      <c r="FV83" s="128">
        <f t="shared" si="273"/>
        <v>0.96197225142441822</v>
      </c>
      <c r="FW83" s="128">
        <f t="shared" si="274"/>
        <v>0.95195740396057726</v>
      </c>
      <c r="FX83" s="128">
        <f t="shared" si="275"/>
        <v>0.97607527679658046</v>
      </c>
      <c r="FY83" s="128">
        <f t="shared" si="276"/>
        <v>0.9420309408166937</v>
      </c>
      <c r="FZ83" s="128">
        <f t="shared" si="277"/>
        <v>0.98004191198483182</v>
      </c>
      <c r="GA83" s="128">
        <f t="shared" si="278"/>
        <v>0.97496600815804202</v>
      </c>
      <c r="GB83" s="128">
        <f t="shared" si="279"/>
        <v>0.96547269524368762</v>
      </c>
      <c r="GC83" s="128">
        <f t="shared" si="280"/>
        <v>0.97931573823724127</v>
      </c>
      <c r="GD83" s="128">
        <f t="shared" si="281"/>
        <v>0.99317143424711962</v>
      </c>
      <c r="GE83" s="128">
        <f t="shared" si="282"/>
        <v>0.99212077344638605</v>
      </c>
      <c r="GF83" s="128">
        <f t="shared" si="283"/>
        <v>0.9728514812411837</v>
      </c>
      <c r="GG83" s="128">
        <f t="shared" si="284"/>
        <v>0.96824084810772493</v>
      </c>
      <c r="GH83" s="128">
        <f t="shared" si="285"/>
        <v>0.98714140025717201</v>
      </c>
      <c r="GI83" s="128">
        <f t="shared" si="286"/>
        <v>0.95173023809953605</v>
      </c>
      <c r="GJ83" s="128">
        <f t="shared" si="287"/>
        <v>0.9865900647709539</v>
      </c>
      <c r="GK83" s="128">
        <f t="shared" si="288"/>
        <v>0.98514533211518285</v>
      </c>
      <c r="GL83" s="128">
        <f t="shared" si="289"/>
        <v>0.96478480951342971</v>
      </c>
      <c r="GM83" s="128">
        <f t="shared" si="290"/>
        <v>0.96800213319112061</v>
      </c>
      <c r="GN83" s="128">
        <f t="shared" si="291"/>
        <v>0.98987002389695167</v>
      </c>
      <c r="GO83" s="128">
        <f t="shared" si="292"/>
        <v>0.97374287837503093</v>
      </c>
      <c r="GP83" s="128">
        <f t="shared" si="293"/>
        <v>1</v>
      </c>
      <c r="GQ83" s="129">
        <f t="shared" si="294"/>
        <v>0.97752477283271022</v>
      </c>
      <c r="GR83" s="129">
        <f t="shared" si="295"/>
        <v>0.9759993429431123</v>
      </c>
    </row>
    <row r="84" spans="1:200" x14ac:dyDescent="0.25">
      <c r="A84" s="42">
        <v>243</v>
      </c>
      <c r="B84" s="81">
        <v>23</v>
      </c>
      <c r="C84" s="81">
        <v>11</v>
      </c>
      <c r="D84" s="81">
        <v>4</v>
      </c>
      <c r="E84" s="81"/>
      <c r="F84" s="81">
        <v>3</v>
      </c>
      <c r="G84" s="81">
        <v>20</v>
      </c>
      <c r="H84" s="81">
        <v>78</v>
      </c>
      <c r="I84" s="81">
        <v>27</v>
      </c>
      <c r="J84" s="81"/>
      <c r="K84" s="81">
        <v>26</v>
      </c>
      <c r="L84" s="81"/>
      <c r="M84" s="81">
        <v>81</v>
      </c>
      <c r="N84" s="81">
        <v>261</v>
      </c>
      <c r="O84" s="81">
        <v>107</v>
      </c>
      <c r="P84" s="81">
        <v>64</v>
      </c>
      <c r="Q84" s="81">
        <v>63</v>
      </c>
      <c r="R84" s="81">
        <v>170</v>
      </c>
      <c r="S84" s="81">
        <v>25</v>
      </c>
      <c r="T84" s="81">
        <v>114</v>
      </c>
      <c r="V84" s="81">
        <v>42</v>
      </c>
      <c r="W84" s="81"/>
      <c r="X84" s="81">
        <v>2</v>
      </c>
      <c r="Y84" s="81">
        <v>51</v>
      </c>
      <c r="Z84" s="81">
        <v>544</v>
      </c>
      <c r="AA84" s="81">
        <v>260</v>
      </c>
      <c r="AB84" s="81">
        <v>153</v>
      </c>
      <c r="AC84" s="81">
        <v>546</v>
      </c>
      <c r="AD84" s="81">
        <v>164</v>
      </c>
      <c r="AE84" s="81">
        <v>36</v>
      </c>
      <c r="AF84" s="84">
        <v>40</v>
      </c>
      <c r="AG84" s="84">
        <v>54</v>
      </c>
      <c r="AH84" s="84">
        <v>74</v>
      </c>
      <c r="AI84" s="83">
        <v>64</v>
      </c>
      <c r="AJ84" s="83">
        <v>49</v>
      </c>
      <c r="AK84" s="83">
        <v>128</v>
      </c>
      <c r="AL84" s="81">
        <v>223</v>
      </c>
      <c r="AM84" s="86">
        <v>44</v>
      </c>
      <c r="AN84" s="86">
        <v>252</v>
      </c>
      <c r="AO84" s="86">
        <v>262</v>
      </c>
      <c r="AP84" s="126">
        <v>66</v>
      </c>
      <c r="AQ84" s="126">
        <v>173</v>
      </c>
      <c r="AR84" s="126">
        <v>532</v>
      </c>
      <c r="AS84" s="126">
        <v>236</v>
      </c>
      <c r="AT84" s="126">
        <v>475</v>
      </c>
      <c r="AU84" s="126"/>
      <c r="AV84" s="71">
        <f t="shared" si="302"/>
        <v>251.44444444444446</v>
      </c>
      <c r="AW84" s="71">
        <f t="shared" si="257"/>
        <v>76300.678135671609</v>
      </c>
      <c r="AY84" s="42">
        <v>243</v>
      </c>
      <c r="AZ84" s="48">
        <f t="shared" si="154"/>
        <v>1.0025718146549846E-3</v>
      </c>
      <c r="BA84" s="48">
        <f t="shared" si="200"/>
        <v>5.7447252976812197E-4</v>
      </c>
      <c r="BB84" s="48">
        <f t="shared" si="201"/>
        <v>1.7484810071250601E-4</v>
      </c>
      <c r="BC84" s="48">
        <f t="shared" si="202"/>
        <v>0</v>
      </c>
      <c r="BD84" s="48">
        <f t="shared" si="203"/>
        <v>1.1881188118811881E-3</v>
      </c>
      <c r="BE84" s="48">
        <f t="shared" si="204"/>
        <v>1.7346053772766695E-3</v>
      </c>
      <c r="BF84" s="48">
        <f t="shared" si="205"/>
        <v>7.3109007404630237E-3</v>
      </c>
      <c r="BG84" s="48">
        <f t="shared" si="206"/>
        <v>2.8680688336520078E-3</v>
      </c>
      <c r="BH84" s="48">
        <f t="shared" si="207"/>
        <v>0</v>
      </c>
      <c r="BI84" s="48">
        <f t="shared" si="208"/>
        <v>1.3771186440677966E-2</v>
      </c>
      <c r="BJ84" s="48">
        <f t="shared" si="209"/>
        <v>0</v>
      </c>
      <c r="BK84" s="48">
        <f t="shared" si="210"/>
        <v>1.1169794668836274E-3</v>
      </c>
      <c r="BL84" s="48">
        <f t="shared" si="211"/>
        <v>5.7949776860054623E-3</v>
      </c>
      <c r="BM84" s="48">
        <f t="shared" si="212"/>
        <v>1.0458410712540318E-2</v>
      </c>
      <c r="BN84" s="48">
        <f t="shared" si="213"/>
        <v>2.5903590075687052E-3</v>
      </c>
      <c r="BO84" s="48">
        <f t="shared" si="214"/>
        <v>1.6064871481028151E-3</v>
      </c>
      <c r="BP84" s="48">
        <f t="shared" si="215"/>
        <v>4.9684358194996489E-3</v>
      </c>
      <c r="BQ84" s="48">
        <f t="shared" si="216"/>
        <v>1.3351134846461949E-3</v>
      </c>
      <c r="BR84" s="48">
        <f t="shared" si="217"/>
        <v>4.0530451167916952E-3</v>
      </c>
      <c r="BS84" s="48"/>
      <c r="BT84" s="48">
        <f t="shared" si="218"/>
        <v>7.3082879465450939E-4</v>
      </c>
      <c r="BU84" s="48">
        <f t="shared" si="219"/>
        <v>0</v>
      </c>
      <c r="BV84" s="48">
        <f t="shared" si="220"/>
        <v>5.4629882545752522E-4</v>
      </c>
      <c r="BW84" s="48">
        <f t="shared" si="221"/>
        <v>2.1317106771945398E-3</v>
      </c>
      <c r="BX84" s="48">
        <f t="shared" si="222"/>
        <v>7.7871140440029206E-3</v>
      </c>
      <c r="BY84" s="48">
        <f t="shared" si="223"/>
        <v>3.3744759828161302E-3</v>
      </c>
      <c r="BZ84" s="48">
        <f t="shared" si="224"/>
        <v>2.334238550025936E-3</v>
      </c>
      <c r="CA84" s="48">
        <f t="shared" si="225"/>
        <v>5.4023568523850511E-3</v>
      </c>
      <c r="CB84" s="48">
        <f t="shared" si="226"/>
        <v>2.4584757450380763E-3</v>
      </c>
      <c r="CC84" s="48">
        <f t="shared" si="227"/>
        <v>3.5924558427302663E-3</v>
      </c>
      <c r="CD84" s="48">
        <f t="shared" si="228"/>
        <v>3.1992321842757737E-3</v>
      </c>
      <c r="CE84" s="48">
        <f t="shared" si="229"/>
        <v>3.1708749266001176E-3</v>
      </c>
      <c r="CF84" s="48">
        <f t="shared" si="230"/>
        <v>3.2846252584638265E-3</v>
      </c>
      <c r="CG84" s="48">
        <f t="shared" si="231"/>
        <v>1.5891934843067143E-3</v>
      </c>
      <c r="CH84" s="48">
        <f t="shared" si="232"/>
        <v>1.0133388481025746E-3</v>
      </c>
      <c r="CI84" s="48">
        <f t="shared" si="233"/>
        <v>6.5690177715094205E-3</v>
      </c>
      <c r="CJ84" s="48">
        <f t="shared" si="234"/>
        <v>1.6470443888319395E-2</v>
      </c>
      <c r="CK84" s="48">
        <f t="shared" si="235"/>
        <v>1.9509599609808007E-3</v>
      </c>
      <c r="CL84" s="48">
        <f t="shared" si="236"/>
        <v>4.5489827969023592E-3</v>
      </c>
      <c r="CM84" s="48">
        <f t="shared" si="237"/>
        <v>3.6183347373945226E-3</v>
      </c>
      <c r="CN84" s="48">
        <f t="shared" si="258"/>
        <v>1.1166379047812406E-3</v>
      </c>
      <c r="CO84" s="48">
        <f t="shared" si="259"/>
        <v>4.1899779602315385E-3</v>
      </c>
      <c r="CP84" s="48">
        <f t="shared" si="260"/>
        <v>8.8660755949603355E-3</v>
      </c>
      <c r="CQ84" s="48">
        <f t="shared" si="261"/>
        <v>2.751063705776068E-3</v>
      </c>
      <c r="CR84" s="48">
        <f t="shared" si="262"/>
        <v>3.0963586821897448E-3</v>
      </c>
      <c r="CS84" s="48">
        <f t="shared" si="263"/>
        <v>0</v>
      </c>
      <c r="CT84" s="68">
        <f t="shared" si="264"/>
        <v>0.98218565635586397</v>
      </c>
      <c r="CU84" s="68">
        <f t="shared" si="265"/>
        <v>0.9797210444471387</v>
      </c>
      <c r="CW84" s="42">
        <v>243</v>
      </c>
      <c r="CX84" s="58">
        <f t="shared" si="316"/>
        <v>22790</v>
      </c>
      <c r="CY84" s="58">
        <f t="shared" si="317"/>
        <v>19072</v>
      </c>
      <c r="CZ84" s="58">
        <f t="shared" si="318"/>
        <v>22834</v>
      </c>
      <c r="DA84" s="58">
        <f t="shared" si="319"/>
        <v>430</v>
      </c>
      <c r="DB84" s="58">
        <f t="shared" si="320"/>
        <v>2491</v>
      </c>
      <c r="DC84" s="58">
        <f t="shared" si="321"/>
        <v>11327</v>
      </c>
      <c r="DD84" s="58">
        <f t="shared" si="322"/>
        <v>10669</v>
      </c>
      <c r="DE84" s="58">
        <f t="shared" si="323"/>
        <v>9414</v>
      </c>
      <c r="DF84" s="58">
        <f t="shared" si="324"/>
        <v>12990</v>
      </c>
      <c r="DG84" s="58">
        <f t="shared" si="325"/>
        <v>1669</v>
      </c>
      <c r="DH84" s="58">
        <f t="shared" si="326"/>
        <v>28669</v>
      </c>
      <c r="DI84" s="58">
        <f t="shared" si="327"/>
        <v>71653</v>
      </c>
      <c r="DJ84" s="58">
        <f t="shared" si="328"/>
        <v>44280</v>
      </c>
      <c r="DK84" s="58">
        <f t="shared" si="329"/>
        <v>9806</v>
      </c>
      <c r="DL84" s="58">
        <f t="shared" si="330"/>
        <v>24347</v>
      </c>
      <c r="DM84" s="58">
        <f t="shared" si="331"/>
        <v>38769</v>
      </c>
      <c r="DN84" s="58">
        <f t="shared" si="332"/>
        <v>33711</v>
      </c>
      <c r="DO84" s="58">
        <f t="shared" si="333"/>
        <v>18725</v>
      </c>
      <c r="DP84" s="58">
        <f t="shared" si="334"/>
        <v>28127</v>
      </c>
      <c r="DQ84" s="58"/>
      <c r="DR84" s="58">
        <f t="shared" si="335"/>
        <v>54797</v>
      </c>
      <c r="DS84" s="58">
        <f t="shared" si="336"/>
        <v>2948</v>
      </c>
      <c r="DT84" s="58">
        <f t="shared" si="337"/>
        <v>3617</v>
      </c>
      <c r="DU84" s="58">
        <f t="shared" si="338"/>
        <v>23588.447414749116</v>
      </c>
      <c r="DV84" s="58">
        <f t="shared" si="339"/>
        <v>66464</v>
      </c>
      <c r="DW84" s="58">
        <f t="shared" si="340"/>
        <v>74379</v>
      </c>
      <c r="DX84" s="58">
        <f t="shared" si="341"/>
        <v>62550</v>
      </c>
      <c r="DY84" s="58">
        <f t="shared" si="303"/>
        <v>99195</v>
      </c>
      <c r="DZ84" s="58">
        <f t="shared" si="304"/>
        <v>63005</v>
      </c>
      <c r="EA84" s="58">
        <f t="shared" si="305"/>
        <v>9857</v>
      </c>
      <c r="EB84" s="58">
        <f t="shared" si="306"/>
        <v>12230</v>
      </c>
      <c r="EC84" s="58">
        <f t="shared" si="307"/>
        <v>16496</v>
      </c>
      <c r="ED84" s="58">
        <f t="shared" si="308"/>
        <v>22137.20627986913</v>
      </c>
      <c r="EE84" s="58">
        <f t="shared" si="309"/>
        <v>40061</v>
      </c>
      <c r="EF84" s="58">
        <f t="shared" si="310"/>
        <v>48023</v>
      </c>
      <c r="EG84" s="58">
        <f t="shared" si="311"/>
        <v>19084.409303526412</v>
      </c>
      <c r="EH84" s="58">
        <f t="shared" si="312"/>
        <v>13332.404372589403</v>
      </c>
      <c r="EI84" s="58">
        <f t="shared" si="313"/>
        <v>22307</v>
      </c>
      <c r="EJ84" s="58">
        <f t="shared" si="314"/>
        <v>52975</v>
      </c>
      <c r="EK84" s="58">
        <f t="shared" si="315"/>
        <v>71700</v>
      </c>
      <c r="EL84" s="58">
        <f t="shared" si="296"/>
        <v>58294</v>
      </c>
      <c r="EM84" s="58">
        <f t="shared" si="297"/>
        <v>40008</v>
      </c>
      <c r="EN84" s="58">
        <f t="shared" si="298"/>
        <v>58616</v>
      </c>
      <c r="EO84" s="58">
        <f t="shared" si="299"/>
        <v>85152</v>
      </c>
      <c r="EP84" s="58">
        <f t="shared" si="300"/>
        <v>149853</v>
      </c>
      <c r="EQ84" s="58">
        <f t="shared" si="301"/>
        <v>210303</v>
      </c>
      <c r="ER84" s="67">
        <f t="shared" si="266"/>
        <v>76254.04043725894</v>
      </c>
      <c r="ES84" s="67">
        <f t="shared" si="267"/>
        <v>42137.060179774002</v>
      </c>
      <c r="EV84" s="42">
        <v>243</v>
      </c>
      <c r="EW84" s="128">
        <f t="shared" si="238"/>
        <v>0.99341789808639558</v>
      </c>
      <c r="EX84" s="128">
        <f t="shared" si="239"/>
        <v>0.9960309170670566</v>
      </c>
      <c r="EY84" s="128">
        <f t="shared" si="240"/>
        <v>0.99812038291734051</v>
      </c>
      <c r="EZ84" s="128">
        <f t="shared" si="241"/>
        <v>1</v>
      </c>
      <c r="FA84" s="128">
        <f t="shared" si="242"/>
        <v>0.98653465346534652</v>
      </c>
      <c r="FB84" s="128">
        <f t="shared" si="243"/>
        <v>0.98239375542064178</v>
      </c>
      <c r="FC84" s="128">
        <f t="shared" si="244"/>
        <v>1</v>
      </c>
      <c r="FD84" s="128">
        <f t="shared" si="245"/>
        <v>1</v>
      </c>
      <c r="FE84" s="128">
        <f t="shared" si="246"/>
        <v>1</v>
      </c>
      <c r="FF84" s="128">
        <f t="shared" si="247"/>
        <v>0.8840042372881356</v>
      </c>
      <c r="FG84" s="128">
        <f t="shared" si="248"/>
        <v>1</v>
      </c>
      <c r="FH84" s="128">
        <f t="shared" si="249"/>
        <v>0.98808555235324136</v>
      </c>
      <c r="FI84" s="128">
        <f t="shared" si="250"/>
        <v>0.98314793845334048</v>
      </c>
      <c r="FJ84" s="128">
        <f t="shared" si="251"/>
        <v>0.95845958361841466</v>
      </c>
      <c r="FK84" s="128">
        <f t="shared" si="252"/>
        <v>0.98542923058242604</v>
      </c>
      <c r="FL84" s="128">
        <f t="shared" si="253"/>
        <v>0.98860159118727053</v>
      </c>
      <c r="FM84" s="128">
        <f t="shared" si="254"/>
        <v>0.98524082300678051</v>
      </c>
      <c r="FN84" s="128">
        <f t="shared" si="255"/>
        <v>1</v>
      </c>
      <c r="FO84" s="128">
        <f t="shared" si="256"/>
        <v>1</v>
      </c>
      <c r="FP84" s="128"/>
      <c r="FQ84" s="128">
        <f t="shared" si="268"/>
        <v>0.95350536811150355</v>
      </c>
      <c r="FR84" s="128">
        <f t="shared" si="269"/>
        <v>1</v>
      </c>
      <c r="FS84" s="128">
        <f t="shared" si="270"/>
        <v>0.98798142583993442</v>
      </c>
      <c r="FT84" s="128">
        <f t="shared" si="271"/>
        <v>0.98595578847965948</v>
      </c>
      <c r="FU84" s="128">
        <f t="shared" si="272"/>
        <v>0.95140210996435681</v>
      </c>
      <c r="FV84" s="128">
        <f t="shared" si="273"/>
        <v>0.96534672740723437</v>
      </c>
      <c r="FW84" s="128">
        <f t="shared" si="274"/>
        <v>0.95429164251060328</v>
      </c>
      <c r="FX84" s="128">
        <f t="shared" si="275"/>
        <v>0.98147763364896556</v>
      </c>
      <c r="FY84" s="128">
        <f t="shared" si="276"/>
        <v>0.94448941656173169</v>
      </c>
      <c r="FZ84" s="128">
        <f t="shared" si="277"/>
        <v>0.98363436782756208</v>
      </c>
      <c r="GA84" s="128">
        <f t="shared" si="278"/>
        <v>0.97816524034231789</v>
      </c>
      <c r="GB84" s="128">
        <f t="shared" si="279"/>
        <v>0.96864357017028768</v>
      </c>
      <c r="GC84" s="128">
        <f t="shared" si="280"/>
        <v>0.98260036349570512</v>
      </c>
      <c r="GD84" s="128">
        <f t="shared" si="281"/>
        <v>0.99476062773142626</v>
      </c>
      <c r="GE84" s="128">
        <f t="shared" si="282"/>
        <v>0.99313411229448867</v>
      </c>
      <c r="GF84" s="128">
        <f t="shared" si="283"/>
        <v>0.97942049901269312</v>
      </c>
      <c r="GG84" s="128">
        <f t="shared" si="284"/>
        <v>0.98471129199604435</v>
      </c>
      <c r="GH84" s="128">
        <f t="shared" si="285"/>
        <v>0.98909236021815283</v>
      </c>
      <c r="GI84" s="128">
        <f t="shared" si="286"/>
        <v>0.95627922089643846</v>
      </c>
      <c r="GJ84" s="128">
        <f t="shared" si="287"/>
        <v>0.99020839950834838</v>
      </c>
      <c r="GK84" s="128">
        <f t="shared" si="288"/>
        <v>0.98626197001996418</v>
      </c>
      <c r="GL84" s="128">
        <f t="shared" si="289"/>
        <v>0.96897478747366128</v>
      </c>
      <c r="GM84" s="128">
        <f t="shared" si="290"/>
        <v>0.97686820878608094</v>
      </c>
      <c r="GN84" s="128">
        <f t="shared" si="291"/>
        <v>0.99262108760272771</v>
      </c>
      <c r="GO84" s="128">
        <f t="shared" si="292"/>
        <v>0.97683923705722076</v>
      </c>
      <c r="GP84" s="128">
        <f t="shared" si="293"/>
        <v>1</v>
      </c>
      <c r="GQ84" s="129">
        <f t="shared" si="294"/>
        <v>0.98218565635586386</v>
      </c>
      <c r="GR84" s="129">
        <f t="shared" si="295"/>
        <v>0.97972104444713926</v>
      </c>
    </row>
    <row r="85" spans="1:200" x14ac:dyDescent="0.25">
      <c r="A85" s="42">
        <v>244</v>
      </c>
      <c r="B85" s="81">
        <v>25</v>
      </c>
      <c r="C85" s="81">
        <v>17</v>
      </c>
      <c r="D85" s="81">
        <v>7</v>
      </c>
      <c r="E85" s="81"/>
      <c r="F85" s="81">
        <v>6</v>
      </c>
      <c r="G85" s="81">
        <v>9</v>
      </c>
      <c r="H85" s="81"/>
      <c r="I85" s="81"/>
      <c r="J85" s="81"/>
      <c r="K85" s="81">
        <v>25</v>
      </c>
      <c r="L85" s="81"/>
      <c r="M85" s="81">
        <v>140</v>
      </c>
      <c r="N85" s="81">
        <v>201</v>
      </c>
      <c r="O85" s="81">
        <v>23</v>
      </c>
      <c r="P85" s="81">
        <v>202</v>
      </c>
      <c r="Q85" s="81">
        <v>80</v>
      </c>
      <c r="R85" s="81">
        <v>229</v>
      </c>
      <c r="S85" s="81"/>
      <c r="T85" s="81"/>
      <c r="V85" s="81">
        <v>150</v>
      </c>
      <c r="W85" s="81"/>
      <c r="X85" s="81">
        <v>1</v>
      </c>
      <c r="Y85" s="81">
        <v>47</v>
      </c>
      <c r="Z85" s="81">
        <v>252</v>
      </c>
      <c r="AA85" s="81">
        <v>100</v>
      </c>
      <c r="AB85" s="81">
        <v>142</v>
      </c>
      <c r="AC85" s="81">
        <v>1246</v>
      </c>
      <c r="AD85" s="81">
        <v>53</v>
      </c>
      <c r="AE85" s="81">
        <v>8</v>
      </c>
      <c r="AF85" s="84">
        <v>15</v>
      </c>
      <c r="AG85" s="84">
        <v>59</v>
      </c>
      <c r="AH85" s="84">
        <v>38</v>
      </c>
      <c r="AI85" s="83">
        <v>36</v>
      </c>
      <c r="AJ85" s="83">
        <v>101</v>
      </c>
      <c r="AK85" s="83">
        <v>54</v>
      </c>
      <c r="AL85" s="88">
        <v>207</v>
      </c>
      <c r="AM85" s="86">
        <v>31</v>
      </c>
      <c r="AN85" s="86">
        <v>338</v>
      </c>
      <c r="AO85" s="86">
        <v>288</v>
      </c>
      <c r="AP85" s="126">
        <v>33</v>
      </c>
      <c r="AQ85" s="126">
        <v>444</v>
      </c>
      <c r="AR85" s="126">
        <v>412</v>
      </c>
      <c r="AS85" s="126">
        <v>274</v>
      </c>
      <c r="AT85" s="126">
        <v>729</v>
      </c>
      <c r="AU85" s="126"/>
      <c r="AV85" s="71">
        <f t="shared" si="302"/>
        <v>306.22222222222223</v>
      </c>
      <c r="AW85" s="71">
        <f t="shared" si="257"/>
        <v>76606.900357893828</v>
      </c>
      <c r="AY85" s="42">
        <v>244</v>
      </c>
      <c r="AZ85" s="48">
        <f t="shared" ref="AZ85:AZ102" si="342">B85/B$104</f>
        <v>1.0897519724510701E-3</v>
      </c>
      <c r="BA85" s="48">
        <f t="shared" si="200"/>
        <v>8.8782118236891577E-4</v>
      </c>
      <c r="BB85" s="48">
        <f t="shared" si="201"/>
        <v>3.059841762468855E-4</v>
      </c>
      <c r="BC85" s="48">
        <f t="shared" si="202"/>
        <v>0</v>
      </c>
      <c r="BD85" s="48">
        <f t="shared" si="203"/>
        <v>2.3762376237623762E-3</v>
      </c>
      <c r="BE85" s="48">
        <f t="shared" si="204"/>
        <v>7.8057241977450129E-4</v>
      </c>
      <c r="BF85" s="48">
        <f t="shared" si="205"/>
        <v>0</v>
      </c>
      <c r="BG85" s="48">
        <f t="shared" si="206"/>
        <v>0</v>
      </c>
      <c r="BH85" s="48">
        <f t="shared" si="207"/>
        <v>0</v>
      </c>
      <c r="BI85" s="48">
        <f t="shared" si="208"/>
        <v>1.3241525423728813E-2</v>
      </c>
      <c r="BJ85" s="48">
        <f t="shared" si="209"/>
        <v>0</v>
      </c>
      <c r="BK85" s="48">
        <f t="shared" si="210"/>
        <v>1.9305817946136767E-3</v>
      </c>
      <c r="BL85" s="48">
        <f t="shared" si="211"/>
        <v>4.4627989076134016E-3</v>
      </c>
      <c r="BM85" s="48">
        <f t="shared" si="212"/>
        <v>2.2480695924152086E-3</v>
      </c>
      <c r="BN85" s="48">
        <f t="shared" si="213"/>
        <v>8.1758206176387252E-3</v>
      </c>
      <c r="BO85" s="48">
        <f t="shared" si="214"/>
        <v>2.0399836801305591E-3</v>
      </c>
      <c r="BP85" s="48">
        <f t="shared" si="215"/>
        <v>6.6927753097965866E-3</v>
      </c>
      <c r="BQ85" s="48">
        <f t="shared" si="216"/>
        <v>0</v>
      </c>
      <c r="BR85" s="48">
        <f t="shared" si="217"/>
        <v>0</v>
      </c>
      <c r="BS85" s="48"/>
      <c r="BT85" s="48">
        <f t="shared" si="218"/>
        <v>2.6101028380518193E-3</v>
      </c>
      <c r="BU85" s="48">
        <f t="shared" si="219"/>
        <v>0</v>
      </c>
      <c r="BV85" s="48">
        <f t="shared" si="220"/>
        <v>2.7314941272876261E-4</v>
      </c>
      <c r="BW85" s="48">
        <f t="shared" si="221"/>
        <v>1.9645176829047721E-3</v>
      </c>
      <c r="BX85" s="48">
        <f t="shared" si="222"/>
        <v>3.6072660645013526E-3</v>
      </c>
      <c r="BY85" s="48">
        <f t="shared" si="223"/>
        <v>1.2978753780062038E-3</v>
      </c>
      <c r="BZ85" s="48">
        <f t="shared" si="224"/>
        <v>2.1664174778018492E-3</v>
      </c>
      <c r="CA85" s="48">
        <f t="shared" si="225"/>
        <v>1.2328455381083835E-2</v>
      </c>
      <c r="CB85" s="48">
        <f t="shared" si="226"/>
        <v>7.9450740540864661E-4</v>
      </c>
      <c r="CC85" s="48">
        <f t="shared" si="227"/>
        <v>7.9832352060672589E-4</v>
      </c>
      <c r="CD85" s="48">
        <f t="shared" si="228"/>
        <v>1.1997120691034152E-3</v>
      </c>
      <c r="CE85" s="48">
        <f t="shared" si="229"/>
        <v>3.4644744568408689E-3</v>
      </c>
      <c r="CF85" s="48">
        <f t="shared" si="230"/>
        <v>1.686699457048992E-3</v>
      </c>
      <c r="CG85" s="48">
        <f t="shared" si="231"/>
        <v>8.9392133492252677E-4</v>
      </c>
      <c r="CH85" s="48">
        <f t="shared" si="232"/>
        <v>2.088718850170613E-3</v>
      </c>
      <c r="CI85" s="48">
        <f t="shared" si="233"/>
        <v>2.7713043723555366E-3</v>
      </c>
      <c r="CJ85" s="48">
        <f t="shared" si="234"/>
        <v>1.5288708003955671E-2</v>
      </c>
      <c r="CK85" s="48">
        <f t="shared" si="235"/>
        <v>1.3745399725092005E-3</v>
      </c>
      <c r="CL85" s="48">
        <f t="shared" si="236"/>
        <v>6.101413433940466E-3</v>
      </c>
      <c r="CM85" s="48">
        <f t="shared" si="237"/>
        <v>3.9774061235481779E-3</v>
      </c>
      <c r="CN85" s="48">
        <f t="shared" si="258"/>
        <v>5.5831895239062028E-4</v>
      </c>
      <c r="CO85" s="48">
        <f t="shared" si="259"/>
        <v>1.0753469447068226E-2</v>
      </c>
      <c r="CP85" s="48">
        <f t="shared" si="260"/>
        <v>6.8662089194053734E-3</v>
      </c>
      <c r="CQ85" s="48">
        <f t="shared" si="261"/>
        <v>3.1940315906044182E-3</v>
      </c>
      <c r="CR85" s="48">
        <f t="shared" si="262"/>
        <v>4.7520957459291028E-3</v>
      </c>
      <c r="CS85" s="48">
        <f t="shared" si="263"/>
        <v>0</v>
      </c>
      <c r="CT85" s="68">
        <f t="shared" si="264"/>
        <v>0.98747227557479911</v>
      </c>
      <c r="CU85" s="68">
        <f t="shared" si="265"/>
        <v>0.98295909330714748</v>
      </c>
      <c r="CW85" s="42">
        <v>244</v>
      </c>
      <c r="CX85" s="58">
        <f t="shared" si="316"/>
        <v>22815</v>
      </c>
      <c r="CY85" s="58">
        <f t="shared" si="317"/>
        <v>19089</v>
      </c>
      <c r="CZ85" s="58">
        <f t="shared" si="318"/>
        <v>22841</v>
      </c>
      <c r="DA85" s="58">
        <f t="shared" si="319"/>
        <v>430</v>
      </c>
      <c r="DB85" s="58">
        <f t="shared" si="320"/>
        <v>2497</v>
      </c>
      <c r="DC85" s="58">
        <f t="shared" si="321"/>
        <v>11336</v>
      </c>
      <c r="DD85" s="58">
        <f t="shared" si="322"/>
        <v>10669</v>
      </c>
      <c r="DE85" s="58">
        <f t="shared" si="323"/>
        <v>9414</v>
      </c>
      <c r="DF85" s="58">
        <f t="shared" si="324"/>
        <v>12990</v>
      </c>
      <c r="DG85" s="58">
        <f t="shared" si="325"/>
        <v>1694</v>
      </c>
      <c r="DH85" s="58">
        <f t="shared" si="326"/>
        <v>28669</v>
      </c>
      <c r="DI85" s="58">
        <f t="shared" si="327"/>
        <v>71793</v>
      </c>
      <c r="DJ85" s="58">
        <f t="shared" si="328"/>
        <v>44481</v>
      </c>
      <c r="DK85" s="58">
        <f t="shared" si="329"/>
        <v>9829</v>
      </c>
      <c r="DL85" s="58">
        <f t="shared" si="330"/>
        <v>24549</v>
      </c>
      <c r="DM85" s="58">
        <f t="shared" si="331"/>
        <v>38849</v>
      </c>
      <c r="DN85" s="58">
        <f t="shared" si="332"/>
        <v>33940</v>
      </c>
      <c r="DO85" s="58">
        <f t="shared" si="333"/>
        <v>18725</v>
      </c>
      <c r="DP85" s="58">
        <f t="shared" si="334"/>
        <v>28127</v>
      </c>
      <c r="DQ85" s="58"/>
      <c r="DR85" s="58">
        <f t="shared" si="335"/>
        <v>54947</v>
      </c>
      <c r="DS85" s="58">
        <f t="shared" si="336"/>
        <v>2948</v>
      </c>
      <c r="DT85" s="58">
        <f t="shared" si="337"/>
        <v>3618</v>
      </c>
      <c r="DU85" s="58">
        <f t="shared" si="338"/>
        <v>23635.447414749116</v>
      </c>
      <c r="DV85" s="58">
        <f t="shared" si="339"/>
        <v>66716</v>
      </c>
      <c r="DW85" s="58">
        <f t="shared" si="340"/>
        <v>74479</v>
      </c>
      <c r="DX85" s="58">
        <f t="shared" si="341"/>
        <v>62692</v>
      </c>
      <c r="DY85" s="58">
        <f t="shared" si="303"/>
        <v>100441</v>
      </c>
      <c r="DZ85" s="58">
        <f t="shared" si="304"/>
        <v>63058</v>
      </c>
      <c r="EA85" s="58">
        <f t="shared" si="305"/>
        <v>9865</v>
      </c>
      <c r="EB85" s="58">
        <f t="shared" si="306"/>
        <v>12245</v>
      </c>
      <c r="EC85" s="58">
        <f t="shared" si="307"/>
        <v>16555</v>
      </c>
      <c r="ED85" s="58">
        <f t="shared" si="308"/>
        <v>22175.20627986913</v>
      </c>
      <c r="EE85" s="58">
        <f t="shared" si="309"/>
        <v>40097</v>
      </c>
      <c r="EF85" s="58">
        <f t="shared" si="310"/>
        <v>48124</v>
      </c>
      <c r="EG85" s="58">
        <f t="shared" si="311"/>
        <v>19138.409303526412</v>
      </c>
      <c r="EH85" s="58">
        <f t="shared" si="312"/>
        <v>13539.404372589403</v>
      </c>
      <c r="EI85" s="58">
        <f t="shared" si="313"/>
        <v>22338</v>
      </c>
      <c r="EJ85" s="58">
        <f t="shared" si="314"/>
        <v>53313</v>
      </c>
      <c r="EK85" s="58">
        <f t="shared" si="315"/>
        <v>71988</v>
      </c>
      <c r="EL85" s="58">
        <f t="shared" si="296"/>
        <v>58327</v>
      </c>
      <c r="EM85" s="58">
        <f t="shared" si="297"/>
        <v>40452</v>
      </c>
      <c r="EN85" s="58">
        <f t="shared" si="298"/>
        <v>59028</v>
      </c>
      <c r="EO85" s="58">
        <f t="shared" si="299"/>
        <v>85426</v>
      </c>
      <c r="EP85" s="58">
        <f t="shared" si="300"/>
        <v>150582</v>
      </c>
      <c r="EQ85" s="58">
        <f t="shared" si="301"/>
        <v>210303</v>
      </c>
      <c r="ER85" s="67">
        <f t="shared" si="266"/>
        <v>76529.640437258946</v>
      </c>
      <c r="ES85" s="67">
        <f t="shared" si="267"/>
        <v>42282.743106603273</v>
      </c>
      <c r="EV85" s="42">
        <v>244</v>
      </c>
      <c r="EW85" s="128">
        <f t="shared" si="238"/>
        <v>0.99450765005884656</v>
      </c>
      <c r="EX85" s="128">
        <f t="shared" si="239"/>
        <v>0.99691873824942556</v>
      </c>
      <c r="EY85" s="128">
        <f t="shared" si="240"/>
        <v>0.99842636709358745</v>
      </c>
      <c r="EZ85" s="128">
        <f t="shared" si="241"/>
        <v>1</v>
      </c>
      <c r="FA85" s="128">
        <f t="shared" si="242"/>
        <v>0.9889108910891089</v>
      </c>
      <c r="FB85" s="128">
        <f t="shared" si="243"/>
        <v>0.98317432784041625</v>
      </c>
      <c r="FC85" s="128">
        <f t="shared" si="244"/>
        <v>1</v>
      </c>
      <c r="FD85" s="128">
        <f t="shared" si="245"/>
        <v>1</v>
      </c>
      <c r="FE85" s="128">
        <f t="shared" si="246"/>
        <v>1</v>
      </c>
      <c r="FF85" s="128">
        <f t="shared" si="247"/>
        <v>0.8972457627118644</v>
      </c>
      <c r="FG85" s="128">
        <f t="shared" si="248"/>
        <v>1</v>
      </c>
      <c r="FH85" s="128">
        <f t="shared" si="249"/>
        <v>0.99001613414785494</v>
      </c>
      <c r="FI85" s="128">
        <f t="shared" si="250"/>
        <v>0.98761073736095384</v>
      </c>
      <c r="FJ85" s="128">
        <f t="shared" si="251"/>
        <v>0.96070765321082985</v>
      </c>
      <c r="FK85" s="128">
        <f t="shared" si="252"/>
        <v>0.9936050512000647</v>
      </c>
      <c r="FL85" s="128">
        <f t="shared" si="253"/>
        <v>0.99064157486740101</v>
      </c>
      <c r="FM85" s="128">
        <f t="shared" si="254"/>
        <v>0.99193359831657701</v>
      </c>
      <c r="FN85" s="128">
        <f t="shared" si="255"/>
        <v>1</v>
      </c>
      <c r="FO85" s="128">
        <f t="shared" si="256"/>
        <v>1</v>
      </c>
      <c r="FP85" s="128"/>
      <c r="FQ85" s="128">
        <f t="shared" si="268"/>
        <v>0.9561154709495554</v>
      </c>
      <c r="FR85" s="128">
        <f t="shared" si="269"/>
        <v>1</v>
      </c>
      <c r="FS85" s="128">
        <f t="shared" si="270"/>
        <v>0.98825457525266325</v>
      </c>
      <c r="FT85" s="128">
        <f t="shared" si="271"/>
        <v>0.98792030616256432</v>
      </c>
      <c r="FU85" s="128">
        <f t="shared" si="272"/>
        <v>0.95500937602885816</v>
      </c>
      <c r="FV85" s="128">
        <f t="shared" si="273"/>
        <v>0.96664460278524056</v>
      </c>
      <c r="FW85" s="128">
        <f t="shared" si="274"/>
        <v>0.95645805998840505</v>
      </c>
      <c r="FX85" s="128">
        <f t="shared" si="275"/>
        <v>0.99380608903004941</v>
      </c>
      <c r="FY85" s="128">
        <f t="shared" si="276"/>
        <v>0.94528392396714034</v>
      </c>
      <c r="FZ85" s="128">
        <f t="shared" si="277"/>
        <v>0.9844326913481688</v>
      </c>
      <c r="GA85" s="128">
        <f t="shared" si="278"/>
        <v>0.9793649524114213</v>
      </c>
      <c r="GB85" s="128">
        <f t="shared" si="279"/>
        <v>0.97210804462712863</v>
      </c>
      <c r="GC85" s="128">
        <f t="shared" si="280"/>
        <v>0.98428706295275414</v>
      </c>
      <c r="GD85" s="128">
        <f t="shared" si="281"/>
        <v>0.99565454906634887</v>
      </c>
      <c r="GE85" s="128">
        <f t="shared" si="282"/>
        <v>0.99522283114465926</v>
      </c>
      <c r="GF85" s="128">
        <f t="shared" si="283"/>
        <v>0.98219180338504863</v>
      </c>
      <c r="GG85" s="128">
        <f t="shared" si="284"/>
        <v>1</v>
      </c>
      <c r="GH85" s="128">
        <f t="shared" si="285"/>
        <v>0.99046690019066197</v>
      </c>
      <c r="GI85" s="128">
        <f t="shared" si="286"/>
        <v>0.9623806343303789</v>
      </c>
      <c r="GJ85" s="128">
        <f t="shared" si="287"/>
        <v>0.99418580563189662</v>
      </c>
      <c r="GK85" s="128">
        <f t="shared" si="288"/>
        <v>0.98682028897235474</v>
      </c>
      <c r="GL85" s="128">
        <f t="shared" si="289"/>
        <v>0.97972825692072951</v>
      </c>
      <c r="GM85" s="128">
        <f t="shared" si="290"/>
        <v>0.98373441770548631</v>
      </c>
      <c r="GN85" s="128">
        <f t="shared" si="291"/>
        <v>0.99581511919333221</v>
      </c>
      <c r="GO85" s="128">
        <f t="shared" si="292"/>
        <v>0.98159133280314981</v>
      </c>
      <c r="GP85" s="128">
        <f t="shared" si="293"/>
        <v>1</v>
      </c>
      <c r="GQ85" s="129">
        <f t="shared" si="294"/>
        <v>0.98747227557479911</v>
      </c>
      <c r="GR85" s="129">
        <f t="shared" si="295"/>
        <v>0.98295909330714781</v>
      </c>
    </row>
    <row r="86" spans="1:200" x14ac:dyDescent="0.25">
      <c r="A86" s="42">
        <v>245</v>
      </c>
      <c r="B86" s="81">
        <v>32</v>
      </c>
      <c r="C86" s="81">
        <v>23</v>
      </c>
      <c r="D86" s="81">
        <v>7</v>
      </c>
      <c r="E86" s="81"/>
      <c r="F86" s="81">
        <v>5</v>
      </c>
      <c r="G86" s="81">
        <v>17</v>
      </c>
      <c r="H86" s="81"/>
      <c r="I86" s="81"/>
      <c r="J86" s="81"/>
      <c r="K86" s="81">
        <v>26</v>
      </c>
      <c r="L86" s="81"/>
      <c r="M86" s="81">
        <v>72</v>
      </c>
      <c r="N86" s="81">
        <v>111</v>
      </c>
      <c r="O86" s="81">
        <v>86</v>
      </c>
      <c r="P86" s="81">
        <v>35</v>
      </c>
      <c r="Q86" s="81">
        <v>182</v>
      </c>
      <c r="R86" s="81">
        <v>207</v>
      </c>
      <c r="S86" s="81"/>
      <c r="T86" s="81"/>
      <c r="V86" s="81">
        <v>447</v>
      </c>
      <c r="W86" s="81"/>
      <c r="X86" s="81">
        <v>3</v>
      </c>
      <c r="Y86" s="81">
        <v>51</v>
      </c>
      <c r="Z86" s="81">
        <v>967</v>
      </c>
      <c r="AA86" s="81">
        <v>127</v>
      </c>
      <c r="AB86" s="81">
        <v>252</v>
      </c>
      <c r="AC86" s="81">
        <v>626</v>
      </c>
      <c r="AD86" s="81">
        <v>490</v>
      </c>
      <c r="AE86" s="81">
        <v>32</v>
      </c>
      <c r="AF86" s="84">
        <v>6</v>
      </c>
      <c r="AG86" s="84">
        <v>80</v>
      </c>
      <c r="AH86" s="84">
        <v>53</v>
      </c>
      <c r="AI86" s="83">
        <v>57</v>
      </c>
      <c r="AJ86" s="83">
        <v>28</v>
      </c>
      <c r="AK86" s="89">
        <v>221</v>
      </c>
      <c r="AL86" s="83"/>
      <c r="AM86" s="90">
        <v>15</v>
      </c>
      <c r="AN86" s="90">
        <v>253</v>
      </c>
      <c r="AO86" s="90">
        <v>175</v>
      </c>
      <c r="AP86" s="81">
        <v>44</v>
      </c>
      <c r="AQ86" s="81">
        <v>150</v>
      </c>
      <c r="AR86" s="81">
        <v>251</v>
      </c>
      <c r="AS86" s="81">
        <v>100</v>
      </c>
      <c r="AT86" s="81">
        <v>776</v>
      </c>
      <c r="AU86" s="81"/>
      <c r="AV86" s="71">
        <f t="shared" si="302"/>
        <v>220.5</v>
      </c>
      <c r="AW86" s="71">
        <f t="shared" si="257"/>
        <v>76827.400357893828</v>
      </c>
      <c r="AY86" s="42">
        <v>245</v>
      </c>
      <c r="AZ86" s="48">
        <f t="shared" si="342"/>
        <v>1.3948825247373697E-3</v>
      </c>
      <c r="BA86" s="48">
        <f t="shared" si="200"/>
        <v>1.2011698349697097E-3</v>
      </c>
      <c r="BB86" s="48">
        <f t="shared" si="201"/>
        <v>3.059841762468855E-4</v>
      </c>
      <c r="BC86" s="48">
        <f t="shared" si="202"/>
        <v>0</v>
      </c>
      <c r="BD86" s="48">
        <f t="shared" si="203"/>
        <v>1.9801980198019802E-3</v>
      </c>
      <c r="BE86" s="48">
        <f t="shared" si="204"/>
        <v>1.4744145706851691E-3</v>
      </c>
      <c r="BF86" s="48">
        <f t="shared" si="205"/>
        <v>0</v>
      </c>
      <c r="BG86" s="48">
        <f t="shared" si="206"/>
        <v>0</v>
      </c>
      <c r="BH86" s="48">
        <f t="shared" si="207"/>
        <v>0</v>
      </c>
      <c r="BI86" s="48">
        <f t="shared" si="208"/>
        <v>1.3771186440677966E-2</v>
      </c>
      <c r="BJ86" s="48">
        <f t="shared" si="209"/>
        <v>0</v>
      </c>
      <c r="BK86" s="48">
        <f t="shared" si="210"/>
        <v>9.928706372298909E-4</v>
      </c>
      <c r="BL86" s="48">
        <f t="shared" si="211"/>
        <v>2.4645307400253114E-3</v>
      </c>
      <c r="BM86" s="48">
        <f t="shared" si="212"/>
        <v>8.4058254325090412E-3</v>
      </c>
      <c r="BN86" s="48">
        <f t="shared" si="213"/>
        <v>1.4166025822641357E-3</v>
      </c>
      <c r="BO86" s="48">
        <f t="shared" si="214"/>
        <v>4.6409628722970213E-3</v>
      </c>
      <c r="BP86" s="48">
        <f t="shared" si="215"/>
        <v>6.0498012625672202E-3</v>
      </c>
      <c r="BQ86" s="48">
        <f t="shared" si="216"/>
        <v>0</v>
      </c>
      <c r="BR86" s="48">
        <f t="shared" si="217"/>
        <v>0</v>
      </c>
      <c r="BS86" s="48"/>
      <c r="BT86" s="48">
        <f t="shared" si="218"/>
        <v>7.7781064573944217E-3</v>
      </c>
      <c r="BU86" s="48">
        <f t="shared" si="219"/>
        <v>0</v>
      </c>
      <c r="BV86" s="48">
        <f t="shared" si="220"/>
        <v>8.1944823818628793E-4</v>
      </c>
      <c r="BW86" s="48">
        <f t="shared" si="221"/>
        <v>2.1317106771945398E-3</v>
      </c>
      <c r="BX86" s="48">
        <f t="shared" si="222"/>
        <v>1.3842167795130192E-2</v>
      </c>
      <c r="BY86" s="48">
        <f t="shared" si="223"/>
        <v>1.6483017300678788E-3</v>
      </c>
      <c r="BZ86" s="48">
        <f t="shared" si="224"/>
        <v>3.8446282000427182E-3</v>
      </c>
      <c r="CA86" s="48">
        <f t="shared" si="225"/>
        <v>6.1939109699506271E-3</v>
      </c>
      <c r="CB86" s="48">
        <f t="shared" si="226"/>
        <v>7.3454458235893746E-3</v>
      </c>
      <c r="CC86" s="48">
        <f t="shared" si="227"/>
        <v>3.1932940824269036E-3</v>
      </c>
      <c r="CD86" s="48">
        <f t="shared" si="228"/>
        <v>4.7988482764136606E-4</v>
      </c>
      <c r="CE86" s="48">
        <f t="shared" si="229"/>
        <v>4.6975924838520257E-3</v>
      </c>
      <c r="CF86" s="48">
        <f t="shared" si="230"/>
        <v>2.3525018743051729E-3</v>
      </c>
      <c r="CG86" s="48">
        <f t="shared" si="231"/>
        <v>1.4153754469606674E-3</v>
      </c>
      <c r="CH86" s="48">
        <f t="shared" si="232"/>
        <v>5.7905077034432837E-4</v>
      </c>
      <c r="CI86" s="48">
        <f t="shared" si="233"/>
        <v>1.1341819746121733E-2</v>
      </c>
      <c r="CJ86" s="48">
        <f t="shared" si="234"/>
        <v>0</v>
      </c>
      <c r="CK86" s="48">
        <f t="shared" si="235"/>
        <v>6.6509998669800027E-4</v>
      </c>
      <c r="CL86" s="48">
        <f t="shared" si="236"/>
        <v>4.5670343159376859E-3</v>
      </c>
      <c r="CM86" s="48">
        <f t="shared" si="237"/>
        <v>2.4168266375726773E-3</v>
      </c>
      <c r="CN86" s="48">
        <f t="shared" si="258"/>
        <v>7.4442526985416034E-4</v>
      </c>
      <c r="CO86" s="48">
        <f t="shared" si="259"/>
        <v>3.6329288672527793E-3</v>
      </c>
      <c r="CP86" s="48">
        <f t="shared" si="260"/>
        <v>4.1830544630357975E-3</v>
      </c>
      <c r="CQ86" s="48">
        <f t="shared" si="261"/>
        <v>1.1657049600746051E-3</v>
      </c>
      <c r="CR86" s="48">
        <f t="shared" si="262"/>
        <v>5.058472289219457E-3</v>
      </c>
      <c r="CS86" s="48">
        <f t="shared" si="263"/>
        <v>0</v>
      </c>
      <c r="CT86" s="68">
        <f t="shared" si="264"/>
        <v>0.98971563025376363</v>
      </c>
      <c r="CU86" s="68">
        <f t="shared" si="265"/>
        <v>0.98616136595277948</v>
      </c>
      <c r="CW86" s="42">
        <v>245</v>
      </c>
      <c r="CX86" s="58">
        <f t="shared" si="316"/>
        <v>22847</v>
      </c>
      <c r="CY86" s="58">
        <f t="shared" si="317"/>
        <v>19112</v>
      </c>
      <c r="CZ86" s="58">
        <f t="shared" si="318"/>
        <v>22848</v>
      </c>
      <c r="DA86" s="58">
        <f t="shared" si="319"/>
        <v>430</v>
      </c>
      <c r="DB86" s="58">
        <f t="shared" si="320"/>
        <v>2502</v>
      </c>
      <c r="DC86" s="58">
        <f t="shared" si="321"/>
        <v>11353</v>
      </c>
      <c r="DD86" s="58">
        <f t="shared" si="322"/>
        <v>10669</v>
      </c>
      <c r="DE86" s="58">
        <f t="shared" si="323"/>
        <v>9414</v>
      </c>
      <c r="DF86" s="58">
        <f t="shared" si="324"/>
        <v>12990</v>
      </c>
      <c r="DG86" s="58">
        <f t="shared" si="325"/>
        <v>1720</v>
      </c>
      <c r="DH86" s="58">
        <f t="shared" si="326"/>
        <v>28669</v>
      </c>
      <c r="DI86" s="58">
        <f t="shared" si="327"/>
        <v>71865</v>
      </c>
      <c r="DJ86" s="58">
        <f t="shared" si="328"/>
        <v>44592</v>
      </c>
      <c r="DK86" s="58">
        <f t="shared" si="329"/>
        <v>9915</v>
      </c>
      <c r="DL86" s="58">
        <f t="shared" si="330"/>
        <v>24584</v>
      </c>
      <c r="DM86" s="58">
        <f t="shared" si="331"/>
        <v>39031</v>
      </c>
      <c r="DN86" s="58">
        <f t="shared" si="332"/>
        <v>34147</v>
      </c>
      <c r="DO86" s="58">
        <f t="shared" si="333"/>
        <v>18725</v>
      </c>
      <c r="DP86" s="58">
        <f t="shared" si="334"/>
        <v>28127</v>
      </c>
      <c r="DQ86" s="58"/>
      <c r="DR86" s="58">
        <f t="shared" si="335"/>
        <v>55394</v>
      </c>
      <c r="DS86" s="58">
        <f t="shared" si="336"/>
        <v>2948</v>
      </c>
      <c r="DT86" s="58">
        <f t="shared" si="337"/>
        <v>3621</v>
      </c>
      <c r="DU86" s="58">
        <f t="shared" si="338"/>
        <v>23686.447414749116</v>
      </c>
      <c r="DV86" s="58">
        <f t="shared" si="339"/>
        <v>67683</v>
      </c>
      <c r="DW86" s="58">
        <f t="shared" si="340"/>
        <v>74606</v>
      </c>
      <c r="DX86" s="58">
        <f t="shared" si="341"/>
        <v>62944</v>
      </c>
      <c r="DY86" s="58">
        <f t="shared" si="303"/>
        <v>101067</v>
      </c>
      <c r="DZ86" s="58">
        <f t="shared" si="304"/>
        <v>63548</v>
      </c>
      <c r="EA86" s="58">
        <f t="shared" si="305"/>
        <v>9897</v>
      </c>
      <c r="EB86" s="58">
        <f t="shared" si="306"/>
        <v>12251</v>
      </c>
      <c r="EC86" s="58">
        <f t="shared" si="307"/>
        <v>16635</v>
      </c>
      <c r="ED86" s="58">
        <f t="shared" si="308"/>
        <v>22228.20627986913</v>
      </c>
      <c r="EE86" s="58">
        <f t="shared" si="309"/>
        <v>40154</v>
      </c>
      <c r="EF86" s="58">
        <f t="shared" si="310"/>
        <v>48152</v>
      </c>
      <c r="EG86" s="58">
        <f t="shared" si="311"/>
        <v>19359.409303526412</v>
      </c>
      <c r="EH86" s="58">
        <f t="shared" si="312"/>
        <v>13539.404372589403</v>
      </c>
      <c r="EI86" s="58">
        <f t="shared" si="313"/>
        <v>22353</v>
      </c>
      <c r="EJ86" s="58">
        <f t="shared" si="314"/>
        <v>53566</v>
      </c>
      <c r="EK86" s="58">
        <f t="shared" si="315"/>
        <v>72163</v>
      </c>
      <c r="EL86" s="58">
        <f t="shared" si="296"/>
        <v>58371</v>
      </c>
      <c r="EM86" s="58">
        <f t="shared" si="297"/>
        <v>40602</v>
      </c>
      <c r="EN86" s="58">
        <f t="shared" si="298"/>
        <v>59279</v>
      </c>
      <c r="EO86" s="58">
        <f t="shared" si="299"/>
        <v>85526</v>
      </c>
      <c r="EP86" s="58">
        <f t="shared" si="300"/>
        <v>151358</v>
      </c>
      <c r="EQ86" s="58">
        <f t="shared" si="301"/>
        <v>210303</v>
      </c>
      <c r="ER86" s="67">
        <f t="shared" si="266"/>
        <v>76706.04043725894</v>
      </c>
      <c r="ES86" s="67">
        <f t="shared" si="267"/>
        <v>42427.743106603273</v>
      </c>
      <c r="EV86" s="42">
        <v>245</v>
      </c>
      <c r="EW86" s="128">
        <f t="shared" ref="EW86:FK102" si="343">CX86/CX$102</f>
        <v>0.99590253258358397</v>
      </c>
      <c r="EX86" s="128">
        <f t="shared" si="343"/>
        <v>0.99811990808439521</v>
      </c>
      <c r="EY86" s="128">
        <f t="shared" si="343"/>
        <v>0.99873235126983428</v>
      </c>
      <c r="EZ86" s="128">
        <f t="shared" si="343"/>
        <v>1</v>
      </c>
      <c r="FA86" s="128">
        <f t="shared" si="343"/>
        <v>0.99089108910891088</v>
      </c>
      <c r="FB86" s="128">
        <f t="shared" si="343"/>
        <v>0.98464874241110145</v>
      </c>
      <c r="FC86" s="128">
        <f t="shared" si="343"/>
        <v>1</v>
      </c>
      <c r="FD86" s="128">
        <f t="shared" si="343"/>
        <v>1</v>
      </c>
      <c r="FE86" s="128">
        <f t="shared" si="343"/>
        <v>1</v>
      </c>
      <c r="FF86" s="128">
        <f t="shared" si="343"/>
        <v>0.91101694915254239</v>
      </c>
      <c r="FG86" s="128">
        <f t="shared" si="343"/>
        <v>1</v>
      </c>
      <c r="FH86" s="128">
        <f t="shared" si="343"/>
        <v>0.99100900478508491</v>
      </c>
      <c r="FI86" s="128">
        <f t="shared" si="343"/>
        <v>0.99007526810097912</v>
      </c>
      <c r="FJ86" s="128">
        <f t="shared" si="343"/>
        <v>0.96911347864333885</v>
      </c>
      <c r="FK86" s="128">
        <f t="shared" si="343"/>
        <v>0.99502165378232887</v>
      </c>
      <c r="FL86" s="128">
        <f t="shared" ref="FL86:FL102" si="344">DM86/DM$102</f>
        <v>0.9952825377396981</v>
      </c>
      <c r="FM86" s="128">
        <f t="shared" ref="FM86:FM102" si="345">DN86/DN$102</f>
        <v>0.99798339957914428</v>
      </c>
      <c r="FN86" s="128">
        <f t="shared" ref="FN86:FN102" si="346">DO86/DO$102</f>
        <v>1</v>
      </c>
      <c r="FO86" s="128">
        <f t="shared" ref="FO86:FO102" si="347">DP86/DP$102</f>
        <v>1</v>
      </c>
      <c r="FP86" s="128"/>
      <c r="FQ86" s="128">
        <f t="shared" si="268"/>
        <v>0.96389357740694981</v>
      </c>
      <c r="FR86" s="128">
        <f t="shared" si="269"/>
        <v>1</v>
      </c>
      <c r="FS86" s="128">
        <f t="shared" si="270"/>
        <v>0.9890740234908495</v>
      </c>
      <c r="FT86" s="128">
        <f t="shared" si="271"/>
        <v>0.99005201683975885</v>
      </c>
      <c r="FU86" s="128">
        <f t="shared" si="272"/>
        <v>0.9688515438239883</v>
      </c>
      <c r="FV86" s="128">
        <f t="shared" si="273"/>
        <v>0.96829290451530847</v>
      </c>
      <c r="FW86" s="128">
        <f t="shared" si="274"/>
        <v>0.96030268818844777</v>
      </c>
      <c r="FX86" s="128">
        <f t="shared" si="275"/>
        <v>1</v>
      </c>
      <c r="FY86" s="128">
        <f t="shared" si="276"/>
        <v>0.95262936979072976</v>
      </c>
      <c r="FZ86" s="128">
        <f t="shared" si="277"/>
        <v>0.98762598543059577</v>
      </c>
      <c r="GA86" s="128">
        <f t="shared" si="278"/>
        <v>0.97984483723906257</v>
      </c>
      <c r="GB86" s="128">
        <f t="shared" si="279"/>
        <v>0.97680563711098067</v>
      </c>
      <c r="GC86" s="128">
        <f t="shared" si="280"/>
        <v>0.98663956482705928</v>
      </c>
      <c r="GD86" s="128">
        <f t="shared" si="281"/>
        <v>0.99706992451330945</v>
      </c>
      <c r="GE86" s="128">
        <f t="shared" si="282"/>
        <v>0.99580188191500363</v>
      </c>
      <c r="GF86" s="128">
        <f t="shared" si="283"/>
        <v>0.99353362313117044</v>
      </c>
      <c r="GG86" s="128">
        <f t="shared" si="284"/>
        <v>1</v>
      </c>
      <c r="GH86" s="128">
        <f t="shared" si="285"/>
        <v>0.99113200017736003</v>
      </c>
      <c r="GI86" s="128">
        <f t="shared" si="286"/>
        <v>0.96694766864631654</v>
      </c>
      <c r="GJ86" s="128">
        <f t="shared" si="287"/>
        <v>0.99660263226946921</v>
      </c>
      <c r="GK86" s="128">
        <f t="shared" si="288"/>
        <v>0.98756471424220893</v>
      </c>
      <c r="GL86" s="128">
        <f t="shared" si="289"/>
        <v>0.98336118578798226</v>
      </c>
      <c r="GM86" s="128">
        <f t="shared" si="290"/>
        <v>0.9879174721685221</v>
      </c>
      <c r="GN86" s="128">
        <f t="shared" si="291"/>
        <v>0.99698082415340672</v>
      </c>
      <c r="GO86" s="128">
        <f t="shared" si="292"/>
        <v>0.98664980509236921</v>
      </c>
      <c r="GP86" s="128">
        <f t="shared" si="293"/>
        <v>1</v>
      </c>
      <c r="GQ86" s="129">
        <f t="shared" si="294"/>
        <v>0.98971563025376352</v>
      </c>
      <c r="GR86" s="129">
        <f t="shared" si="295"/>
        <v>0.98616136595278014</v>
      </c>
    </row>
    <row r="87" spans="1:200" x14ac:dyDescent="0.25">
      <c r="A87" s="42">
        <v>246</v>
      </c>
      <c r="B87" s="81">
        <v>30</v>
      </c>
      <c r="C87" s="81">
        <v>10</v>
      </c>
      <c r="D87" s="81">
        <v>5</v>
      </c>
      <c r="E87" s="81"/>
      <c r="F87" s="81">
        <v>12</v>
      </c>
      <c r="G87" s="81">
        <v>8</v>
      </c>
      <c r="H87" s="81"/>
      <c r="I87" s="81"/>
      <c r="J87" s="81"/>
      <c r="K87" s="81">
        <v>34</v>
      </c>
      <c r="L87" s="81"/>
      <c r="M87" s="81">
        <v>42</v>
      </c>
      <c r="N87" s="81">
        <v>207</v>
      </c>
      <c r="O87" s="81">
        <v>183</v>
      </c>
      <c r="P87" s="81">
        <v>25</v>
      </c>
      <c r="Q87" s="81">
        <v>77</v>
      </c>
      <c r="R87" s="81">
        <v>69</v>
      </c>
      <c r="S87" s="81"/>
      <c r="T87" s="81"/>
      <c r="V87" s="81">
        <v>111</v>
      </c>
      <c r="W87" s="81"/>
      <c r="X87" s="81">
        <v>2</v>
      </c>
      <c r="Y87" s="81">
        <v>29</v>
      </c>
      <c r="Z87" s="81">
        <v>236</v>
      </c>
      <c r="AA87" s="81">
        <v>119</v>
      </c>
      <c r="AB87" s="81">
        <v>400</v>
      </c>
      <c r="AC87" s="81"/>
      <c r="AD87" s="81">
        <v>349</v>
      </c>
      <c r="AE87" s="81">
        <v>17</v>
      </c>
      <c r="AF87" s="84">
        <v>41</v>
      </c>
      <c r="AG87" s="84">
        <v>18</v>
      </c>
      <c r="AH87" s="84">
        <v>96</v>
      </c>
      <c r="AI87" s="83">
        <v>104</v>
      </c>
      <c r="AJ87" s="83">
        <v>62</v>
      </c>
      <c r="AK87" s="91">
        <v>126</v>
      </c>
      <c r="AL87" s="83"/>
      <c r="AM87" s="90">
        <v>105</v>
      </c>
      <c r="AN87" s="90">
        <v>371</v>
      </c>
      <c r="AO87" s="90">
        <v>120</v>
      </c>
      <c r="AP87" s="81">
        <v>29</v>
      </c>
      <c r="AQ87" s="81">
        <v>171</v>
      </c>
      <c r="AR87" s="81">
        <v>412</v>
      </c>
      <c r="AS87" s="81">
        <v>44</v>
      </c>
      <c r="AT87" s="81">
        <v>776</v>
      </c>
      <c r="AU87" s="81"/>
      <c r="AV87" s="71">
        <f t="shared" si="302"/>
        <v>253.5</v>
      </c>
      <c r="AW87" s="71">
        <f t="shared" si="257"/>
        <v>77080.900357893828</v>
      </c>
      <c r="AY87" s="42">
        <v>246</v>
      </c>
      <c r="AZ87" s="48">
        <f t="shared" si="342"/>
        <v>1.3077023669412842E-3</v>
      </c>
      <c r="BA87" s="48">
        <f t="shared" si="200"/>
        <v>5.2224775433465636E-4</v>
      </c>
      <c r="BB87" s="48">
        <f t="shared" si="201"/>
        <v>2.1856012589063252E-4</v>
      </c>
      <c r="BC87" s="48">
        <f t="shared" si="202"/>
        <v>0</v>
      </c>
      <c r="BD87" s="48">
        <f t="shared" si="203"/>
        <v>4.7524752475247524E-3</v>
      </c>
      <c r="BE87" s="48">
        <f t="shared" si="204"/>
        <v>6.9384215091066782E-4</v>
      </c>
      <c r="BF87" s="48">
        <f t="shared" si="205"/>
        <v>0</v>
      </c>
      <c r="BG87" s="48">
        <f t="shared" si="206"/>
        <v>0</v>
      </c>
      <c r="BH87" s="48">
        <f t="shared" si="207"/>
        <v>0</v>
      </c>
      <c r="BI87" s="48">
        <f t="shared" si="208"/>
        <v>1.8008474576271187E-2</v>
      </c>
      <c r="BJ87" s="48">
        <f t="shared" si="209"/>
        <v>0</v>
      </c>
      <c r="BK87" s="48">
        <f t="shared" si="210"/>
        <v>5.7917453838410304E-4</v>
      </c>
      <c r="BL87" s="48">
        <f t="shared" si="211"/>
        <v>4.596016785452608E-3</v>
      </c>
      <c r="BM87" s="48">
        <f t="shared" si="212"/>
        <v>1.7886814583129705E-2</v>
      </c>
      <c r="BN87" s="48">
        <f t="shared" si="213"/>
        <v>1.0118589873315254E-3</v>
      </c>
      <c r="BO87" s="48">
        <f t="shared" si="214"/>
        <v>1.9634842921256628E-3</v>
      </c>
      <c r="BP87" s="48">
        <f t="shared" si="215"/>
        <v>2.0166004208557399E-3</v>
      </c>
      <c r="BQ87" s="48">
        <f t="shared" si="216"/>
        <v>0</v>
      </c>
      <c r="BR87" s="48">
        <f t="shared" si="217"/>
        <v>0</v>
      </c>
      <c r="BS87" s="48"/>
      <c r="BT87" s="48">
        <f t="shared" si="218"/>
        <v>1.9314761001583461E-3</v>
      </c>
      <c r="BU87" s="48">
        <f t="shared" si="219"/>
        <v>0</v>
      </c>
      <c r="BV87" s="48">
        <f t="shared" si="220"/>
        <v>5.4629882545752522E-4</v>
      </c>
      <c r="BW87" s="48">
        <f t="shared" si="221"/>
        <v>1.2121492086008168E-3</v>
      </c>
      <c r="BX87" s="48">
        <f t="shared" si="222"/>
        <v>3.3782332985012667E-3</v>
      </c>
      <c r="BY87" s="48">
        <f t="shared" si="223"/>
        <v>1.5444716998273826E-3</v>
      </c>
      <c r="BZ87" s="48">
        <f t="shared" si="224"/>
        <v>6.1025844445122511E-3</v>
      </c>
      <c r="CA87" s="48">
        <f t="shared" si="225"/>
        <v>0</v>
      </c>
      <c r="CB87" s="48">
        <f t="shared" si="226"/>
        <v>5.2317563110871263E-3</v>
      </c>
      <c r="CC87" s="48">
        <f t="shared" si="227"/>
        <v>1.6964374812892926E-3</v>
      </c>
      <c r="CD87" s="48">
        <f t="shared" si="228"/>
        <v>3.2792129888826681E-3</v>
      </c>
      <c r="CE87" s="48">
        <f t="shared" si="229"/>
        <v>1.0569583088667059E-3</v>
      </c>
      <c r="CF87" s="48">
        <f t="shared" si="230"/>
        <v>4.2611354704395589E-3</v>
      </c>
      <c r="CG87" s="48">
        <f t="shared" si="231"/>
        <v>2.5824394119984108E-3</v>
      </c>
      <c r="CH87" s="48">
        <f t="shared" si="232"/>
        <v>1.2821838486195842E-3</v>
      </c>
      <c r="CI87" s="48">
        <f t="shared" si="233"/>
        <v>6.4663768688295858E-3</v>
      </c>
      <c r="CJ87" s="48">
        <f t="shared" si="234"/>
        <v>0</v>
      </c>
      <c r="CK87" s="48">
        <f t="shared" si="235"/>
        <v>4.6556999068860022E-3</v>
      </c>
      <c r="CL87" s="48">
        <f t="shared" si="236"/>
        <v>6.6971135621062515E-3</v>
      </c>
      <c r="CM87" s="48">
        <f t="shared" si="237"/>
        <v>1.6572525514784073E-3</v>
      </c>
      <c r="CN87" s="48">
        <f t="shared" si="258"/>
        <v>4.906439278584238E-4</v>
      </c>
      <c r="CO87" s="48">
        <f t="shared" si="259"/>
        <v>4.1415389086681687E-3</v>
      </c>
      <c r="CP87" s="48">
        <f t="shared" si="260"/>
        <v>6.8662089194053734E-3</v>
      </c>
      <c r="CQ87" s="48">
        <f t="shared" si="261"/>
        <v>5.1291018243282622E-4</v>
      </c>
      <c r="CR87" s="48">
        <f t="shared" si="262"/>
        <v>5.058472289219457E-3</v>
      </c>
      <c r="CS87" s="48">
        <f t="shared" si="263"/>
        <v>0</v>
      </c>
      <c r="CT87" s="68">
        <f t="shared" si="264"/>
        <v>0.99272361427856914</v>
      </c>
      <c r="CU87" s="68">
        <f t="shared" si="265"/>
        <v>0.98914088536978217</v>
      </c>
      <c r="CW87" s="42">
        <v>246</v>
      </c>
      <c r="CX87" s="58">
        <f t="shared" si="316"/>
        <v>22877</v>
      </c>
      <c r="CY87" s="58">
        <f t="shared" si="317"/>
        <v>19122</v>
      </c>
      <c r="CZ87" s="58">
        <f t="shared" si="318"/>
        <v>22853</v>
      </c>
      <c r="DA87" s="58">
        <f t="shared" si="319"/>
        <v>430</v>
      </c>
      <c r="DB87" s="58">
        <f t="shared" si="320"/>
        <v>2514</v>
      </c>
      <c r="DC87" s="58">
        <f t="shared" si="321"/>
        <v>11361</v>
      </c>
      <c r="DD87" s="58">
        <f t="shared" si="322"/>
        <v>10669</v>
      </c>
      <c r="DE87" s="58">
        <f t="shared" si="323"/>
        <v>9414</v>
      </c>
      <c r="DF87" s="58">
        <f t="shared" si="324"/>
        <v>12990</v>
      </c>
      <c r="DG87" s="58">
        <f t="shared" si="325"/>
        <v>1754</v>
      </c>
      <c r="DH87" s="58">
        <f t="shared" si="326"/>
        <v>28669</v>
      </c>
      <c r="DI87" s="58">
        <f t="shared" si="327"/>
        <v>71907</v>
      </c>
      <c r="DJ87" s="58">
        <f t="shared" si="328"/>
        <v>44799</v>
      </c>
      <c r="DK87" s="58">
        <f t="shared" si="329"/>
        <v>10098</v>
      </c>
      <c r="DL87" s="58">
        <f t="shared" si="330"/>
        <v>24609</v>
      </c>
      <c r="DM87" s="58">
        <f t="shared" si="331"/>
        <v>39108</v>
      </c>
      <c r="DN87" s="58">
        <f t="shared" si="332"/>
        <v>34216</v>
      </c>
      <c r="DO87" s="58">
        <f t="shared" si="333"/>
        <v>18725</v>
      </c>
      <c r="DP87" s="58">
        <f t="shared" si="334"/>
        <v>28127</v>
      </c>
      <c r="DQ87" s="58"/>
      <c r="DR87" s="58">
        <f t="shared" si="335"/>
        <v>55505</v>
      </c>
      <c r="DS87" s="58">
        <f t="shared" si="336"/>
        <v>2948</v>
      </c>
      <c r="DT87" s="58">
        <f t="shared" si="337"/>
        <v>3623</v>
      </c>
      <c r="DU87" s="58">
        <f t="shared" si="338"/>
        <v>23715.447414749116</v>
      </c>
      <c r="DV87" s="58">
        <f t="shared" si="339"/>
        <v>67919</v>
      </c>
      <c r="DW87" s="58">
        <f t="shared" si="340"/>
        <v>74725</v>
      </c>
      <c r="DX87" s="58">
        <f t="shared" si="341"/>
        <v>63344</v>
      </c>
      <c r="DY87" s="58">
        <f t="shared" si="303"/>
        <v>101067</v>
      </c>
      <c r="DZ87" s="58">
        <f t="shared" si="304"/>
        <v>63897</v>
      </c>
      <c r="EA87" s="58">
        <f t="shared" si="305"/>
        <v>9914</v>
      </c>
      <c r="EB87" s="58">
        <f t="shared" si="306"/>
        <v>12292</v>
      </c>
      <c r="EC87" s="58">
        <f t="shared" si="307"/>
        <v>16653</v>
      </c>
      <c r="ED87" s="58">
        <f t="shared" si="308"/>
        <v>22324.20627986913</v>
      </c>
      <c r="EE87" s="58">
        <f t="shared" si="309"/>
        <v>40258</v>
      </c>
      <c r="EF87" s="58">
        <f t="shared" si="310"/>
        <v>48214</v>
      </c>
      <c r="EG87" s="58">
        <f t="shared" si="311"/>
        <v>19485.409303526412</v>
      </c>
      <c r="EH87" s="58">
        <f t="shared" si="312"/>
        <v>13539.404372589403</v>
      </c>
      <c r="EI87" s="58">
        <f t="shared" si="313"/>
        <v>22458</v>
      </c>
      <c r="EJ87" s="58">
        <f t="shared" si="314"/>
        <v>53937</v>
      </c>
      <c r="EK87" s="58">
        <f t="shared" si="315"/>
        <v>72283</v>
      </c>
      <c r="EL87" s="58">
        <f t="shared" si="296"/>
        <v>58400</v>
      </c>
      <c r="EM87" s="58">
        <f t="shared" si="297"/>
        <v>40773</v>
      </c>
      <c r="EN87" s="58">
        <f t="shared" si="298"/>
        <v>59691</v>
      </c>
      <c r="EO87" s="58">
        <f t="shared" si="299"/>
        <v>85570</v>
      </c>
      <c r="EP87" s="58">
        <f t="shared" si="300"/>
        <v>152134</v>
      </c>
      <c r="EQ87" s="58">
        <f t="shared" si="301"/>
        <v>210303</v>
      </c>
      <c r="ER87" s="67">
        <f t="shared" si="266"/>
        <v>76908.840437258943</v>
      </c>
      <c r="ES87" s="67">
        <f t="shared" si="267"/>
        <v>42534.938228554493</v>
      </c>
      <c r="EV87" s="42">
        <v>246</v>
      </c>
      <c r="EW87" s="128">
        <f t="shared" si="343"/>
        <v>0.9972102349505253</v>
      </c>
      <c r="EX87" s="128">
        <f t="shared" si="343"/>
        <v>0.99864215583872984</v>
      </c>
      <c r="EY87" s="128">
        <f t="shared" si="343"/>
        <v>0.99895091139572501</v>
      </c>
      <c r="EZ87" s="128">
        <f t="shared" si="343"/>
        <v>1</v>
      </c>
      <c r="FA87" s="128">
        <f t="shared" si="343"/>
        <v>0.99564356435643564</v>
      </c>
      <c r="FB87" s="128">
        <f t="shared" si="343"/>
        <v>0.98534258456201218</v>
      </c>
      <c r="FC87" s="128">
        <f t="shared" si="343"/>
        <v>1</v>
      </c>
      <c r="FD87" s="128">
        <f t="shared" si="343"/>
        <v>1</v>
      </c>
      <c r="FE87" s="128">
        <f t="shared" si="343"/>
        <v>1</v>
      </c>
      <c r="FF87" s="128">
        <f t="shared" si="343"/>
        <v>0.92902542372881358</v>
      </c>
      <c r="FG87" s="128">
        <f t="shared" si="343"/>
        <v>1</v>
      </c>
      <c r="FH87" s="128">
        <f t="shared" si="343"/>
        <v>0.99158817932346899</v>
      </c>
      <c r="FI87" s="128">
        <f t="shared" si="343"/>
        <v>0.99467128488643175</v>
      </c>
      <c r="FJ87" s="128">
        <f t="shared" si="343"/>
        <v>0.98700029322646854</v>
      </c>
      <c r="FK87" s="128">
        <f t="shared" si="343"/>
        <v>0.99603351276966046</v>
      </c>
      <c r="FL87" s="128">
        <f t="shared" si="344"/>
        <v>0.99724602203182378</v>
      </c>
      <c r="FM87" s="128">
        <f t="shared" si="345"/>
        <v>1</v>
      </c>
      <c r="FN87" s="128">
        <f t="shared" si="346"/>
        <v>1</v>
      </c>
      <c r="FO87" s="128">
        <f t="shared" si="347"/>
        <v>1</v>
      </c>
      <c r="FP87" s="128"/>
      <c r="FQ87" s="128">
        <f t="shared" si="268"/>
        <v>0.96582505350710823</v>
      </c>
      <c r="FR87" s="128">
        <f t="shared" si="269"/>
        <v>1</v>
      </c>
      <c r="FS87" s="128">
        <f t="shared" si="270"/>
        <v>0.98962032231630703</v>
      </c>
      <c r="FT87" s="128">
        <f t="shared" si="271"/>
        <v>0.99126416604835965</v>
      </c>
      <c r="FU87" s="128">
        <f t="shared" si="272"/>
        <v>0.97222977712248959</v>
      </c>
      <c r="FV87" s="128">
        <f t="shared" si="273"/>
        <v>0.96983737621513577</v>
      </c>
      <c r="FW87" s="128">
        <f t="shared" si="274"/>
        <v>0.96640527263296006</v>
      </c>
      <c r="FX87" s="128">
        <f t="shared" si="275"/>
        <v>1</v>
      </c>
      <c r="FY87" s="128">
        <f t="shared" si="276"/>
        <v>0.95786112610181684</v>
      </c>
      <c r="FZ87" s="128">
        <f t="shared" si="277"/>
        <v>0.98932242291188499</v>
      </c>
      <c r="GA87" s="128">
        <f t="shared" si="278"/>
        <v>0.98312405022794525</v>
      </c>
      <c r="GB87" s="128">
        <f t="shared" si="279"/>
        <v>0.97786259541984732</v>
      </c>
      <c r="GC87" s="128">
        <f t="shared" si="280"/>
        <v>0.99090070029749888</v>
      </c>
      <c r="GD87" s="128">
        <f t="shared" si="281"/>
        <v>0.99965236392530787</v>
      </c>
      <c r="GE87" s="128">
        <f t="shared" si="282"/>
        <v>0.99708406576362318</v>
      </c>
      <c r="GF87" s="128">
        <f t="shared" si="283"/>
        <v>1</v>
      </c>
      <c r="GG87" s="128">
        <f t="shared" si="284"/>
        <v>1</v>
      </c>
      <c r="GH87" s="128">
        <f t="shared" si="285"/>
        <v>0.995787700084246</v>
      </c>
      <c r="GI87" s="128">
        <f t="shared" si="286"/>
        <v>0.97364478220842288</v>
      </c>
      <c r="GJ87" s="128">
        <f t="shared" si="287"/>
        <v>0.99825988482094763</v>
      </c>
      <c r="GK87" s="128">
        <f t="shared" si="288"/>
        <v>0.98805535817006729</v>
      </c>
      <c r="GL87" s="128">
        <f t="shared" si="289"/>
        <v>0.98750272469665046</v>
      </c>
      <c r="GM87" s="128">
        <f t="shared" si="290"/>
        <v>0.99478368108792747</v>
      </c>
      <c r="GN87" s="128">
        <f t="shared" si="291"/>
        <v>0.99749373433583954</v>
      </c>
      <c r="GO87" s="128">
        <f t="shared" si="292"/>
        <v>0.99170827738158873</v>
      </c>
      <c r="GP87" s="128">
        <f t="shared" si="293"/>
        <v>1</v>
      </c>
      <c r="GQ87" s="129">
        <f t="shared" si="294"/>
        <v>0.99272361427856892</v>
      </c>
      <c r="GR87" s="129">
        <f t="shared" si="295"/>
        <v>0.98914088536978295</v>
      </c>
    </row>
    <row r="88" spans="1:200" x14ac:dyDescent="0.25">
      <c r="A88" s="42">
        <v>247</v>
      </c>
      <c r="B88" s="81">
        <v>14</v>
      </c>
      <c r="C88" s="81">
        <v>6</v>
      </c>
      <c r="D88" s="81">
        <v>18</v>
      </c>
      <c r="E88" s="81"/>
      <c r="F88" s="81">
        <v>4</v>
      </c>
      <c r="G88" s="81">
        <v>25</v>
      </c>
      <c r="H88" s="81"/>
      <c r="I88" s="81"/>
      <c r="J88" s="81"/>
      <c r="K88" s="81">
        <v>27</v>
      </c>
      <c r="L88" s="81"/>
      <c r="M88" s="81">
        <v>70</v>
      </c>
      <c r="N88" s="81">
        <v>176</v>
      </c>
      <c r="O88" s="81">
        <v>82</v>
      </c>
      <c r="P88" s="81">
        <v>98</v>
      </c>
      <c r="Q88" s="81">
        <v>108</v>
      </c>
      <c r="R88" s="81"/>
      <c r="S88" s="81"/>
      <c r="T88" s="81"/>
      <c r="V88" s="81">
        <v>762</v>
      </c>
      <c r="W88" s="81"/>
      <c r="X88" s="81">
        <v>6</v>
      </c>
      <c r="Y88" s="81">
        <v>22</v>
      </c>
      <c r="Z88" s="81">
        <v>81</v>
      </c>
      <c r="AA88" s="81">
        <v>486</v>
      </c>
      <c r="AB88" s="81">
        <v>598</v>
      </c>
      <c r="AC88" s="81"/>
      <c r="AD88" s="81">
        <v>304</v>
      </c>
      <c r="AE88" s="81">
        <v>6</v>
      </c>
      <c r="AF88" s="84">
        <v>63</v>
      </c>
      <c r="AG88" s="84">
        <v>37</v>
      </c>
      <c r="AH88" s="84">
        <v>46</v>
      </c>
      <c r="AI88" s="83">
        <v>4</v>
      </c>
      <c r="AJ88" s="89">
        <v>103</v>
      </c>
      <c r="AK88" s="83"/>
      <c r="AL88" s="83"/>
      <c r="AM88" s="90">
        <v>20</v>
      </c>
      <c r="AN88" s="90">
        <v>122</v>
      </c>
      <c r="AO88" s="90">
        <v>126</v>
      </c>
      <c r="AP88" s="81">
        <v>417</v>
      </c>
      <c r="AQ88" s="81">
        <v>174</v>
      </c>
      <c r="AR88" s="81">
        <v>313</v>
      </c>
      <c r="AS88" s="81">
        <v>209</v>
      </c>
      <c r="AT88" s="81">
        <v>475</v>
      </c>
      <c r="AU88" s="81"/>
      <c r="AV88" s="71">
        <f t="shared" si="302"/>
        <v>232</v>
      </c>
      <c r="AW88" s="71">
        <f t="shared" si="257"/>
        <v>77312.900357893828</v>
      </c>
      <c r="AY88" s="42">
        <v>247</v>
      </c>
      <c r="AZ88" s="48">
        <f t="shared" si="342"/>
        <v>6.1026110457259924E-4</v>
      </c>
      <c r="BA88" s="48">
        <f t="shared" si="200"/>
        <v>3.1334865260079379E-4</v>
      </c>
      <c r="BB88" s="48">
        <f t="shared" si="201"/>
        <v>7.8681645320627706E-4</v>
      </c>
      <c r="BC88" s="48">
        <f t="shared" si="202"/>
        <v>0</v>
      </c>
      <c r="BD88" s="48">
        <f t="shared" si="203"/>
        <v>1.5841584158415843E-3</v>
      </c>
      <c r="BE88" s="48">
        <f t="shared" si="204"/>
        <v>2.1682567215958368E-3</v>
      </c>
      <c r="BF88" s="48">
        <f t="shared" si="205"/>
        <v>0</v>
      </c>
      <c r="BG88" s="48">
        <f t="shared" si="206"/>
        <v>0</v>
      </c>
      <c r="BH88" s="48">
        <f t="shared" si="207"/>
        <v>0</v>
      </c>
      <c r="BI88" s="48">
        <f t="shared" si="208"/>
        <v>1.4300847457627119E-2</v>
      </c>
      <c r="BJ88" s="48">
        <f t="shared" si="209"/>
        <v>0</v>
      </c>
      <c r="BK88" s="48">
        <f t="shared" si="210"/>
        <v>9.6529089730683837E-4</v>
      </c>
      <c r="BL88" s="48">
        <f t="shared" si="211"/>
        <v>3.9077244166167103E-3</v>
      </c>
      <c r="BM88" s="48">
        <f t="shared" si="212"/>
        <v>8.0148568077411785E-3</v>
      </c>
      <c r="BN88" s="48">
        <f t="shared" si="213"/>
        <v>3.9664872303395802E-3</v>
      </c>
      <c r="BO88" s="48">
        <f t="shared" si="214"/>
        <v>2.7539779681762548E-3</v>
      </c>
      <c r="BP88" s="48">
        <f t="shared" si="215"/>
        <v>0</v>
      </c>
      <c r="BQ88" s="48">
        <f t="shared" si="216"/>
        <v>0</v>
      </c>
      <c r="BR88" s="48">
        <f t="shared" si="217"/>
        <v>0</v>
      </c>
      <c r="BS88" s="48"/>
      <c r="BT88" s="48">
        <f t="shared" si="218"/>
        <v>1.3259322417303241E-2</v>
      </c>
      <c r="BU88" s="48">
        <f t="shared" si="219"/>
        <v>0</v>
      </c>
      <c r="BV88" s="48">
        <f t="shared" si="220"/>
        <v>1.6388964763725759E-3</v>
      </c>
      <c r="BW88" s="48">
        <f t="shared" si="221"/>
        <v>9.1956146859372312E-4</v>
      </c>
      <c r="BX88" s="48">
        <f t="shared" si="222"/>
        <v>1.1594783778754347E-3</v>
      </c>
      <c r="BY88" s="48">
        <f t="shared" si="223"/>
        <v>6.3076743371101507E-3</v>
      </c>
      <c r="BZ88" s="48">
        <f t="shared" si="224"/>
        <v>9.1233637445458145E-3</v>
      </c>
      <c r="CA88" s="48">
        <f t="shared" si="225"/>
        <v>0</v>
      </c>
      <c r="CB88" s="48">
        <f t="shared" si="226"/>
        <v>4.5571745517778975E-3</v>
      </c>
      <c r="CC88" s="48">
        <f t="shared" si="227"/>
        <v>5.9874264045504445E-4</v>
      </c>
      <c r="CD88" s="48">
        <f t="shared" si="228"/>
        <v>5.0387906902343441E-3</v>
      </c>
      <c r="CE88" s="48">
        <f t="shared" si="229"/>
        <v>2.1726365237815619E-3</v>
      </c>
      <c r="CF88" s="48">
        <f t="shared" si="230"/>
        <v>2.0417940795856219E-3</v>
      </c>
      <c r="CG88" s="48">
        <f t="shared" si="231"/>
        <v>9.9324592769169646E-5</v>
      </c>
      <c r="CH88" s="48">
        <f t="shared" si="232"/>
        <v>2.1300796194809223E-3</v>
      </c>
      <c r="CI88" s="48">
        <f t="shared" si="233"/>
        <v>0</v>
      </c>
      <c r="CJ88" s="48">
        <f t="shared" si="234"/>
        <v>0</v>
      </c>
      <c r="CK88" s="48">
        <f t="shared" si="235"/>
        <v>8.8679998226400035E-4</v>
      </c>
      <c r="CL88" s="48">
        <f t="shared" si="236"/>
        <v>2.2022853223098724E-3</v>
      </c>
      <c r="CM88" s="48">
        <f t="shared" si="237"/>
        <v>1.7401151790523278E-3</v>
      </c>
      <c r="CN88" s="48">
        <f t="shared" si="258"/>
        <v>7.0551213074814736E-3</v>
      </c>
      <c r="CO88" s="48">
        <f t="shared" si="259"/>
        <v>4.2141974860132238E-3</v>
      </c>
      <c r="CP88" s="48">
        <f t="shared" si="260"/>
        <v>5.2163189120725288E-3</v>
      </c>
      <c r="CQ88" s="48">
        <f t="shared" si="261"/>
        <v>2.4363233665559247E-3</v>
      </c>
      <c r="CR88" s="48">
        <f t="shared" si="262"/>
        <v>3.0963586821897448E-3</v>
      </c>
      <c r="CS88" s="48">
        <f t="shared" si="263"/>
        <v>0</v>
      </c>
      <c r="CT88" s="68">
        <f t="shared" si="264"/>
        <v>0.99540836630236307</v>
      </c>
      <c r="CU88" s="68">
        <f t="shared" si="265"/>
        <v>0.99191054292278391</v>
      </c>
      <c r="CW88" s="42">
        <v>247</v>
      </c>
      <c r="CX88" s="58">
        <f t="shared" si="316"/>
        <v>22891</v>
      </c>
      <c r="CY88" s="58">
        <f t="shared" si="317"/>
        <v>19128</v>
      </c>
      <c r="CZ88" s="58">
        <f t="shared" si="318"/>
        <v>22871</v>
      </c>
      <c r="DA88" s="58">
        <f t="shared" si="319"/>
        <v>430</v>
      </c>
      <c r="DB88" s="58">
        <f t="shared" si="320"/>
        <v>2518</v>
      </c>
      <c r="DC88" s="58">
        <f t="shared" si="321"/>
        <v>11386</v>
      </c>
      <c r="DD88" s="58">
        <f t="shared" si="322"/>
        <v>10669</v>
      </c>
      <c r="DE88" s="58">
        <f t="shared" si="323"/>
        <v>9414</v>
      </c>
      <c r="DF88" s="58">
        <f t="shared" si="324"/>
        <v>12990</v>
      </c>
      <c r="DG88" s="58">
        <f t="shared" si="325"/>
        <v>1781</v>
      </c>
      <c r="DH88" s="58">
        <f t="shared" si="326"/>
        <v>28669</v>
      </c>
      <c r="DI88" s="58">
        <f t="shared" si="327"/>
        <v>71977</v>
      </c>
      <c r="DJ88" s="58">
        <f t="shared" si="328"/>
        <v>44975</v>
      </c>
      <c r="DK88" s="58">
        <f t="shared" si="329"/>
        <v>10180</v>
      </c>
      <c r="DL88" s="58">
        <f t="shared" si="330"/>
        <v>24707</v>
      </c>
      <c r="DM88" s="58">
        <f t="shared" si="331"/>
        <v>39216</v>
      </c>
      <c r="DN88" s="58">
        <f t="shared" si="332"/>
        <v>34216</v>
      </c>
      <c r="DO88" s="58">
        <f t="shared" si="333"/>
        <v>18725</v>
      </c>
      <c r="DP88" s="58">
        <f t="shared" si="334"/>
        <v>28127</v>
      </c>
      <c r="DQ88" s="58"/>
      <c r="DR88" s="58">
        <f t="shared" si="335"/>
        <v>56267</v>
      </c>
      <c r="DS88" s="58">
        <f t="shared" si="336"/>
        <v>2948</v>
      </c>
      <c r="DT88" s="58">
        <f t="shared" si="337"/>
        <v>3629</v>
      </c>
      <c r="DU88" s="58">
        <f t="shared" si="338"/>
        <v>23737.447414749116</v>
      </c>
      <c r="DV88" s="58">
        <f t="shared" si="339"/>
        <v>68000</v>
      </c>
      <c r="DW88" s="58">
        <f t="shared" si="340"/>
        <v>75211</v>
      </c>
      <c r="DX88" s="58">
        <f t="shared" si="341"/>
        <v>63942</v>
      </c>
      <c r="DY88" s="58">
        <f t="shared" si="303"/>
        <v>101067</v>
      </c>
      <c r="DZ88" s="58">
        <f t="shared" si="304"/>
        <v>64201</v>
      </c>
      <c r="EA88" s="58">
        <f t="shared" si="305"/>
        <v>9920</v>
      </c>
      <c r="EB88" s="58">
        <f t="shared" si="306"/>
        <v>12355</v>
      </c>
      <c r="EC88" s="58">
        <f t="shared" si="307"/>
        <v>16690</v>
      </c>
      <c r="ED88" s="58">
        <f t="shared" si="308"/>
        <v>22370.20627986913</v>
      </c>
      <c r="EE88" s="58">
        <f t="shared" si="309"/>
        <v>40262</v>
      </c>
      <c r="EF88" s="58">
        <f t="shared" si="310"/>
        <v>48317</v>
      </c>
      <c r="EG88" s="58">
        <f t="shared" si="311"/>
        <v>19485.409303526412</v>
      </c>
      <c r="EH88" s="58">
        <f t="shared" si="312"/>
        <v>13539.404372589403</v>
      </c>
      <c r="EI88" s="58">
        <f t="shared" si="313"/>
        <v>22478</v>
      </c>
      <c r="EJ88" s="58">
        <f t="shared" si="314"/>
        <v>54059</v>
      </c>
      <c r="EK88" s="58">
        <f t="shared" si="315"/>
        <v>72409</v>
      </c>
      <c r="EL88" s="58">
        <f t="shared" si="296"/>
        <v>58817</v>
      </c>
      <c r="EM88" s="58">
        <f t="shared" si="297"/>
        <v>40947</v>
      </c>
      <c r="EN88" s="58">
        <f t="shared" si="298"/>
        <v>60004</v>
      </c>
      <c r="EO88" s="58">
        <f t="shared" si="299"/>
        <v>85779</v>
      </c>
      <c r="EP88" s="58">
        <f t="shared" si="300"/>
        <v>152609</v>
      </c>
      <c r="EQ88" s="58">
        <f t="shared" si="301"/>
        <v>210303</v>
      </c>
      <c r="ER88" s="67">
        <f t="shared" si="266"/>
        <v>77094.440437258949</v>
      </c>
      <c r="ES88" s="67">
        <f t="shared" si="267"/>
        <v>42656.011399286195</v>
      </c>
      <c r="EV88" s="42">
        <v>247</v>
      </c>
      <c r="EW88" s="128">
        <f t="shared" si="343"/>
        <v>0.99782049605509782</v>
      </c>
      <c r="EX88" s="128">
        <f t="shared" si="343"/>
        <v>0.99895550449133064</v>
      </c>
      <c r="EY88" s="128">
        <f t="shared" si="343"/>
        <v>0.99973772784893122</v>
      </c>
      <c r="EZ88" s="128">
        <f t="shared" si="343"/>
        <v>1</v>
      </c>
      <c r="FA88" s="128">
        <f t="shared" si="343"/>
        <v>0.99722772277227723</v>
      </c>
      <c r="FB88" s="128">
        <f t="shared" si="343"/>
        <v>0.987510841283608</v>
      </c>
      <c r="FC88" s="128">
        <f t="shared" si="343"/>
        <v>1</v>
      </c>
      <c r="FD88" s="128">
        <f t="shared" si="343"/>
        <v>1</v>
      </c>
      <c r="FE88" s="128">
        <f t="shared" si="343"/>
        <v>1</v>
      </c>
      <c r="FF88" s="128">
        <f t="shared" si="343"/>
        <v>0.94332627118644063</v>
      </c>
      <c r="FG88" s="128">
        <f t="shared" si="343"/>
        <v>1</v>
      </c>
      <c r="FH88" s="128">
        <f t="shared" si="343"/>
        <v>0.99255347022077578</v>
      </c>
      <c r="FI88" s="128">
        <f t="shared" si="343"/>
        <v>0.99857900930304844</v>
      </c>
      <c r="FJ88" s="128">
        <f t="shared" si="343"/>
        <v>0.99501515003420971</v>
      </c>
      <c r="FK88" s="128">
        <f t="shared" si="343"/>
        <v>1</v>
      </c>
      <c r="FL88" s="128">
        <f t="shared" si="344"/>
        <v>1</v>
      </c>
      <c r="FM88" s="128">
        <f t="shared" si="345"/>
        <v>1</v>
      </c>
      <c r="FN88" s="128">
        <f t="shared" si="346"/>
        <v>1</v>
      </c>
      <c r="FO88" s="128">
        <f t="shared" si="347"/>
        <v>1</v>
      </c>
      <c r="FP88" s="128"/>
      <c r="FQ88" s="128">
        <f t="shared" ref="FQ88:GF102" si="348">DR88/DR$102</f>
        <v>0.97908437592441144</v>
      </c>
      <c r="FR88" s="128">
        <f t="shared" si="348"/>
        <v>1</v>
      </c>
      <c r="FS88" s="128">
        <f t="shared" si="348"/>
        <v>0.99125921879267964</v>
      </c>
      <c r="FT88" s="128">
        <f t="shared" si="348"/>
        <v>0.99218372751695338</v>
      </c>
      <c r="FU88" s="128">
        <f t="shared" si="348"/>
        <v>0.97338925550036504</v>
      </c>
      <c r="FV88" s="128">
        <f t="shared" si="348"/>
        <v>0.97614505055224599</v>
      </c>
      <c r="FW88" s="128">
        <f t="shared" si="348"/>
        <v>0.97552863637750586</v>
      </c>
      <c r="FX88" s="128">
        <f t="shared" si="348"/>
        <v>1</v>
      </c>
      <c r="FY88" s="128">
        <f t="shared" si="348"/>
        <v>0.96241830065359479</v>
      </c>
      <c r="FZ88" s="128">
        <f t="shared" si="348"/>
        <v>0.98992116555234011</v>
      </c>
      <c r="GA88" s="128">
        <f t="shared" si="348"/>
        <v>0.98816284091817963</v>
      </c>
      <c r="GB88" s="128">
        <f t="shared" si="348"/>
        <v>0.98003523194362885</v>
      </c>
      <c r="GC88" s="128">
        <f t="shared" si="348"/>
        <v>0.99294249437708448</v>
      </c>
      <c r="GD88" s="128">
        <f t="shared" si="348"/>
        <v>0.99975168851807705</v>
      </c>
      <c r="GE88" s="128">
        <f t="shared" si="348"/>
        <v>0.99921414538310416</v>
      </c>
      <c r="GF88" s="128">
        <f t="shared" ref="GF88:GF99" si="349">EG88/EG$102</f>
        <v>1</v>
      </c>
      <c r="GG88" s="128">
        <f t="shared" ref="GG88:GG99" si="350">EH88/EH$102</f>
        <v>1</v>
      </c>
      <c r="GH88" s="128">
        <f t="shared" ref="GH88:GH99" si="351">EI88/EI$102</f>
        <v>0.99667450006651004</v>
      </c>
      <c r="GI88" s="128">
        <f t="shared" ref="GI88:GI99" si="352">EJ88/EJ$102</f>
        <v>0.97584706753073269</v>
      </c>
      <c r="GJ88" s="128">
        <f t="shared" ref="GJ88:GJ99" si="353">EK88/EK$102</f>
        <v>1</v>
      </c>
      <c r="GK88" s="128">
        <f t="shared" ref="GK88:GK99" si="354">EL88/EL$102</f>
        <v>0.99511047947754883</v>
      </c>
      <c r="GL88" s="128">
        <f t="shared" si="289"/>
        <v>0.99171692218266372</v>
      </c>
      <c r="GM88" s="128">
        <f t="shared" si="290"/>
        <v>1</v>
      </c>
      <c r="GN88" s="128">
        <f t="shared" si="291"/>
        <v>0.99993005770239551</v>
      </c>
      <c r="GO88" s="128">
        <f t="shared" si="292"/>
        <v>0.99480463606377845</v>
      </c>
      <c r="GP88" s="128">
        <f t="shared" si="293"/>
        <v>1</v>
      </c>
      <c r="GQ88" s="129">
        <f t="shared" si="294"/>
        <v>0.99540836630236296</v>
      </c>
      <c r="GR88" s="129">
        <f t="shared" si="295"/>
        <v>0.99191054292278402</v>
      </c>
    </row>
    <row r="89" spans="1:200" x14ac:dyDescent="0.25">
      <c r="A89" s="42">
        <v>248</v>
      </c>
      <c r="B89" s="81">
        <v>15</v>
      </c>
      <c r="C89" s="81">
        <v>20</v>
      </c>
      <c r="D89" s="81">
        <v>6</v>
      </c>
      <c r="E89" s="81"/>
      <c r="F89" s="81">
        <v>1</v>
      </c>
      <c r="G89" s="81">
        <v>27</v>
      </c>
      <c r="H89" s="81"/>
      <c r="I89" s="81"/>
      <c r="J89" s="81"/>
      <c r="K89" s="81">
        <v>26</v>
      </c>
      <c r="L89" s="81"/>
      <c r="M89" s="81">
        <v>79</v>
      </c>
      <c r="N89" s="81">
        <v>64</v>
      </c>
      <c r="O89" s="81">
        <v>48</v>
      </c>
      <c r="P89" s="81"/>
      <c r="Q89" s="81"/>
      <c r="R89" s="81"/>
      <c r="S89" s="81"/>
      <c r="T89" s="81"/>
      <c r="V89" s="81">
        <v>358</v>
      </c>
      <c r="W89" s="81"/>
      <c r="X89" s="81">
        <v>16</v>
      </c>
      <c r="Y89" s="81">
        <v>21</v>
      </c>
      <c r="Z89" s="81">
        <v>233</v>
      </c>
      <c r="AA89" s="81">
        <v>142</v>
      </c>
      <c r="AB89" s="81">
        <v>200</v>
      </c>
      <c r="AC89" s="81"/>
      <c r="AD89" s="81">
        <v>373</v>
      </c>
      <c r="AE89" s="81">
        <v>22</v>
      </c>
      <c r="AF89" s="84">
        <v>68</v>
      </c>
      <c r="AG89" s="84">
        <v>158</v>
      </c>
      <c r="AH89" s="84">
        <v>13</v>
      </c>
      <c r="AI89" s="92">
        <v>10</v>
      </c>
      <c r="AJ89" s="91">
        <v>38</v>
      </c>
      <c r="AK89" s="83"/>
      <c r="AL89" s="83"/>
      <c r="AM89" s="90">
        <v>31</v>
      </c>
      <c r="AN89" s="90">
        <v>307</v>
      </c>
      <c r="AO89" s="93"/>
      <c r="AP89" s="81">
        <v>65</v>
      </c>
      <c r="AQ89" s="81">
        <v>57</v>
      </c>
      <c r="AR89" s="81"/>
      <c r="AS89" s="81">
        <v>6</v>
      </c>
      <c r="AT89" s="81">
        <v>797</v>
      </c>
      <c r="AU89" s="81"/>
      <c r="AV89" s="71">
        <f t="shared" si="302"/>
        <v>210.5</v>
      </c>
      <c r="AW89" s="71">
        <f t="shared" si="257"/>
        <v>77523.400357893828</v>
      </c>
      <c r="AY89" s="42">
        <v>248</v>
      </c>
      <c r="AZ89" s="48">
        <f t="shared" si="342"/>
        <v>6.5385118347064211E-4</v>
      </c>
      <c r="BA89" s="48">
        <f t="shared" si="200"/>
        <v>1.0444955086693127E-3</v>
      </c>
      <c r="BB89" s="48">
        <f t="shared" si="201"/>
        <v>2.6227215106875904E-4</v>
      </c>
      <c r="BC89" s="48">
        <f t="shared" si="202"/>
        <v>0</v>
      </c>
      <c r="BD89" s="48">
        <f t="shared" si="203"/>
        <v>3.9603960396039607E-4</v>
      </c>
      <c r="BE89" s="48">
        <f t="shared" si="204"/>
        <v>2.3417172593235037E-3</v>
      </c>
      <c r="BF89" s="48">
        <f t="shared" si="205"/>
        <v>0</v>
      </c>
      <c r="BG89" s="48">
        <f t="shared" si="206"/>
        <v>0</v>
      </c>
      <c r="BH89" s="48">
        <f t="shared" si="207"/>
        <v>0</v>
      </c>
      <c r="BI89" s="48">
        <f t="shared" si="208"/>
        <v>1.3771186440677966E-2</v>
      </c>
      <c r="BJ89" s="48">
        <f t="shared" si="209"/>
        <v>0</v>
      </c>
      <c r="BK89" s="48">
        <f t="shared" si="210"/>
        <v>1.0893997269605749E-3</v>
      </c>
      <c r="BL89" s="48">
        <f t="shared" si="211"/>
        <v>1.4209906969515308E-3</v>
      </c>
      <c r="BM89" s="48">
        <f t="shared" si="212"/>
        <v>4.6916234972143485E-3</v>
      </c>
      <c r="BN89" s="48">
        <f t="shared" si="213"/>
        <v>0</v>
      </c>
      <c r="BO89" s="48">
        <f t="shared" si="214"/>
        <v>0</v>
      </c>
      <c r="BP89" s="48">
        <f t="shared" si="215"/>
        <v>0</v>
      </c>
      <c r="BQ89" s="48">
        <f t="shared" si="216"/>
        <v>0</v>
      </c>
      <c r="BR89" s="48">
        <f t="shared" si="217"/>
        <v>0</v>
      </c>
      <c r="BS89" s="48"/>
      <c r="BT89" s="48">
        <f t="shared" si="218"/>
        <v>6.2294454401503416E-3</v>
      </c>
      <c r="BU89" s="48">
        <f t="shared" si="219"/>
        <v>0</v>
      </c>
      <c r="BV89" s="48">
        <f t="shared" si="220"/>
        <v>4.3703906036602017E-3</v>
      </c>
      <c r="BW89" s="48">
        <f t="shared" si="221"/>
        <v>8.7776322002128119E-4</v>
      </c>
      <c r="BX89" s="48">
        <f t="shared" si="222"/>
        <v>3.3352896548762508E-3</v>
      </c>
      <c r="BY89" s="48">
        <f t="shared" si="223"/>
        <v>1.8429830367688094E-3</v>
      </c>
      <c r="BZ89" s="48">
        <f t="shared" si="224"/>
        <v>3.0512922222561255E-3</v>
      </c>
      <c r="CA89" s="48">
        <f t="shared" si="225"/>
        <v>0</v>
      </c>
      <c r="CB89" s="48">
        <f t="shared" si="226"/>
        <v>5.5915332493853814E-3</v>
      </c>
      <c r="CC89" s="48">
        <f t="shared" si="227"/>
        <v>2.1953896816684962E-3</v>
      </c>
      <c r="CD89" s="48">
        <f t="shared" si="228"/>
        <v>5.4386947132688155E-3</v>
      </c>
      <c r="CE89" s="48">
        <f t="shared" si="229"/>
        <v>9.2777451556077511E-3</v>
      </c>
      <c r="CF89" s="48">
        <f t="shared" si="230"/>
        <v>5.7702876162202352E-4</v>
      </c>
      <c r="CG89" s="48">
        <f t="shared" si="231"/>
        <v>2.4831148192292412E-4</v>
      </c>
      <c r="CH89" s="48">
        <f t="shared" si="232"/>
        <v>7.8585461689587423E-4</v>
      </c>
      <c r="CI89" s="48">
        <f t="shared" si="233"/>
        <v>0</v>
      </c>
      <c r="CJ89" s="48">
        <f t="shared" si="234"/>
        <v>0</v>
      </c>
      <c r="CK89" s="48">
        <f t="shared" si="235"/>
        <v>1.3745399725092005E-3</v>
      </c>
      <c r="CL89" s="48">
        <f t="shared" si="236"/>
        <v>5.5418163438453348E-3</v>
      </c>
      <c r="CM89" s="48">
        <f t="shared" si="237"/>
        <v>0</v>
      </c>
      <c r="CN89" s="48">
        <f t="shared" si="258"/>
        <v>1.0997191486481913E-3</v>
      </c>
      <c r="CO89" s="48">
        <f t="shared" si="259"/>
        <v>1.3805129695560561E-3</v>
      </c>
      <c r="CP89" s="48">
        <f t="shared" si="260"/>
        <v>0</v>
      </c>
      <c r="CQ89" s="48">
        <f t="shared" si="261"/>
        <v>6.9942297604476302E-5</v>
      </c>
      <c r="CR89" s="48">
        <f t="shared" si="262"/>
        <v>5.1953639362215297E-3</v>
      </c>
      <c r="CS89" s="48">
        <f t="shared" si="263"/>
        <v>0</v>
      </c>
      <c r="CT89" s="68">
        <f t="shared" si="264"/>
        <v>0.99687455576920159</v>
      </c>
      <c r="CU89" s="68">
        <f t="shared" si="265"/>
        <v>0.99391528862355405</v>
      </c>
      <c r="CW89" s="42">
        <v>248</v>
      </c>
      <c r="CX89" s="58">
        <f t="shared" si="316"/>
        <v>22906</v>
      </c>
      <c r="CY89" s="58">
        <f t="shared" si="317"/>
        <v>19148</v>
      </c>
      <c r="CZ89" s="58">
        <f t="shared" si="318"/>
        <v>22877</v>
      </c>
      <c r="DA89" s="58">
        <f t="shared" si="319"/>
        <v>430</v>
      </c>
      <c r="DB89" s="58">
        <f t="shared" si="320"/>
        <v>2519</v>
      </c>
      <c r="DC89" s="58">
        <f t="shared" si="321"/>
        <v>11413</v>
      </c>
      <c r="DD89" s="58">
        <f t="shared" si="322"/>
        <v>10669</v>
      </c>
      <c r="DE89" s="58">
        <f t="shared" si="323"/>
        <v>9414</v>
      </c>
      <c r="DF89" s="58">
        <f t="shared" si="324"/>
        <v>12990</v>
      </c>
      <c r="DG89" s="58">
        <f t="shared" si="325"/>
        <v>1807</v>
      </c>
      <c r="DH89" s="58">
        <f t="shared" si="326"/>
        <v>28669</v>
      </c>
      <c r="DI89" s="58">
        <f t="shared" si="327"/>
        <v>72056</v>
      </c>
      <c r="DJ89" s="58">
        <f t="shared" si="328"/>
        <v>45039</v>
      </c>
      <c r="DK89" s="58">
        <f t="shared" si="329"/>
        <v>10228</v>
      </c>
      <c r="DL89" s="58">
        <f t="shared" si="330"/>
        <v>24707</v>
      </c>
      <c r="DM89" s="58">
        <f t="shared" si="331"/>
        <v>39216</v>
      </c>
      <c r="DN89" s="58">
        <f t="shared" si="332"/>
        <v>34216</v>
      </c>
      <c r="DO89" s="58">
        <f t="shared" si="333"/>
        <v>18725</v>
      </c>
      <c r="DP89" s="58">
        <f t="shared" si="334"/>
        <v>28127</v>
      </c>
      <c r="DQ89" s="58"/>
      <c r="DR89" s="58">
        <f t="shared" si="335"/>
        <v>56625</v>
      </c>
      <c r="DS89" s="58">
        <f t="shared" si="336"/>
        <v>2948</v>
      </c>
      <c r="DT89" s="58">
        <f t="shared" si="337"/>
        <v>3645</v>
      </c>
      <c r="DU89" s="58">
        <f t="shared" si="338"/>
        <v>23758.447414749116</v>
      </c>
      <c r="DV89" s="58">
        <f t="shared" si="339"/>
        <v>68233</v>
      </c>
      <c r="DW89" s="58">
        <f t="shared" si="340"/>
        <v>75353</v>
      </c>
      <c r="DX89" s="58">
        <f t="shared" si="341"/>
        <v>64142</v>
      </c>
      <c r="DY89" s="58">
        <f t="shared" si="303"/>
        <v>101067</v>
      </c>
      <c r="DZ89" s="58">
        <f t="shared" si="304"/>
        <v>64574</v>
      </c>
      <c r="EA89" s="58">
        <f t="shared" si="305"/>
        <v>9942</v>
      </c>
      <c r="EB89" s="58">
        <f t="shared" si="306"/>
        <v>12423</v>
      </c>
      <c r="EC89" s="58">
        <f t="shared" si="307"/>
        <v>16848</v>
      </c>
      <c r="ED89" s="58">
        <f t="shared" si="308"/>
        <v>22383.20627986913</v>
      </c>
      <c r="EE89" s="58">
        <f t="shared" si="309"/>
        <v>40272</v>
      </c>
      <c r="EF89" s="58">
        <f t="shared" si="310"/>
        <v>48355</v>
      </c>
      <c r="EG89" s="58">
        <f t="shared" si="311"/>
        <v>19485.409303526412</v>
      </c>
      <c r="EH89" s="58">
        <f t="shared" si="312"/>
        <v>13539.404372589403</v>
      </c>
      <c r="EI89" s="58">
        <f t="shared" si="313"/>
        <v>22509</v>
      </c>
      <c r="EJ89" s="58">
        <f t="shared" si="314"/>
        <v>54366</v>
      </c>
      <c r="EK89" s="58">
        <f t="shared" si="315"/>
        <v>72409</v>
      </c>
      <c r="EL89" s="58">
        <f t="shared" si="296"/>
        <v>58882</v>
      </c>
      <c r="EM89" s="58">
        <f t="shared" si="297"/>
        <v>41004</v>
      </c>
      <c r="EN89" s="58">
        <f t="shared" si="298"/>
        <v>60004</v>
      </c>
      <c r="EO89" s="58">
        <f t="shared" si="299"/>
        <v>85785</v>
      </c>
      <c r="EP89" s="58">
        <f t="shared" si="300"/>
        <v>153406</v>
      </c>
      <c r="EQ89" s="58">
        <f t="shared" si="301"/>
        <v>210303</v>
      </c>
      <c r="ER89" s="67">
        <f t="shared" si="266"/>
        <v>77220.740437258937</v>
      </c>
      <c r="ES89" s="67">
        <f t="shared" si="267"/>
        <v>42733.084570017905</v>
      </c>
      <c r="EV89" s="42">
        <v>248</v>
      </c>
      <c r="EW89" s="128">
        <f t="shared" si="343"/>
        <v>0.99847434723856854</v>
      </c>
      <c r="EX89" s="128">
        <f t="shared" si="343"/>
        <v>1</v>
      </c>
      <c r="EY89" s="128">
        <f t="shared" si="343"/>
        <v>1</v>
      </c>
      <c r="EZ89" s="128">
        <f t="shared" si="343"/>
        <v>1</v>
      </c>
      <c r="FA89" s="128">
        <f t="shared" si="343"/>
        <v>0.99762376237623762</v>
      </c>
      <c r="FB89" s="128">
        <f t="shared" si="343"/>
        <v>0.98985255854293153</v>
      </c>
      <c r="FC89" s="128">
        <f t="shared" si="343"/>
        <v>1</v>
      </c>
      <c r="FD89" s="128">
        <f t="shared" si="343"/>
        <v>1</v>
      </c>
      <c r="FE89" s="128">
        <f t="shared" si="343"/>
        <v>1</v>
      </c>
      <c r="FF89" s="128">
        <f t="shared" si="343"/>
        <v>0.95709745762711862</v>
      </c>
      <c r="FG89" s="128">
        <f t="shared" si="343"/>
        <v>1</v>
      </c>
      <c r="FH89" s="128">
        <f t="shared" si="343"/>
        <v>0.99364286994773643</v>
      </c>
      <c r="FI89" s="128">
        <f t="shared" si="343"/>
        <v>1</v>
      </c>
      <c r="FJ89" s="128">
        <f t="shared" si="343"/>
        <v>0.99970677353142412</v>
      </c>
      <c r="FK89" s="128">
        <f t="shared" si="343"/>
        <v>1</v>
      </c>
      <c r="FL89" s="128">
        <f t="shared" si="344"/>
        <v>1</v>
      </c>
      <c r="FM89" s="128">
        <f t="shared" si="345"/>
        <v>1</v>
      </c>
      <c r="FN89" s="128">
        <f t="shared" si="346"/>
        <v>1</v>
      </c>
      <c r="FO89" s="128">
        <f t="shared" si="347"/>
        <v>1</v>
      </c>
      <c r="FP89" s="128"/>
      <c r="FQ89" s="128">
        <f t="shared" si="348"/>
        <v>0.9853138213645618</v>
      </c>
      <c r="FR89" s="128">
        <f t="shared" si="348"/>
        <v>1</v>
      </c>
      <c r="FS89" s="128">
        <f t="shared" si="348"/>
        <v>0.99562960939633982</v>
      </c>
      <c r="FT89" s="128">
        <f t="shared" si="348"/>
        <v>0.99306149073697458</v>
      </c>
      <c r="FU89" s="128">
        <f t="shared" si="348"/>
        <v>0.97672454515524132</v>
      </c>
      <c r="FV89" s="128">
        <f t="shared" si="348"/>
        <v>0.97798803358901476</v>
      </c>
      <c r="FW89" s="128">
        <f t="shared" si="348"/>
        <v>0.97857992859976195</v>
      </c>
      <c r="FX89" s="128">
        <f t="shared" si="348"/>
        <v>1</v>
      </c>
      <c r="FY89" s="128">
        <f t="shared" si="348"/>
        <v>0.96800983390298012</v>
      </c>
      <c r="FZ89" s="128">
        <f t="shared" si="348"/>
        <v>0.99211655523400855</v>
      </c>
      <c r="GA89" s="128">
        <f t="shared" si="348"/>
        <v>0.99360153563144848</v>
      </c>
      <c r="GB89" s="128">
        <f t="shared" si="348"/>
        <v>0.9893129770992366</v>
      </c>
      <c r="GC89" s="128">
        <f t="shared" si="348"/>
        <v>0.99351952313870651</v>
      </c>
      <c r="GD89" s="128">
        <f t="shared" si="348"/>
        <v>1</v>
      </c>
      <c r="GE89" s="128">
        <f t="shared" si="348"/>
        <v>1</v>
      </c>
      <c r="GF89" s="128">
        <f t="shared" si="349"/>
        <v>1</v>
      </c>
      <c r="GG89" s="128">
        <f t="shared" si="350"/>
        <v>1</v>
      </c>
      <c r="GH89" s="128">
        <f t="shared" si="351"/>
        <v>0.99804904003901918</v>
      </c>
      <c r="GI89" s="128">
        <f t="shared" si="352"/>
        <v>0.98138888387457801</v>
      </c>
      <c r="GJ89" s="128">
        <f t="shared" si="353"/>
        <v>1</v>
      </c>
      <c r="GK89" s="128">
        <f t="shared" si="354"/>
        <v>0.99621019862619697</v>
      </c>
      <c r="GL89" s="128">
        <f t="shared" si="289"/>
        <v>0.99309743515221971</v>
      </c>
      <c r="GM89" s="128">
        <f t="shared" si="290"/>
        <v>1</v>
      </c>
      <c r="GN89" s="128">
        <f t="shared" si="291"/>
        <v>1</v>
      </c>
      <c r="GO89" s="128">
        <f t="shared" si="292"/>
        <v>1</v>
      </c>
      <c r="GP89" s="128">
        <f t="shared" si="293"/>
        <v>1</v>
      </c>
      <c r="GQ89" s="129">
        <f t="shared" si="294"/>
        <v>0.99687455576920136</v>
      </c>
      <c r="GR89" s="129">
        <f t="shared" si="295"/>
        <v>0.99391528862355438</v>
      </c>
    </row>
    <row r="90" spans="1:200" x14ac:dyDescent="0.25">
      <c r="A90" s="42">
        <v>249</v>
      </c>
      <c r="B90" s="81">
        <v>23</v>
      </c>
      <c r="C90" s="81"/>
      <c r="D90" s="81">
        <v>0</v>
      </c>
      <c r="E90" s="81"/>
      <c r="F90" s="81">
        <v>1</v>
      </c>
      <c r="G90" s="81">
        <v>25</v>
      </c>
      <c r="H90" s="81"/>
      <c r="I90" s="81"/>
      <c r="J90" s="81"/>
      <c r="K90" s="81">
        <v>7</v>
      </c>
      <c r="L90" s="81"/>
      <c r="M90" s="81">
        <v>21</v>
      </c>
      <c r="N90" s="81"/>
      <c r="O90" s="81">
        <v>3</v>
      </c>
      <c r="P90" s="81"/>
      <c r="Q90" s="81"/>
      <c r="R90" s="81"/>
      <c r="S90" s="81"/>
      <c r="T90" s="81"/>
      <c r="V90" s="81">
        <v>251</v>
      </c>
      <c r="W90" s="81"/>
      <c r="X90" s="81">
        <v>7</v>
      </c>
      <c r="Y90" s="81">
        <v>68</v>
      </c>
      <c r="Z90" s="81">
        <v>175</v>
      </c>
      <c r="AA90" s="81">
        <v>397</v>
      </c>
      <c r="AB90" s="81">
        <v>321</v>
      </c>
      <c r="AC90" s="81"/>
      <c r="AD90" s="81">
        <v>377</v>
      </c>
      <c r="AE90" s="81">
        <v>44</v>
      </c>
      <c r="AF90" s="84">
        <v>12</v>
      </c>
      <c r="AG90" s="84">
        <v>66</v>
      </c>
      <c r="AH90" s="94">
        <v>76</v>
      </c>
      <c r="AI90" s="81"/>
      <c r="AJ90" s="81"/>
      <c r="AK90" s="81"/>
      <c r="AL90" s="81"/>
      <c r="AM90" s="90">
        <v>12</v>
      </c>
      <c r="AN90" s="90">
        <v>244</v>
      </c>
      <c r="AO90" s="95"/>
      <c r="AP90" s="81">
        <v>3</v>
      </c>
      <c r="AQ90" s="81">
        <v>136</v>
      </c>
      <c r="AR90" s="81"/>
      <c r="AS90" s="81"/>
      <c r="AT90" s="81"/>
      <c r="AU90" s="81"/>
      <c r="AV90" s="71">
        <f t="shared" si="302"/>
        <v>98.75</v>
      </c>
      <c r="AW90" s="71">
        <f t="shared" si="257"/>
        <v>77622.150357893828</v>
      </c>
      <c r="AY90" s="42">
        <v>249</v>
      </c>
      <c r="AZ90" s="48">
        <f t="shared" si="342"/>
        <v>1.0025718146549846E-3</v>
      </c>
      <c r="BA90" s="48">
        <f t="shared" si="200"/>
        <v>0</v>
      </c>
      <c r="BB90" s="48">
        <f t="shared" si="201"/>
        <v>0</v>
      </c>
      <c r="BC90" s="48">
        <f t="shared" si="202"/>
        <v>0</v>
      </c>
      <c r="BD90" s="48">
        <f t="shared" si="203"/>
        <v>3.9603960396039607E-4</v>
      </c>
      <c r="BE90" s="48">
        <f t="shared" si="204"/>
        <v>2.1682567215958368E-3</v>
      </c>
      <c r="BF90" s="48">
        <f t="shared" si="205"/>
        <v>0</v>
      </c>
      <c r="BG90" s="48">
        <f t="shared" si="206"/>
        <v>0</v>
      </c>
      <c r="BH90" s="48">
        <f t="shared" si="207"/>
        <v>0</v>
      </c>
      <c r="BI90" s="48">
        <f t="shared" si="208"/>
        <v>3.7076271186440679E-3</v>
      </c>
      <c r="BJ90" s="48">
        <f t="shared" si="209"/>
        <v>0</v>
      </c>
      <c r="BK90" s="48">
        <f t="shared" si="210"/>
        <v>2.8958726919205152E-4</v>
      </c>
      <c r="BL90" s="48">
        <f t="shared" si="211"/>
        <v>0</v>
      </c>
      <c r="BM90" s="48">
        <f t="shared" si="212"/>
        <v>2.9322646857589678E-4</v>
      </c>
      <c r="BN90" s="48">
        <f t="shared" si="213"/>
        <v>0</v>
      </c>
      <c r="BO90" s="48">
        <f t="shared" si="214"/>
        <v>0</v>
      </c>
      <c r="BP90" s="48">
        <f t="shared" si="215"/>
        <v>0</v>
      </c>
      <c r="BQ90" s="48">
        <f t="shared" si="216"/>
        <v>0</v>
      </c>
      <c r="BR90" s="48">
        <f t="shared" si="217"/>
        <v>0</v>
      </c>
      <c r="BS90" s="48"/>
      <c r="BT90" s="48">
        <f t="shared" si="218"/>
        <v>4.3675720823400446E-3</v>
      </c>
      <c r="BU90" s="48">
        <f t="shared" si="219"/>
        <v>0</v>
      </c>
      <c r="BV90" s="48">
        <f t="shared" si="220"/>
        <v>1.9120458891013384E-3</v>
      </c>
      <c r="BW90" s="48">
        <f t="shared" si="221"/>
        <v>2.8422809029260534E-3</v>
      </c>
      <c r="BX90" s="48">
        <f t="shared" si="222"/>
        <v>2.5050458781259396E-3</v>
      </c>
      <c r="BY90" s="48">
        <f t="shared" si="223"/>
        <v>5.1525652506846289E-3</v>
      </c>
      <c r="BZ90" s="48">
        <f t="shared" si="224"/>
        <v>4.8973240167210818E-3</v>
      </c>
      <c r="CA90" s="48">
        <f t="shared" si="225"/>
        <v>0</v>
      </c>
      <c r="CB90" s="48">
        <f t="shared" si="226"/>
        <v>5.6514960724350898E-3</v>
      </c>
      <c r="CC90" s="48">
        <f t="shared" si="227"/>
        <v>4.3907793633369925E-3</v>
      </c>
      <c r="CD90" s="48">
        <f t="shared" si="228"/>
        <v>9.5976965528273212E-4</v>
      </c>
      <c r="CE90" s="48">
        <f t="shared" si="229"/>
        <v>3.8755137991779215E-3</v>
      </c>
      <c r="CF90" s="48">
        <f t="shared" si="230"/>
        <v>3.373398914097984E-3</v>
      </c>
      <c r="CG90" s="48">
        <f t="shared" si="231"/>
        <v>0</v>
      </c>
      <c r="CH90" s="48">
        <f t="shared" si="232"/>
        <v>0</v>
      </c>
      <c r="CI90" s="48">
        <f t="shared" si="233"/>
        <v>0</v>
      </c>
      <c r="CJ90" s="48">
        <f t="shared" si="234"/>
        <v>0</v>
      </c>
      <c r="CK90" s="48">
        <f t="shared" si="235"/>
        <v>5.3207998935840019E-4</v>
      </c>
      <c r="CL90" s="48">
        <f t="shared" si="236"/>
        <v>4.4045706446197447E-3</v>
      </c>
      <c r="CM90" s="48">
        <f t="shared" si="237"/>
        <v>0</v>
      </c>
      <c r="CN90" s="48">
        <f t="shared" si="258"/>
        <v>5.0756268399147295E-5</v>
      </c>
      <c r="CO90" s="48">
        <f t="shared" si="259"/>
        <v>3.2938555063091865E-3</v>
      </c>
      <c r="CP90" s="48">
        <f t="shared" si="260"/>
        <v>0</v>
      </c>
      <c r="CQ90" s="48">
        <f t="shared" si="261"/>
        <v>0</v>
      </c>
      <c r="CR90" s="48">
        <f t="shared" si="262"/>
        <v>0</v>
      </c>
      <c r="CS90" s="48">
        <f t="shared" si="263"/>
        <v>0</v>
      </c>
      <c r="CT90" s="68">
        <f t="shared" si="264"/>
        <v>0.99770268201007029</v>
      </c>
      <c r="CU90" s="68">
        <f t="shared" si="265"/>
        <v>0.99525830792635606</v>
      </c>
      <c r="CW90" s="42">
        <v>249</v>
      </c>
      <c r="CX90" s="58">
        <f t="shared" si="316"/>
        <v>22929</v>
      </c>
      <c r="CY90" s="58">
        <f t="shared" si="317"/>
        <v>19148</v>
      </c>
      <c r="CZ90" s="58">
        <f t="shared" si="318"/>
        <v>22877</v>
      </c>
      <c r="DA90" s="58">
        <f t="shared" si="319"/>
        <v>430</v>
      </c>
      <c r="DB90" s="58">
        <f t="shared" si="320"/>
        <v>2520</v>
      </c>
      <c r="DC90" s="58">
        <f t="shared" si="321"/>
        <v>11438</v>
      </c>
      <c r="DD90" s="58">
        <f t="shared" si="322"/>
        <v>10669</v>
      </c>
      <c r="DE90" s="58">
        <f t="shared" si="323"/>
        <v>9414</v>
      </c>
      <c r="DF90" s="58">
        <f t="shared" si="324"/>
        <v>12990</v>
      </c>
      <c r="DG90" s="58">
        <f t="shared" si="325"/>
        <v>1814</v>
      </c>
      <c r="DH90" s="58">
        <f t="shared" si="326"/>
        <v>28669</v>
      </c>
      <c r="DI90" s="58">
        <f t="shared" si="327"/>
        <v>72077</v>
      </c>
      <c r="DJ90" s="58">
        <f t="shared" si="328"/>
        <v>45039</v>
      </c>
      <c r="DK90" s="58">
        <f t="shared" si="329"/>
        <v>10231</v>
      </c>
      <c r="DL90" s="58">
        <f t="shared" si="330"/>
        <v>24707</v>
      </c>
      <c r="DM90" s="58">
        <f t="shared" si="331"/>
        <v>39216</v>
      </c>
      <c r="DN90" s="58">
        <f t="shared" si="332"/>
        <v>34216</v>
      </c>
      <c r="DO90" s="58">
        <f t="shared" si="333"/>
        <v>18725</v>
      </c>
      <c r="DP90" s="58">
        <f t="shared" si="334"/>
        <v>28127</v>
      </c>
      <c r="DQ90" s="58"/>
      <c r="DR90" s="58">
        <f t="shared" si="335"/>
        <v>56876</v>
      </c>
      <c r="DS90" s="58">
        <f t="shared" si="336"/>
        <v>2948</v>
      </c>
      <c r="DT90" s="58">
        <f t="shared" si="337"/>
        <v>3652</v>
      </c>
      <c r="DU90" s="58">
        <f t="shared" si="338"/>
        <v>23826.447414749116</v>
      </c>
      <c r="DV90" s="58">
        <f t="shared" si="339"/>
        <v>68408</v>
      </c>
      <c r="DW90" s="58">
        <f t="shared" si="340"/>
        <v>75750</v>
      </c>
      <c r="DX90" s="58">
        <f t="shared" si="341"/>
        <v>64463</v>
      </c>
      <c r="DY90" s="58">
        <f t="shared" si="303"/>
        <v>101067</v>
      </c>
      <c r="DZ90" s="58">
        <f t="shared" si="304"/>
        <v>64951</v>
      </c>
      <c r="EA90" s="58">
        <f t="shared" si="305"/>
        <v>9986</v>
      </c>
      <c r="EB90" s="58">
        <f t="shared" si="306"/>
        <v>12435</v>
      </c>
      <c r="EC90" s="58">
        <f t="shared" si="307"/>
        <v>16914</v>
      </c>
      <c r="ED90" s="58">
        <f t="shared" si="308"/>
        <v>22459.20627986913</v>
      </c>
      <c r="EE90" s="58">
        <f t="shared" si="309"/>
        <v>40272</v>
      </c>
      <c r="EF90" s="58">
        <f t="shared" si="310"/>
        <v>48355</v>
      </c>
      <c r="EG90" s="58">
        <f t="shared" si="311"/>
        <v>19485.409303526412</v>
      </c>
      <c r="EH90" s="58">
        <f t="shared" si="312"/>
        <v>13539.404372589403</v>
      </c>
      <c r="EI90" s="58">
        <f t="shared" si="313"/>
        <v>22521</v>
      </c>
      <c r="EJ90" s="58">
        <f t="shared" si="314"/>
        <v>54610</v>
      </c>
      <c r="EK90" s="58">
        <f t="shared" si="315"/>
        <v>72409</v>
      </c>
      <c r="EL90" s="58">
        <f t="shared" si="296"/>
        <v>58885</v>
      </c>
      <c r="EM90" s="58">
        <f t="shared" si="297"/>
        <v>41140</v>
      </c>
      <c r="EN90" s="58">
        <f t="shared" si="298"/>
        <v>60004</v>
      </c>
      <c r="EO90" s="58">
        <f t="shared" si="299"/>
        <v>85785</v>
      </c>
      <c r="EP90" s="58">
        <f t="shared" si="300"/>
        <v>153406</v>
      </c>
      <c r="EQ90" s="58">
        <f t="shared" si="301"/>
        <v>210303</v>
      </c>
      <c r="ER90" s="67">
        <f t="shared" si="266"/>
        <v>77260.240437258937</v>
      </c>
      <c r="ES90" s="67">
        <f t="shared" si="267"/>
        <v>42787.865057822783</v>
      </c>
      <c r="EV90" s="42">
        <v>249</v>
      </c>
      <c r="EW90" s="128">
        <f t="shared" si="343"/>
        <v>0.99947691905322344</v>
      </c>
      <c r="EX90" s="128">
        <f t="shared" si="343"/>
        <v>1</v>
      </c>
      <c r="EY90" s="128">
        <f t="shared" si="343"/>
        <v>1</v>
      </c>
      <c r="EZ90" s="128">
        <f t="shared" si="343"/>
        <v>1</v>
      </c>
      <c r="FA90" s="128">
        <f t="shared" si="343"/>
        <v>0.99801980198019802</v>
      </c>
      <c r="FB90" s="128">
        <f t="shared" si="343"/>
        <v>0.99202081526452734</v>
      </c>
      <c r="FC90" s="128">
        <f t="shared" si="343"/>
        <v>1</v>
      </c>
      <c r="FD90" s="128">
        <f t="shared" si="343"/>
        <v>1</v>
      </c>
      <c r="FE90" s="128">
        <f t="shared" si="343"/>
        <v>1</v>
      </c>
      <c r="FF90" s="128">
        <f t="shared" si="343"/>
        <v>0.96080508474576276</v>
      </c>
      <c r="FG90" s="128">
        <f t="shared" si="343"/>
        <v>1</v>
      </c>
      <c r="FH90" s="128">
        <f t="shared" si="343"/>
        <v>0.99393245721692847</v>
      </c>
      <c r="FI90" s="128">
        <f t="shared" si="343"/>
        <v>1</v>
      </c>
      <c r="FJ90" s="128">
        <f t="shared" si="343"/>
        <v>1</v>
      </c>
      <c r="FK90" s="128">
        <f t="shared" si="343"/>
        <v>1</v>
      </c>
      <c r="FL90" s="128">
        <f t="shared" si="344"/>
        <v>1</v>
      </c>
      <c r="FM90" s="128">
        <f t="shared" si="345"/>
        <v>1</v>
      </c>
      <c r="FN90" s="128">
        <f t="shared" si="346"/>
        <v>1</v>
      </c>
      <c r="FO90" s="128">
        <f t="shared" si="347"/>
        <v>1</v>
      </c>
      <c r="FP90" s="128"/>
      <c r="FQ90" s="128">
        <f t="shared" si="348"/>
        <v>0.98968139344690176</v>
      </c>
      <c r="FR90" s="128">
        <f t="shared" si="348"/>
        <v>1</v>
      </c>
      <c r="FS90" s="128">
        <f t="shared" si="348"/>
        <v>0.99754165528544114</v>
      </c>
      <c r="FT90" s="128">
        <f t="shared" si="348"/>
        <v>0.99590377163990074</v>
      </c>
      <c r="FU90" s="128">
        <f t="shared" si="348"/>
        <v>0.97922959103336726</v>
      </c>
      <c r="FV90" s="128">
        <f t="shared" si="348"/>
        <v>0.9831405988396994</v>
      </c>
      <c r="FW90" s="128">
        <f t="shared" si="348"/>
        <v>0.98347725261648311</v>
      </c>
      <c r="FX90" s="128">
        <f t="shared" si="348"/>
        <v>1</v>
      </c>
      <c r="FY90" s="128">
        <f t="shared" si="348"/>
        <v>0.97366132997541521</v>
      </c>
      <c r="FZ90" s="128">
        <f t="shared" si="348"/>
        <v>0.99650733459734553</v>
      </c>
      <c r="GA90" s="128">
        <f t="shared" si="348"/>
        <v>0.99456130528673115</v>
      </c>
      <c r="GB90" s="128">
        <f t="shared" si="348"/>
        <v>0.99318849089841454</v>
      </c>
      <c r="GC90" s="128">
        <f t="shared" si="348"/>
        <v>0.99689292205280444</v>
      </c>
      <c r="GD90" s="128">
        <f t="shared" si="348"/>
        <v>1</v>
      </c>
      <c r="GE90" s="128">
        <f t="shared" si="348"/>
        <v>1</v>
      </c>
      <c r="GF90" s="128">
        <f t="shared" si="349"/>
        <v>1</v>
      </c>
      <c r="GG90" s="128">
        <f t="shared" si="350"/>
        <v>1</v>
      </c>
      <c r="GH90" s="128">
        <f t="shared" si="351"/>
        <v>0.99858112002837762</v>
      </c>
      <c r="GI90" s="128">
        <f t="shared" si="352"/>
        <v>0.98579345451919775</v>
      </c>
      <c r="GJ90" s="128">
        <f t="shared" si="353"/>
        <v>1</v>
      </c>
      <c r="GK90" s="128">
        <f t="shared" si="354"/>
        <v>0.9962609548945961</v>
      </c>
      <c r="GL90" s="128">
        <f t="shared" si="289"/>
        <v>0.99639129065852894</v>
      </c>
      <c r="GM90" s="128">
        <f t="shared" si="290"/>
        <v>1</v>
      </c>
      <c r="GN90" s="128">
        <f t="shared" si="291"/>
        <v>1</v>
      </c>
      <c r="GO90" s="128">
        <f t="shared" si="292"/>
        <v>1</v>
      </c>
      <c r="GP90" s="128">
        <f t="shared" si="293"/>
        <v>1</v>
      </c>
      <c r="GQ90" s="129">
        <f t="shared" si="294"/>
        <v>0.99770268201007006</v>
      </c>
      <c r="GR90" s="129">
        <f t="shared" si="295"/>
        <v>0.99525830792635672</v>
      </c>
    </row>
    <row r="91" spans="1:200" x14ac:dyDescent="0.25">
      <c r="A91" s="42">
        <v>250</v>
      </c>
      <c r="B91" s="81">
        <v>0</v>
      </c>
      <c r="C91" s="81"/>
      <c r="D91" s="81"/>
      <c r="E91" s="81"/>
      <c r="F91" s="81">
        <v>0</v>
      </c>
      <c r="G91" s="81">
        <v>18</v>
      </c>
      <c r="H91" s="81"/>
      <c r="I91" s="81"/>
      <c r="J91" s="81"/>
      <c r="K91" s="81">
        <v>12</v>
      </c>
      <c r="L91" s="81"/>
      <c r="M91" s="81">
        <v>253</v>
      </c>
      <c r="N91" s="81"/>
      <c r="O91" s="81"/>
      <c r="P91" s="81"/>
      <c r="Q91" s="81"/>
      <c r="R91" s="81"/>
      <c r="S91" s="81"/>
      <c r="T91" s="81"/>
      <c r="V91" s="81">
        <v>57</v>
      </c>
      <c r="W91" s="81"/>
      <c r="X91" s="81">
        <v>0</v>
      </c>
      <c r="Y91" s="81">
        <v>39</v>
      </c>
      <c r="Z91" s="81">
        <v>405</v>
      </c>
      <c r="AA91" s="81">
        <v>683</v>
      </c>
      <c r="AB91" s="81">
        <v>188</v>
      </c>
      <c r="AC91" s="81"/>
      <c r="AD91" s="81">
        <v>287</v>
      </c>
      <c r="AE91" s="81">
        <v>18</v>
      </c>
      <c r="AF91" s="84">
        <v>13</v>
      </c>
      <c r="AG91" s="84">
        <v>24</v>
      </c>
      <c r="AH91" s="94">
        <v>56</v>
      </c>
      <c r="AI91" s="81"/>
      <c r="AJ91" s="81"/>
      <c r="AK91" s="81"/>
      <c r="AL91" s="81"/>
      <c r="AM91" s="90">
        <v>32</v>
      </c>
      <c r="AN91" s="90">
        <v>224</v>
      </c>
      <c r="AO91" s="95"/>
      <c r="AP91" s="81">
        <v>113</v>
      </c>
      <c r="AQ91" s="81">
        <v>91</v>
      </c>
      <c r="AR91" s="81"/>
      <c r="AS91" s="81"/>
      <c r="AT91" s="81"/>
      <c r="AU91" s="81"/>
      <c r="AV91" s="71">
        <f t="shared" si="302"/>
        <v>115</v>
      </c>
      <c r="AW91" s="71">
        <f t="shared" si="257"/>
        <v>77737.150357893828</v>
      </c>
      <c r="AY91" s="42">
        <v>250</v>
      </c>
      <c r="AZ91" s="48">
        <f t="shared" si="342"/>
        <v>0</v>
      </c>
      <c r="BA91" s="48">
        <f t="shared" si="200"/>
        <v>0</v>
      </c>
      <c r="BB91" s="48">
        <f t="shared" si="201"/>
        <v>0</v>
      </c>
      <c r="BC91" s="48">
        <f t="shared" si="202"/>
        <v>0</v>
      </c>
      <c r="BD91" s="48">
        <f t="shared" si="203"/>
        <v>0</v>
      </c>
      <c r="BE91" s="48">
        <f t="shared" si="204"/>
        <v>1.5611448395490026E-3</v>
      </c>
      <c r="BF91" s="48">
        <f t="shared" si="205"/>
        <v>0</v>
      </c>
      <c r="BG91" s="48">
        <f t="shared" si="206"/>
        <v>0</v>
      </c>
      <c r="BH91" s="48">
        <f t="shared" si="207"/>
        <v>0</v>
      </c>
      <c r="BI91" s="48">
        <f t="shared" si="208"/>
        <v>6.3559322033898309E-3</v>
      </c>
      <c r="BJ91" s="48">
        <f t="shared" si="209"/>
        <v>0</v>
      </c>
      <c r="BK91" s="48">
        <f t="shared" si="210"/>
        <v>3.4888371002661446E-3</v>
      </c>
      <c r="BL91" s="48">
        <f t="shared" si="211"/>
        <v>0</v>
      </c>
      <c r="BM91" s="48">
        <f t="shared" si="212"/>
        <v>0</v>
      </c>
      <c r="BN91" s="48">
        <f t="shared" si="213"/>
        <v>0</v>
      </c>
      <c r="BO91" s="48">
        <f t="shared" si="214"/>
        <v>0</v>
      </c>
      <c r="BP91" s="48">
        <f t="shared" si="215"/>
        <v>0</v>
      </c>
      <c r="BQ91" s="48">
        <f t="shared" si="216"/>
        <v>0</v>
      </c>
      <c r="BR91" s="48">
        <f t="shared" si="217"/>
        <v>0</v>
      </c>
      <c r="BS91" s="48"/>
      <c r="BT91" s="48">
        <f t="shared" si="218"/>
        <v>9.9183907845969122E-4</v>
      </c>
      <c r="BU91" s="48">
        <f t="shared" si="219"/>
        <v>0</v>
      </c>
      <c r="BV91" s="48">
        <f t="shared" si="220"/>
        <v>0</v>
      </c>
      <c r="BW91" s="48">
        <f t="shared" si="221"/>
        <v>1.6301316943252364E-3</v>
      </c>
      <c r="BX91" s="48">
        <f t="shared" si="222"/>
        <v>5.7973918893771742E-3</v>
      </c>
      <c r="BY91" s="48">
        <f t="shared" si="223"/>
        <v>8.8644888317823724E-3</v>
      </c>
      <c r="BZ91" s="48">
        <f t="shared" si="224"/>
        <v>2.8682146889207581E-3</v>
      </c>
      <c r="CA91" s="48">
        <f t="shared" si="225"/>
        <v>0</v>
      </c>
      <c r="CB91" s="48">
        <f t="shared" si="226"/>
        <v>4.3023325538166339E-3</v>
      </c>
      <c r="CC91" s="48">
        <f t="shared" si="227"/>
        <v>1.7962279213651331E-3</v>
      </c>
      <c r="CD91" s="48">
        <f t="shared" si="228"/>
        <v>1.0397504598896265E-3</v>
      </c>
      <c r="CE91" s="48">
        <f t="shared" si="229"/>
        <v>1.4092777451556078E-3</v>
      </c>
      <c r="CF91" s="48">
        <f t="shared" si="230"/>
        <v>2.4856623577564092E-3</v>
      </c>
      <c r="CG91" s="48">
        <f t="shared" si="231"/>
        <v>0</v>
      </c>
      <c r="CH91" s="48">
        <f t="shared" si="232"/>
        <v>0</v>
      </c>
      <c r="CI91" s="48">
        <f t="shared" si="233"/>
        <v>0</v>
      </c>
      <c r="CJ91" s="48">
        <f t="shared" si="234"/>
        <v>0</v>
      </c>
      <c r="CK91" s="48">
        <f t="shared" si="235"/>
        <v>1.4188799716224007E-3</v>
      </c>
      <c r="CL91" s="48">
        <f t="shared" si="236"/>
        <v>4.0435402639132081E-3</v>
      </c>
      <c r="CM91" s="48">
        <f t="shared" si="237"/>
        <v>0</v>
      </c>
      <c r="CN91" s="48">
        <f t="shared" si="258"/>
        <v>1.911819443034548E-3</v>
      </c>
      <c r="CO91" s="48">
        <f t="shared" si="259"/>
        <v>2.2039768461333529E-3</v>
      </c>
      <c r="CP91" s="48">
        <f t="shared" si="260"/>
        <v>0</v>
      </c>
      <c r="CQ91" s="48">
        <f t="shared" si="261"/>
        <v>0</v>
      </c>
      <c r="CR91" s="48">
        <f t="shared" si="262"/>
        <v>0</v>
      </c>
      <c r="CS91" s="48">
        <f t="shared" si="263"/>
        <v>0</v>
      </c>
      <c r="CT91" s="68">
        <f t="shared" si="264"/>
        <v>0.99866050366254067</v>
      </c>
      <c r="CU91" s="68">
        <f t="shared" si="265"/>
        <v>0.9965307334846184</v>
      </c>
      <c r="CW91" s="42">
        <v>250</v>
      </c>
      <c r="CX91" s="58">
        <f t="shared" si="316"/>
        <v>22929</v>
      </c>
      <c r="CY91" s="58">
        <f t="shared" si="317"/>
        <v>19148</v>
      </c>
      <c r="CZ91" s="58">
        <f t="shared" si="318"/>
        <v>22877</v>
      </c>
      <c r="DA91" s="58">
        <f t="shared" si="319"/>
        <v>430</v>
      </c>
      <c r="DB91" s="58">
        <f t="shared" si="320"/>
        <v>2520</v>
      </c>
      <c r="DC91" s="58">
        <f t="shared" si="321"/>
        <v>11456</v>
      </c>
      <c r="DD91" s="58">
        <f t="shared" si="322"/>
        <v>10669</v>
      </c>
      <c r="DE91" s="58">
        <f t="shared" si="323"/>
        <v>9414</v>
      </c>
      <c r="DF91" s="58">
        <f t="shared" si="324"/>
        <v>12990</v>
      </c>
      <c r="DG91" s="58">
        <f t="shared" si="325"/>
        <v>1826</v>
      </c>
      <c r="DH91" s="58">
        <f t="shared" si="326"/>
        <v>28669</v>
      </c>
      <c r="DI91" s="58">
        <f t="shared" si="327"/>
        <v>72330</v>
      </c>
      <c r="DJ91" s="58">
        <f t="shared" si="328"/>
        <v>45039</v>
      </c>
      <c r="DK91" s="58">
        <f t="shared" si="329"/>
        <v>10231</v>
      </c>
      <c r="DL91" s="58">
        <f t="shared" si="330"/>
        <v>24707</v>
      </c>
      <c r="DM91" s="58">
        <f t="shared" si="331"/>
        <v>39216</v>
      </c>
      <c r="DN91" s="58">
        <f t="shared" si="332"/>
        <v>34216</v>
      </c>
      <c r="DO91" s="58">
        <f t="shared" si="333"/>
        <v>18725</v>
      </c>
      <c r="DP91" s="58">
        <f t="shared" si="334"/>
        <v>28127</v>
      </c>
      <c r="DQ91" s="58"/>
      <c r="DR91" s="58">
        <f t="shared" si="335"/>
        <v>56933</v>
      </c>
      <c r="DS91" s="58">
        <f t="shared" si="336"/>
        <v>2948</v>
      </c>
      <c r="DT91" s="58">
        <f t="shared" si="337"/>
        <v>3652</v>
      </c>
      <c r="DU91" s="58">
        <f t="shared" si="338"/>
        <v>23865.447414749116</v>
      </c>
      <c r="DV91" s="58">
        <f t="shared" si="339"/>
        <v>68813</v>
      </c>
      <c r="DW91" s="58">
        <f t="shared" si="340"/>
        <v>76433</v>
      </c>
      <c r="DX91" s="58">
        <f t="shared" si="341"/>
        <v>64651</v>
      </c>
      <c r="DY91" s="58">
        <f t="shared" si="303"/>
        <v>101067</v>
      </c>
      <c r="DZ91" s="58">
        <f t="shared" si="304"/>
        <v>65238</v>
      </c>
      <c r="EA91" s="58">
        <f t="shared" si="305"/>
        <v>10004</v>
      </c>
      <c r="EB91" s="58">
        <f t="shared" si="306"/>
        <v>12448</v>
      </c>
      <c r="EC91" s="58">
        <f t="shared" si="307"/>
        <v>16938</v>
      </c>
      <c r="ED91" s="58">
        <f t="shared" si="308"/>
        <v>22515.20627986913</v>
      </c>
      <c r="EE91" s="58">
        <f t="shared" si="309"/>
        <v>40272</v>
      </c>
      <c r="EF91" s="58">
        <f t="shared" si="310"/>
        <v>48355</v>
      </c>
      <c r="EG91" s="58">
        <f t="shared" si="311"/>
        <v>19485.409303526412</v>
      </c>
      <c r="EH91" s="58">
        <f t="shared" si="312"/>
        <v>13539.404372589403</v>
      </c>
      <c r="EI91" s="58">
        <f t="shared" si="313"/>
        <v>22553</v>
      </c>
      <c r="EJ91" s="58">
        <f t="shared" si="314"/>
        <v>54834</v>
      </c>
      <c r="EK91" s="58">
        <f t="shared" si="315"/>
        <v>72409</v>
      </c>
      <c r="EL91" s="58">
        <f t="shared" si="296"/>
        <v>58998</v>
      </c>
      <c r="EM91" s="58">
        <f t="shared" si="297"/>
        <v>41231</v>
      </c>
      <c r="EN91" s="58">
        <f t="shared" si="298"/>
        <v>60004</v>
      </c>
      <c r="EO91" s="58">
        <f t="shared" si="299"/>
        <v>85785</v>
      </c>
      <c r="EP91" s="58">
        <f t="shared" si="300"/>
        <v>153406</v>
      </c>
      <c r="EQ91" s="58">
        <f t="shared" si="301"/>
        <v>210303</v>
      </c>
      <c r="ER91" s="67">
        <f t="shared" si="266"/>
        <v>77306.240437258937</v>
      </c>
      <c r="ES91" s="67">
        <f t="shared" si="267"/>
        <v>42849.157740749615</v>
      </c>
      <c r="EV91" s="42">
        <v>250</v>
      </c>
      <c r="EW91" s="128">
        <f t="shared" si="343"/>
        <v>0.99947691905322344</v>
      </c>
      <c r="EX91" s="128">
        <f t="shared" si="343"/>
        <v>1</v>
      </c>
      <c r="EY91" s="128">
        <f t="shared" si="343"/>
        <v>1</v>
      </c>
      <c r="EZ91" s="128">
        <f t="shared" si="343"/>
        <v>1</v>
      </c>
      <c r="FA91" s="128">
        <f t="shared" si="343"/>
        <v>0.99801980198019802</v>
      </c>
      <c r="FB91" s="128">
        <f t="shared" si="343"/>
        <v>0.99358196010407629</v>
      </c>
      <c r="FC91" s="128">
        <f t="shared" si="343"/>
        <v>1</v>
      </c>
      <c r="FD91" s="128">
        <f t="shared" si="343"/>
        <v>1</v>
      </c>
      <c r="FE91" s="128">
        <f t="shared" si="343"/>
        <v>1</v>
      </c>
      <c r="FF91" s="128">
        <f t="shared" si="343"/>
        <v>0.96716101694915257</v>
      </c>
      <c r="FG91" s="128">
        <f t="shared" si="343"/>
        <v>1</v>
      </c>
      <c r="FH91" s="128">
        <f t="shared" si="343"/>
        <v>0.99742129431719462</v>
      </c>
      <c r="FI91" s="128">
        <f t="shared" si="343"/>
        <v>1</v>
      </c>
      <c r="FJ91" s="128">
        <f t="shared" si="343"/>
        <v>1</v>
      </c>
      <c r="FK91" s="128">
        <f t="shared" si="343"/>
        <v>1</v>
      </c>
      <c r="FL91" s="128">
        <f t="shared" si="344"/>
        <v>1</v>
      </c>
      <c r="FM91" s="128">
        <f t="shared" si="345"/>
        <v>1</v>
      </c>
      <c r="FN91" s="128">
        <f t="shared" si="346"/>
        <v>1</v>
      </c>
      <c r="FO91" s="128">
        <f t="shared" si="347"/>
        <v>1</v>
      </c>
      <c r="FP91" s="128"/>
      <c r="FQ91" s="128">
        <f t="shared" si="348"/>
        <v>0.99067323252536155</v>
      </c>
      <c r="FR91" s="128">
        <f t="shared" si="348"/>
        <v>1</v>
      </c>
      <c r="FS91" s="128">
        <f t="shared" si="348"/>
        <v>0.99754165528544114</v>
      </c>
      <c r="FT91" s="128">
        <f t="shared" si="348"/>
        <v>0.99753390333422598</v>
      </c>
      <c r="FU91" s="128">
        <f t="shared" si="348"/>
        <v>0.98502698292274438</v>
      </c>
      <c r="FV91" s="128">
        <f t="shared" si="348"/>
        <v>0.99200508767148177</v>
      </c>
      <c r="FW91" s="128">
        <f t="shared" si="348"/>
        <v>0.98634546730540384</v>
      </c>
      <c r="FX91" s="128">
        <f t="shared" si="348"/>
        <v>1</v>
      </c>
      <c r="FY91" s="128">
        <f t="shared" si="348"/>
        <v>0.97796366252923184</v>
      </c>
      <c r="FZ91" s="128">
        <f t="shared" si="348"/>
        <v>0.99830356251871066</v>
      </c>
      <c r="GA91" s="128">
        <f t="shared" si="348"/>
        <v>0.99560105574662083</v>
      </c>
      <c r="GB91" s="128">
        <f t="shared" si="348"/>
        <v>0.99459776864357019</v>
      </c>
      <c r="GC91" s="128">
        <f t="shared" si="348"/>
        <v>0.99937858441056093</v>
      </c>
      <c r="GD91" s="128">
        <f t="shared" si="348"/>
        <v>1</v>
      </c>
      <c r="GE91" s="128">
        <f t="shared" si="348"/>
        <v>1</v>
      </c>
      <c r="GF91" s="128">
        <f t="shared" si="349"/>
        <v>1</v>
      </c>
      <c r="GG91" s="128">
        <f t="shared" si="350"/>
        <v>1</v>
      </c>
      <c r="GH91" s="128">
        <f t="shared" si="351"/>
        <v>1</v>
      </c>
      <c r="GI91" s="128">
        <f t="shared" si="352"/>
        <v>0.98983699478311105</v>
      </c>
      <c r="GJ91" s="128">
        <f t="shared" si="353"/>
        <v>1</v>
      </c>
      <c r="GK91" s="128">
        <f t="shared" si="354"/>
        <v>0.99817277433763074</v>
      </c>
      <c r="GL91" s="128">
        <f t="shared" si="289"/>
        <v>0.99859526750466221</v>
      </c>
      <c r="GM91" s="128">
        <f t="shared" si="290"/>
        <v>1</v>
      </c>
      <c r="GN91" s="128">
        <f t="shared" si="291"/>
        <v>1</v>
      </c>
      <c r="GO91" s="128">
        <f t="shared" si="292"/>
        <v>1</v>
      </c>
      <c r="GP91" s="128">
        <f t="shared" si="293"/>
        <v>1</v>
      </c>
      <c r="GQ91" s="129">
        <f t="shared" si="294"/>
        <v>0.99866050366254044</v>
      </c>
      <c r="GR91" s="129">
        <f t="shared" si="295"/>
        <v>0.99653073348461907</v>
      </c>
    </row>
    <row r="92" spans="1:200" x14ac:dyDescent="0.25">
      <c r="A92" s="42">
        <v>251</v>
      </c>
      <c r="B92" s="81">
        <v>4</v>
      </c>
      <c r="C92" s="81"/>
      <c r="D92" s="81"/>
      <c r="E92" s="81"/>
      <c r="F92" s="81">
        <v>0</v>
      </c>
      <c r="G92" s="81">
        <v>21</v>
      </c>
      <c r="H92" s="81"/>
      <c r="I92" s="81"/>
      <c r="J92" s="81"/>
      <c r="K92" s="81">
        <v>5</v>
      </c>
      <c r="L92" s="81"/>
      <c r="M92" s="81">
        <v>7</v>
      </c>
      <c r="N92" s="81"/>
      <c r="O92" s="81"/>
      <c r="P92" s="81"/>
      <c r="Q92" s="81"/>
      <c r="R92" s="81"/>
      <c r="S92" s="81"/>
      <c r="T92" s="81"/>
      <c r="V92" s="81">
        <v>178</v>
      </c>
      <c r="W92" s="81"/>
      <c r="X92" s="81">
        <v>4</v>
      </c>
      <c r="Y92" s="81">
        <v>20</v>
      </c>
      <c r="Z92" s="81">
        <v>354</v>
      </c>
      <c r="AA92" s="81">
        <v>239</v>
      </c>
      <c r="AB92" s="81">
        <v>146</v>
      </c>
      <c r="AC92" s="81"/>
      <c r="AD92" s="81">
        <v>505</v>
      </c>
      <c r="AE92" s="81">
        <v>5</v>
      </c>
      <c r="AF92" s="84">
        <v>17</v>
      </c>
      <c r="AG92" s="84">
        <v>12</v>
      </c>
      <c r="AH92" s="94">
        <v>14</v>
      </c>
      <c r="AI92" s="81"/>
      <c r="AJ92" s="81"/>
      <c r="AK92" s="81"/>
      <c r="AL92" s="81"/>
      <c r="AM92" s="81"/>
      <c r="AN92" s="96">
        <v>256</v>
      </c>
      <c r="AO92" s="81"/>
      <c r="AP92" s="81">
        <v>80</v>
      </c>
      <c r="AQ92" s="81">
        <v>58</v>
      </c>
      <c r="AR92" s="81"/>
      <c r="AS92" s="81"/>
      <c r="AT92" s="81"/>
      <c r="AU92" s="81"/>
      <c r="AV92" s="71">
        <f t="shared" si="302"/>
        <v>131.33333333333334</v>
      </c>
      <c r="AW92" s="71">
        <f t="shared" si="257"/>
        <v>77868.483691227157</v>
      </c>
      <c r="AY92" s="42">
        <v>251</v>
      </c>
      <c r="AZ92" s="48">
        <f t="shared" si="342"/>
        <v>1.7436031559217122E-4</v>
      </c>
      <c r="BA92" s="48">
        <f t="shared" si="200"/>
        <v>0</v>
      </c>
      <c r="BB92" s="48">
        <f t="shared" si="201"/>
        <v>0</v>
      </c>
      <c r="BC92" s="48">
        <f t="shared" si="202"/>
        <v>0</v>
      </c>
      <c r="BD92" s="48">
        <f t="shared" si="203"/>
        <v>0</v>
      </c>
      <c r="BE92" s="48">
        <f t="shared" si="204"/>
        <v>1.821335646140503E-3</v>
      </c>
      <c r="BF92" s="48">
        <f t="shared" si="205"/>
        <v>0</v>
      </c>
      <c r="BG92" s="48">
        <f t="shared" si="206"/>
        <v>0</v>
      </c>
      <c r="BH92" s="48">
        <f t="shared" si="207"/>
        <v>0</v>
      </c>
      <c r="BI92" s="48">
        <f t="shared" si="208"/>
        <v>2.6483050847457626E-3</v>
      </c>
      <c r="BJ92" s="48">
        <f t="shared" si="209"/>
        <v>0</v>
      </c>
      <c r="BK92" s="48">
        <f t="shared" si="210"/>
        <v>9.6529089730683845E-5</v>
      </c>
      <c r="BL92" s="48">
        <f t="shared" si="211"/>
        <v>0</v>
      </c>
      <c r="BM92" s="48">
        <f t="shared" si="212"/>
        <v>0</v>
      </c>
      <c r="BN92" s="48">
        <f t="shared" si="213"/>
        <v>0</v>
      </c>
      <c r="BO92" s="48">
        <f t="shared" si="214"/>
        <v>0</v>
      </c>
      <c r="BP92" s="48">
        <f t="shared" si="215"/>
        <v>0</v>
      </c>
      <c r="BQ92" s="48">
        <f t="shared" si="216"/>
        <v>0</v>
      </c>
      <c r="BR92" s="48">
        <f t="shared" si="217"/>
        <v>0</v>
      </c>
      <c r="BS92" s="48"/>
      <c r="BT92" s="48">
        <f t="shared" si="218"/>
        <v>3.0973220344881589E-3</v>
      </c>
      <c r="BU92" s="48">
        <f t="shared" si="219"/>
        <v>0</v>
      </c>
      <c r="BV92" s="48">
        <f t="shared" si="220"/>
        <v>1.0925976509150504E-3</v>
      </c>
      <c r="BW92" s="48">
        <f t="shared" si="221"/>
        <v>8.3596497144883925E-4</v>
      </c>
      <c r="BX92" s="48">
        <f t="shared" si="222"/>
        <v>5.0673499477519E-3</v>
      </c>
      <c r="BY92" s="48">
        <f t="shared" si="223"/>
        <v>3.1019221534348274E-3</v>
      </c>
      <c r="BZ92" s="48">
        <f t="shared" si="224"/>
        <v>2.2274433222469717E-3</v>
      </c>
      <c r="CA92" s="48">
        <f t="shared" si="225"/>
        <v>0</v>
      </c>
      <c r="CB92" s="48">
        <f t="shared" si="226"/>
        <v>7.5703064100257839E-3</v>
      </c>
      <c r="CC92" s="48">
        <f t="shared" si="227"/>
        <v>4.9895220037920367E-4</v>
      </c>
      <c r="CD92" s="48">
        <f t="shared" si="228"/>
        <v>1.3596736783172039E-3</v>
      </c>
      <c r="CE92" s="48">
        <f t="shared" si="229"/>
        <v>7.046388725778039E-4</v>
      </c>
      <c r="CF92" s="48">
        <f t="shared" si="230"/>
        <v>6.2141558943910229E-4</v>
      </c>
      <c r="CG92" s="48">
        <f t="shared" si="231"/>
        <v>0</v>
      </c>
      <c r="CH92" s="48">
        <f t="shared" si="232"/>
        <v>0</v>
      </c>
      <c r="CI92" s="48">
        <f t="shared" si="233"/>
        <v>0</v>
      </c>
      <c r="CJ92" s="48">
        <f t="shared" si="234"/>
        <v>0</v>
      </c>
      <c r="CK92" s="48">
        <f t="shared" si="235"/>
        <v>0</v>
      </c>
      <c r="CL92" s="48">
        <f t="shared" si="236"/>
        <v>4.6211888730436669E-3</v>
      </c>
      <c r="CM92" s="48">
        <f t="shared" si="237"/>
        <v>0</v>
      </c>
      <c r="CN92" s="48">
        <f t="shared" si="258"/>
        <v>1.3535004906439279E-3</v>
      </c>
      <c r="CO92" s="48">
        <f t="shared" si="259"/>
        <v>1.4047324953377412E-3</v>
      </c>
      <c r="CP92" s="48">
        <f t="shared" si="260"/>
        <v>0</v>
      </c>
      <c r="CQ92" s="48">
        <f t="shared" si="261"/>
        <v>0</v>
      </c>
      <c r="CR92" s="48">
        <f t="shared" si="262"/>
        <v>0</v>
      </c>
      <c r="CS92" s="48">
        <f t="shared" si="263"/>
        <v>0</v>
      </c>
      <c r="CT92" s="68">
        <f t="shared" si="264"/>
        <v>0.99939844584844317</v>
      </c>
      <c r="CU92" s="68">
        <f t="shared" si="265"/>
        <v>0.99746056710682984</v>
      </c>
      <c r="CW92" s="42">
        <v>251</v>
      </c>
      <c r="CX92" s="58">
        <f t="shared" si="316"/>
        <v>22933</v>
      </c>
      <c r="CY92" s="58">
        <f t="shared" si="317"/>
        <v>19148</v>
      </c>
      <c r="CZ92" s="58">
        <f t="shared" si="318"/>
        <v>22877</v>
      </c>
      <c r="DA92" s="58">
        <f t="shared" si="319"/>
        <v>430</v>
      </c>
      <c r="DB92" s="58">
        <f t="shared" si="320"/>
        <v>2520</v>
      </c>
      <c r="DC92" s="58">
        <f t="shared" si="321"/>
        <v>11477</v>
      </c>
      <c r="DD92" s="58">
        <f t="shared" si="322"/>
        <v>10669</v>
      </c>
      <c r="DE92" s="58">
        <f t="shared" si="323"/>
        <v>9414</v>
      </c>
      <c r="DF92" s="58">
        <f t="shared" si="324"/>
        <v>12990</v>
      </c>
      <c r="DG92" s="58">
        <f t="shared" si="325"/>
        <v>1831</v>
      </c>
      <c r="DH92" s="58">
        <f t="shared" si="326"/>
        <v>28669</v>
      </c>
      <c r="DI92" s="58">
        <f t="shared" si="327"/>
        <v>72337</v>
      </c>
      <c r="DJ92" s="58">
        <f t="shared" si="328"/>
        <v>45039</v>
      </c>
      <c r="DK92" s="58">
        <f t="shared" si="329"/>
        <v>10231</v>
      </c>
      <c r="DL92" s="58">
        <f t="shared" si="330"/>
        <v>24707</v>
      </c>
      <c r="DM92" s="58">
        <f t="shared" si="331"/>
        <v>39216</v>
      </c>
      <c r="DN92" s="58">
        <f t="shared" si="332"/>
        <v>34216</v>
      </c>
      <c r="DO92" s="58">
        <f t="shared" si="333"/>
        <v>18725</v>
      </c>
      <c r="DP92" s="58">
        <f t="shared" si="334"/>
        <v>28127</v>
      </c>
      <c r="DQ92" s="58"/>
      <c r="DR92" s="58">
        <f t="shared" si="335"/>
        <v>57111</v>
      </c>
      <c r="DS92" s="58">
        <f t="shared" si="336"/>
        <v>2948</v>
      </c>
      <c r="DT92" s="58">
        <f t="shared" si="337"/>
        <v>3656</v>
      </c>
      <c r="DU92" s="58">
        <f t="shared" si="338"/>
        <v>23885.447414749116</v>
      </c>
      <c r="DV92" s="58">
        <f t="shared" si="339"/>
        <v>69167</v>
      </c>
      <c r="DW92" s="58">
        <f t="shared" si="340"/>
        <v>76672</v>
      </c>
      <c r="DX92" s="58">
        <f t="shared" si="341"/>
        <v>64797</v>
      </c>
      <c r="DY92" s="58">
        <f t="shared" si="303"/>
        <v>101067</v>
      </c>
      <c r="DZ92" s="58">
        <f t="shared" si="304"/>
        <v>65743</v>
      </c>
      <c r="EA92" s="58">
        <f t="shared" si="305"/>
        <v>10009</v>
      </c>
      <c r="EB92" s="58">
        <f t="shared" si="306"/>
        <v>12465</v>
      </c>
      <c r="EC92" s="58">
        <f t="shared" si="307"/>
        <v>16950</v>
      </c>
      <c r="ED92" s="58">
        <f t="shared" si="308"/>
        <v>22529.20627986913</v>
      </c>
      <c r="EE92" s="58">
        <f t="shared" si="309"/>
        <v>40272</v>
      </c>
      <c r="EF92" s="58">
        <f t="shared" si="310"/>
        <v>48355</v>
      </c>
      <c r="EG92" s="58">
        <f t="shared" si="311"/>
        <v>19485.409303526412</v>
      </c>
      <c r="EH92" s="58">
        <f t="shared" si="312"/>
        <v>13539.404372589403</v>
      </c>
      <c r="EI92" s="58">
        <f t="shared" si="313"/>
        <v>22553</v>
      </c>
      <c r="EJ92" s="58">
        <f t="shared" si="314"/>
        <v>55090</v>
      </c>
      <c r="EK92" s="58">
        <f t="shared" si="315"/>
        <v>72409</v>
      </c>
      <c r="EL92" s="58">
        <f t="shared" si="296"/>
        <v>59078</v>
      </c>
      <c r="EM92" s="58">
        <f t="shared" si="297"/>
        <v>41289</v>
      </c>
      <c r="EN92" s="58">
        <f t="shared" si="298"/>
        <v>60004</v>
      </c>
      <c r="EO92" s="58">
        <f t="shared" si="299"/>
        <v>85785</v>
      </c>
      <c r="EP92" s="58">
        <f t="shared" si="300"/>
        <v>153406</v>
      </c>
      <c r="EQ92" s="58">
        <f t="shared" si="301"/>
        <v>210303</v>
      </c>
      <c r="ER92" s="67">
        <f t="shared" si="266"/>
        <v>77345.640437258946</v>
      </c>
      <c r="ES92" s="67">
        <f t="shared" si="267"/>
        <v>42896.011399286195</v>
      </c>
      <c r="EV92" s="42">
        <v>251</v>
      </c>
      <c r="EW92" s="128">
        <f t="shared" si="343"/>
        <v>0.9996512793688157</v>
      </c>
      <c r="EX92" s="128">
        <f t="shared" si="343"/>
        <v>1</v>
      </c>
      <c r="EY92" s="128">
        <f t="shared" si="343"/>
        <v>1</v>
      </c>
      <c r="EZ92" s="128">
        <f t="shared" si="343"/>
        <v>1</v>
      </c>
      <c r="FA92" s="128">
        <f t="shared" si="343"/>
        <v>0.99801980198019802</v>
      </c>
      <c r="FB92" s="128">
        <f t="shared" si="343"/>
        <v>0.9954032957502168</v>
      </c>
      <c r="FC92" s="128">
        <f t="shared" si="343"/>
        <v>1</v>
      </c>
      <c r="FD92" s="128">
        <f t="shared" si="343"/>
        <v>1</v>
      </c>
      <c r="FE92" s="128">
        <f t="shared" si="343"/>
        <v>1</v>
      </c>
      <c r="FF92" s="128">
        <f t="shared" si="343"/>
        <v>0.96980932203389836</v>
      </c>
      <c r="FG92" s="128">
        <f t="shared" si="343"/>
        <v>1</v>
      </c>
      <c r="FH92" s="128">
        <f t="shared" si="343"/>
        <v>0.9975178234069253</v>
      </c>
      <c r="FI92" s="128">
        <f t="shared" si="343"/>
        <v>1</v>
      </c>
      <c r="FJ92" s="128">
        <f t="shared" si="343"/>
        <v>1</v>
      </c>
      <c r="FK92" s="128">
        <f t="shared" si="343"/>
        <v>1</v>
      </c>
      <c r="FL92" s="128">
        <f t="shared" si="344"/>
        <v>1</v>
      </c>
      <c r="FM92" s="128">
        <f t="shared" si="345"/>
        <v>1</v>
      </c>
      <c r="FN92" s="128">
        <f t="shared" si="346"/>
        <v>1</v>
      </c>
      <c r="FO92" s="128">
        <f t="shared" si="347"/>
        <v>1</v>
      </c>
      <c r="FP92" s="128"/>
      <c r="FQ92" s="128">
        <f t="shared" si="348"/>
        <v>0.99377055455984964</v>
      </c>
      <c r="FR92" s="128">
        <f t="shared" si="348"/>
        <v>1</v>
      </c>
      <c r="FS92" s="128">
        <f t="shared" si="348"/>
        <v>0.99863425293635621</v>
      </c>
      <c r="FT92" s="128">
        <f t="shared" si="348"/>
        <v>0.99836986830567476</v>
      </c>
      <c r="FU92" s="128">
        <f t="shared" si="348"/>
        <v>0.99009433287049631</v>
      </c>
      <c r="FV92" s="128">
        <f t="shared" si="348"/>
        <v>0.99510700982491662</v>
      </c>
      <c r="FW92" s="128">
        <f t="shared" si="348"/>
        <v>0.98857291062765085</v>
      </c>
      <c r="FX92" s="128">
        <f t="shared" si="348"/>
        <v>1</v>
      </c>
      <c r="FY92" s="128">
        <f t="shared" si="348"/>
        <v>0.98553396893925771</v>
      </c>
      <c r="FZ92" s="128">
        <f t="shared" si="348"/>
        <v>0.99880251471908987</v>
      </c>
      <c r="GA92" s="128">
        <f t="shared" si="348"/>
        <v>0.99696072942493796</v>
      </c>
      <c r="GB92" s="128">
        <f t="shared" si="348"/>
        <v>0.99530240751614796</v>
      </c>
      <c r="GC92" s="128">
        <f t="shared" si="348"/>
        <v>1</v>
      </c>
      <c r="GD92" s="128">
        <f t="shared" si="348"/>
        <v>1</v>
      </c>
      <c r="GE92" s="128">
        <f t="shared" si="348"/>
        <v>1</v>
      </c>
      <c r="GF92" s="128">
        <f t="shared" si="349"/>
        <v>1</v>
      </c>
      <c r="GG92" s="128">
        <f t="shared" si="350"/>
        <v>1</v>
      </c>
      <c r="GH92" s="128">
        <f t="shared" si="351"/>
        <v>1</v>
      </c>
      <c r="GI92" s="128">
        <f t="shared" si="352"/>
        <v>0.99445818365615468</v>
      </c>
      <c r="GJ92" s="128">
        <f t="shared" si="353"/>
        <v>1</v>
      </c>
      <c r="GK92" s="128">
        <f t="shared" si="354"/>
        <v>0.99952627482827461</v>
      </c>
      <c r="GL92" s="128">
        <f t="shared" si="289"/>
        <v>1</v>
      </c>
      <c r="GM92" s="128">
        <f t="shared" si="290"/>
        <v>1</v>
      </c>
      <c r="GN92" s="128">
        <f t="shared" si="291"/>
        <v>1</v>
      </c>
      <c r="GO92" s="128">
        <f t="shared" si="292"/>
        <v>1</v>
      </c>
      <c r="GP92" s="128">
        <f t="shared" si="293"/>
        <v>1</v>
      </c>
      <c r="GQ92" s="129">
        <f t="shared" si="294"/>
        <v>0.99939844584844306</v>
      </c>
      <c r="GR92" s="129">
        <f t="shared" si="295"/>
        <v>0.99746056710683051</v>
      </c>
    </row>
    <row r="93" spans="1:200" x14ac:dyDescent="0.25">
      <c r="A93" s="42">
        <v>252</v>
      </c>
      <c r="B93" s="81">
        <v>5</v>
      </c>
      <c r="C93" s="81"/>
      <c r="D93" s="81"/>
      <c r="E93" s="81"/>
      <c r="F93" s="81">
        <v>2</v>
      </c>
      <c r="G93" s="81">
        <v>12</v>
      </c>
      <c r="H93" s="81"/>
      <c r="I93" s="81"/>
      <c r="J93" s="81"/>
      <c r="K93" s="81">
        <v>24</v>
      </c>
      <c r="L93" s="81"/>
      <c r="M93" s="81">
        <v>8</v>
      </c>
      <c r="N93" s="81"/>
      <c r="O93" s="81"/>
      <c r="P93" s="81"/>
      <c r="Q93" s="81"/>
      <c r="R93" s="81"/>
      <c r="S93" s="81"/>
      <c r="T93" s="81"/>
      <c r="V93" s="81">
        <v>358</v>
      </c>
      <c r="W93" s="81"/>
      <c r="X93" s="81">
        <v>2</v>
      </c>
      <c r="Y93" s="81">
        <v>13</v>
      </c>
      <c r="Z93" s="81">
        <v>159</v>
      </c>
      <c r="AA93" s="81">
        <v>95</v>
      </c>
      <c r="AB93" s="81">
        <v>81</v>
      </c>
      <c r="AC93" s="81"/>
      <c r="AD93" s="81">
        <v>236</v>
      </c>
      <c r="AE93" s="81">
        <v>6</v>
      </c>
      <c r="AF93" s="84">
        <v>31</v>
      </c>
      <c r="AG93" s="84">
        <v>80</v>
      </c>
      <c r="AH93" s="84"/>
      <c r="AI93" s="81"/>
      <c r="AJ93" s="81"/>
      <c r="AK93" s="81"/>
      <c r="AL93" s="81"/>
      <c r="AM93" s="81"/>
      <c r="AN93" s="96">
        <v>54</v>
      </c>
      <c r="AO93" s="81"/>
      <c r="AP93" s="81">
        <v>28</v>
      </c>
      <c r="AQ93" s="81"/>
      <c r="AR93" s="81"/>
      <c r="AS93" s="81"/>
      <c r="AT93" s="81"/>
      <c r="AU93" s="81"/>
      <c r="AV93" s="71">
        <f t="shared" si="302"/>
        <v>41</v>
      </c>
      <c r="AW93" s="71">
        <f t="shared" si="257"/>
        <v>77909.483691227157</v>
      </c>
      <c r="AY93" s="42">
        <v>252</v>
      </c>
      <c r="AZ93" s="48">
        <f t="shared" si="342"/>
        <v>2.1795039449021403E-4</v>
      </c>
      <c r="BA93" s="48">
        <f t="shared" si="200"/>
        <v>0</v>
      </c>
      <c r="BB93" s="48">
        <f t="shared" si="201"/>
        <v>0</v>
      </c>
      <c r="BC93" s="48">
        <f t="shared" si="202"/>
        <v>0</v>
      </c>
      <c r="BD93" s="48">
        <f t="shared" si="203"/>
        <v>7.9207920792079213E-4</v>
      </c>
      <c r="BE93" s="48">
        <f t="shared" si="204"/>
        <v>1.0407632263660018E-3</v>
      </c>
      <c r="BF93" s="48">
        <f t="shared" si="205"/>
        <v>0</v>
      </c>
      <c r="BG93" s="48">
        <f t="shared" si="206"/>
        <v>0</v>
      </c>
      <c r="BH93" s="48">
        <f t="shared" si="207"/>
        <v>0</v>
      </c>
      <c r="BI93" s="48">
        <f t="shared" si="208"/>
        <v>1.2711864406779662E-2</v>
      </c>
      <c r="BJ93" s="48">
        <f t="shared" si="209"/>
        <v>0</v>
      </c>
      <c r="BK93" s="48">
        <f t="shared" si="210"/>
        <v>1.103189596922101E-4</v>
      </c>
      <c r="BL93" s="48">
        <f t="shared" si="211"/>
        <v>0</v>
      </c>
      <c r="BM93" s="48">
        <f t="shared" si="212"/>
        <v>0</v>
      </c>
      <c r="BN93" s="48">
        <f t="shared" si="213"/>
        <v>0</v>
      </c>
      <c r="BO93" s="48">
        <f t="shared" si="214"/>
        <v>0</v>
      </c>
      <c r="BP93" s="48">
        <f t="shared" si="215"/>
        <v>0</v>
      </c>
      <c r="BQ93" s="48">
        <f t="shared" si="216"/>
        <v>0</v>
      </c>
      <c r="BR93" s="48">
        <f t="shared" si="217"/>
        <v>0</v>
      </c>
      <c r="BS93" s="48"/>
      <c r="BT93" s="48">
        <f t="shared" si="218"/>
        <v>6.2294454401503416E-3</v>
      </c>
      <c r="BU93" s="48">
        <f t="shared" si="219"/>
        <v>0</v>
      </c>
      <c r="BV93" s="48">
        <f t="shared" si="220"/>
        <v>5.4629882545752522E-4</v>
      </c>
      <c r="BW93" s="48">
        <f t="shared" si="221"/>
        <v>5.4337723144174549E-4</v>
      </c>
      <c r="BX93" s="48">
        <f t="shared" si="222"/>
        <v>2.2760131121258536E-3</v>
      </c>
      <c r="BY93" s="48">
        <f t="shared" si="223"/>
        <v>1.2329816091058937E-3</v>
      </c>
      <c r="BZ93" s="48">
        <f t="shared" si="224"/>
        <v>1.2357733500137308E-3</v>
      </c>
      <c r="CA93" s="48">
        <f t="shared" si="225"/>
        <v>0</v>
      </c>
      <c r="CB93" s="48">
        <f t="shared" si="226"/>
        <v>3.5378065599328415E-3</v>
      </c>
      <c r="CC93" s="48">
        <f t="shared" si="227"/>
        <v>5.9874264045504445E-4</v>
      </c>
      <c r="CD93" s="48">
        <f t="shared" si="228"/>
        <v>2.4794049428137248E-3</v>
      </c>
      <c r="CE93" s="48">
        <f t="shared" si="229"/>
        <v>4.6975924838520257E-3</v>
      </c>
      <c r="CF93" s="48">
        <f t="shared" si="230"/>
        <v>0</v>
      </c>
      <c r="CG93" s="48">
        <f t="shared" si="231"/>
        <v>0</v>
      </c>
      <c r="CH93" s="48">
        <f t="shared" si="232"/>
        <v>0</v>
      </c>
      <c r="CI93" s="48">
        <f t="shared" si="233"/>
        <v>0</v>
      </c>
      <c r="CJ93" s="48">
        <f t="shared" si="234"/>
        <v>0</v>
      </c>
      <c r="CK93" s="48">
        <f t="shared" si="235"/>
        <v>0</v>
      </c>
      <c r="CL93" s="48">
        <f t="shared" si="236"/>
        <v>9.7478202790764841E-4</v>
      </c>
      <c r="CM93" s="48">
        <f t="shared" si="237"/>
        <v>0</v>
      </c>
      <c r="CN93" s="48">
        <f t="shared" si="258"/>
        <v>4.7372517172537473E-4</v>
      </c>
      <c r="CO93" s="48">
        <f t="shared" si="259"/>
        <v>0</v>
      </c>
      <c r="CP93" s="48">
        <f t="shared" si="260"/>
        <v>0</v>
      </c>
      <c r="CQ93" s="48">
        <f t="shared" si="261"/>
        <v>0</v>
      </c>
      <c r="CR93" s="48">
        <f t="shared" si="262"/>
        <v>0</v>
      </c>
      <c r="CS93" s="48">
        <f t="shared" si="263"/>
        <v>0</v>
      </c>
      <c r="CT93" s="68">
        <f t="shared" si="264"/>
        <v>0.99954329656840646</v>
      </c>
      <c r="CU93" s="68">
        <f t="shared" si="265"/>
        <v>0.99842351757501868</v>
      </c>
      <c r="CW93" s="42">
        <v>252</v>
      </c>
      <c r="CX93" s="58">
        <f t="shared" si="316"/>
        <v>22938</v>
      </c>
      <c r="CY93" s="58">
        <f t="shared" si="317"/>
        <v>19148</v>
      </c>
      <c r="CZ93" s="58">
        <f t="shared" si="318"/>
        <v>22877</v>
      </c>
      <c r="DA93" s="58">
        <f t="shared" si="319"/>
        <v>430</v>
      </c>
      <c r="DB93" s="58">
        <f t="shared" si="320"/>
        <v>2522</v>
      </c>
      <c r="DC93" s="58">
        <f t="shared" si="321"/>
        <v>11489</v>
      </c>
      <c r="DD93" s="58">
        <f t="shared" si="322"/>
        <v>10669</v>
      </c>
      <c r="DE93" s="58">
        <f t="shared" si="323"/>
        <v>9414</v>
      </c>
      <c r="DF93" s="58">
        <f t="shared" si="324"/>
        <v>12990</v>
      </c>
      <c r="DG93" s="58">
        <f t="shared" si="325"/>
        <v>1855</v>
      </c>
      <c r="DH93" s="58">
        <f t="shared" si="326"/>
        <v>28669</v>
      </c>
      <c r="DI93" s="58">
        <f t="shared" si="327"/>
        <v>72345</v>
      </c>
      <c r="DJ93" s="58">
        <f t="shared" si="328"/>
        <v>45039</v>
      </c>
      <c r="DK93" s="58">
        <f t="shared" si="329"/>
        <v>10231</v>
      </c>
      <c r="DL93" s="58">
        <f t="shared" si="330"/>
        <v>24707</v>
      </c>
      <c r="DM93" s="58">
        <f t="shared" si="331"/>
        <v>39216</v>
      </c>
      <c r="DN93" s="58">
        <f t="shared" si="332"/>
        <v>34216</v>
      </c>
      <c r="DO93" s="58">
        <f t="shared" si="333"/>
        <v>18725</v>
      </c>
      <c r="DP93" s="58">
        <f t="shared" si="334"/>
        <v>28127</v>
      </c>
      <c r="DQ93" s="58"/>
      <c r="DR93" s="58">
        <f t="shared" si="335"/>
        <v>57469</v>
      </c>
      <c r="DS93" s="58">
        <f t="shared" si="336"/>
        <v>2948</v>
      </c>
      <c r="DT93" s="58">
        <f t="shared" si="337"/>
        <v>3658</v>
      </c>
      <c r="DU93" s="58">
        <f t="shared" si="338"/>
        <v>23898.447414749116</v>
      </c>
      <c r="DV93" s="58">
        <f t="shared" si="339"/>
        <v>69326</v>
      </c>
      <c r="DW93" s="58">
        <f t="shared" si="340"/>
        <v>76767</v>
      </c>
      <c r="DX93" s="58">
        <f t="shared" si="341"/>
        <v>64878</v>
      </c>
      <c r="DY93" s="58">
        <f t="shared" si="303"/>
        <v>101067</v>
      </c>
      <c r="DZ93" s="58">
        <f t="shared" si="304"/>
        <v>65979</v>
      </c>
      <c r="EA93" s="58">
        <f t="shared" si="305"/>
        <v>10015</v>
      </c>
      <c r="EB93" s="58">
        <f t="shared" si="306"/>
        <v>12496</v>
      </c>
      <c r="EC93" s="58">
        <f t="shared" si="307"/>
        <v>17030</v>
      </c>
      <c r="ED93" s="58">
        <f t="shared" si="308"/>
        <v>22529.20627986913</v>
      </c>
      <c r="EE93" s="58">
        <f t="shared" si="309"/>
        <v>40272</v>
      </c>
      <c r="EF93" s="58">
        <f t="shared" si="310"/>
        <v>48355</v>
      </c>
      <c r="EG93" s="58">
        <f t="shared" si="311"/>
        <v>19485.409303526412</v>
      </c>
      <c r="EH93" s="58">
        <f t="shared" si="312"/>
        <v>13539.404372589403</v>
      </c>
      <c r="EI93" s="58">
        <f t="shared" si="313"/>
        <v>22553</v>
      </c>
      <c r="EJ93" s="58">
        <f t="shared" si="314"/>
        <v>55144</v>
      </c>
      <c r="EK93" s="58">
        <f t="shared" si="315"/>
        <v>72409</v>
      </c>
      <c r="EL93" s="58">
        <f t="shared" si="296"/>
        <v>59106</v>
      </c>
      <c r="EM93" s="58">
        <f t="shared" si="297"/>
        <v>41289</v>
      </c>
      <c r="EN93" s="58">
        <f t="shared" si="298"/>
        <v>60004</v>
      </c>
      <c r="EO93" s="58">
        <f t="shared" si="299"/>
        <v>85785</v>
      </c>
      <c r="EP93" s="58">
        <f t="shared" si="300"/>
        <v>153406</v>
      </c>
      <c r="EQ93" s="58">
        <f t="shared" si="301"/>
        <v>210303</v>
      </c>
      <c r="ER93" s="67">
        <f t="shared" si="266"/>
        <v>77353.840437258943</v>
      </c>
      <c r="ES93" s="67">
        <f t="shared" si="267"/>
        <v>42925.011399286195</v>
      </c>
      <c r="EV93" s="42">
        <v>252</v>
      </c>
      <c r="EW93" s="128">
        <f t="shared" si="343"/>
        <v>0.99986922976330583</v>
      </c>
      <c r="EX93" s="128">
        <f t="shared" si="343"/>
        <v>1</v>
      </c>
      <c r="EY93" s="128">
        <f t="shared" si="343"/>
        <v>1</v>
      </c>
      <c r="EZ93" s="128">
        <f t="shared" si="343"/>
        <v>1</v>
      </c>
      <c r="FA93" s="128">
        <f t="shared" si="343"/>
        <v>0.99881188118811881</v>
      </c>
      <c r="FB93" s="128">
        <f t="shared" si="343"/>
        <v>0.99644405897658284</v>
      </c>
      <c r="FC93" s="128">
        <f t="shared" si="343"/>
        <v>1</v>
      </c>
      <c r="FD93" s="128">
        <f t="shared" si="343"/>
        <v>1</v>
      </c>
      <c r="FE93" s="128">
        <f t="shared" si="343"/>
        <v>1</v>
      </c>
      <c r="FF93" s="128">
        <f t="shared" si="343"/>
        <v>0.98252118644067798</v>
      </c>
      <c r="FG93" s="128">
        <f t="shared" si="343"/>
        <v>1</v>
      </c>
      <c r="FH93" s="128">
        <f t="shared" si="343"/>
        <v>0.99762814236661745</v>
      </c>
      <c r="FI93" s="128">
        <f t="shared" si="343"/>
        <v>1</v>
      </c>
      <c r="FJ93" s="128">
        <f t="shared" si="343"/>
        <v>1</v>
      </c>
      <c r="FK93" s="128">
        <f t="shared" si="343"/>
        <v>1</v>
      </c>
      <c r="FL93" s="128">
        <f t="shared" si="344"/>
        <v>1</v>
      </c>
      <c r="FM93" s="128">
        <f t="shared" si="345"/>
        <v>1</v>
      </c>
      <c r="FN93" s="128">
        <f t="shared" si="346"/>
        <v>1</v>
      </c>
      <c r="FO93" s="128">
        <f t="shared" si="347"/>
        <v>1</v>
      </c>
      <c r="FP93" s="128"/>
      <c r="FQ93" s="128">
        <f t="shared" si="348"/>
        <v>1</v>
      </c>
      <c r="FR93" s="128">
        <f t="shared" si="348"/>
        <v>1</v>
      </c>
      <c r="FS93" s="128">
        <f t="shared" si="348"/>
        <v>0.99918055176181375</v>
      </c>
      <c r="FT93" s="128">
        <f t="shared" si="348"/>
        <v>0.99891324553711647</v>
      </c>
      <c r="FU93" s="128">
        <f t="shared" si="348"/>
        <v>0.99237034598262219</v>
      </c>
      <c r="FV93" s="128">
        <f t="shared" si="348"/>
        <v>0.99633999143402252</v>
      </c>
      <c r="FW93" s="128">
        <f t="shared" si="348"/>
        <v>0.98980868397766453</v>
      </c>
      <c r="FX93" s="128">
        <f t="shared" si="348"/>
        <v>1</v>
      </c>
      <c r="FY93" s="128">
        <f t="shared" si="348"/>
        <v>0.98907177549919045</v>
      </c>
      <c r="FZ93" s="128">
        <f t="shared" si="348"/>
        <v>0.99940125735954499</v>
      </c>
      <c r="GA93" s="128">
        <f t="shared" si="348"/>
        <v>0.9994401343677517</v>
      </c>
      <c r="GB93" s="128">
        <f t="shared" si="348"/>
        <v>1</v>
      </c>
      <c r="GC93" s="128">
        <f t="shared" si="348"/>
        <v>1</v>
      </c>
      <c r="GD93" s="128">
        <f t="shared" si="348"/>
        <v>1</v>
      </c>
      <c r="GE93" s="128">
        <f t="shared" si="348"/>
        <v>1</v>
      </c>
      <c r="GF93" s="128">
        <f t="shared" si="349"/>
        <v>1</v>
      </c>
      <c r="GG93" s="128">
        <f t="shared" si="350"/>
        <v>1</v>
      </c>
      <c r="GH93" s="128">
        <f t="shared" si="351"/>
        <v>1</v>
      </c>
      <c r="GI93" s="128">
        <f t="shared" si="352"/>
        <v>0.99543296568406237</v>
      </c>
      <c r="GJ93" s="128">
        <f t="shared" si="353"/>
        <v>1</v>
      </c>
      <c r="GK93" s="128">
        <f t="shared" si="354"/>
        <v>1</v>
      </c>
      <c r="GL93" s="128">
        <f t="shared" si="289"/>
        <v>1</v>
      </c>
      <c r="GM93" s="128">
        <f t="shared" si="290"/>
        <v>1</v>
      </c>
      <c r="GN93" s="128">
        <f t="shared" si="291"/>
        <v>1</v>
      </c>
      <c r="GO93" s="128">
        <f t="shared" si="292"/>
        <v>1</v>
      </c>
      <c r="GP93" s="128">
        <f t="shared" si="293"/>
        <v>1</v>
      </c>
      <c r="GQ93" s="129">
        <f t="shared" si="294"/>
        <v>0.99954329656840635</v>
      </c>
      <c r="GR93" s="129">
        <f t="shared" si="295"/>
        <v>0.99842351757501913</v>
      </c>
    </row>
    <row r="94" spans="1:200" x14ac:dyDescent="0.25">
      <c r="A94" s="42">
        <v>253</v>
      </c>
      <c r="B94" s="81">
        <v>0</v>
      </c>
      <c r="C94" s="81"/>
      <c r="D94" s="81"/>
      <c r="E94" s="81"/>
      <c r="F94" s="81">
        <v>0</v>
      </c>
      <c r="G94" s="81">
        <v>11</v>
      </c>
      <c r="H94" s="81"/>
      <c r="I94" s="81"/>
      <c r="J94" s="81"/>
      <c r="K94" s="81">
        <v>6</v>
      </c>
      <c r="L94" s="81"/>
      <c r="M94" s="81">
        <v>3</v>
      </c>
      <c r="N94" s="81"/>
      <c r="O94" s="81"/>
      <c r="P94" s="81"/>
      <c r="Q94" s="81"/>
      <c r="R94" s="81"/>
      <c r="S94" s="81"/>
      <c r="T94" s="81"/>
      <c r="V94" s="81"/>
      <c r="W94" s="81"/>
      <c r="X94" s="81">
        <v>0</v>
      </c>
      <c r="Y94" s="81">
        <v>26</v>
      </c>
      <c r="Z94" s="81">
        <v>59</v>
      </c>
      <c r="AA94" s="81">
        <v>131</v>
      </c>
      <c r="AB94" s="81">
        <v>290</v>
      </c>
      <c r="AC94" s="81"/>
      <c r="AD94" s="81">
        <v>161</v>
      </c>
      <c r="AE94" s="81">
        <v>6</v>
      </c>
      <c r="AF94" s="84">
        <v>7</v>
      </c>
      <c r="AG94" s="84"/>
      <c r="AH94" s="84"/>
      <c r="AI94" s="81"/>
      <c r="AJ94" s="81"/>
      <c r="AK94" s="81"/>
      <c r="AL94" s="81"/>
      <c r="AM94" s="81"/>
      <c r="AN94" s="96">
        <v>253</v>
      </c>
      <c r="AO94" s="81"/>
      <c r="AP94" s="81"/>
      <c r="AQ94" s="81"/>
      <c r="AR94" s="81"/>
      <c r="AS94" s="81"/>
      <c r="AT94" s="81"/>
      <c r="AU94" s="81"/>
      <c r="AV94" s="71">
        <f t="shared" si="302"/>
        <v>253</v>
      </c>
      <c r="AW94" s="71">
        <f t="shared" si="257"/>
        <v>78162.483691227157</v>
      </c>
      <c r="AY94" s="42">
        <v>253</v>
      </c>
      <c r="AZ94" s="48">
        <f t="shared" si="342"/>
        <v>0</v>
      </c>
      <c r="BA94" s="48">
        <f t="shared" si="200"/>
        <v>0</v>
      </c>
      <c r="BB94" s="48">
        <f t="shared" si="201"/>
        <v>0</v>
      </c>
      <c r="BC94" s="48">
        <f t="shared" si="202"/>
        <v>0</v>
      </c>
      <c r="BD94" s="48">
        <f t="shared" si="203"/>
        <v>0</v>
      </c>
      <c r="BE94" s="48">
        <f t="shared" si="204"/>
        <v>9.5403295750216821E-4</v>
      </c>
      <c r="BF94" s="48">
        <f t="shared" si="205"/>
        <v>0</v>
      </c>
      <c r="BG94" s="48">
        <f t="shared" si="206"/>
        <v>0</v>
      </c>
      <c r="BH94" s="48">
        <f t="shared" si="207"/>
        <v>0</v>
      </c>
      <c r="BI94" s="48">
        <f t="shared" si="208"/>
        <v>3.1779661016949155E-3</v>
      </c>
      <c r="BJ94" s="48">
        <f t="shared" si="209"/>
        <v>0</v>
      </c>
      <c r="BK94" s="48">
        <f t="shared" si="210"/>
        <v>4.136960988457879E-5</v>
      </c>
      <c r="BL94" s="48">
        <f t="shared" si="211"/>
        <v>0</v>
      </c>
      <c r="BM94" s="48">
        <f t="shared" si="212"/>
        <v>0</v>
      </c>
      <c r="BN94" s="48">
        <f t="shared" si="213"/>
        <v>0</v>
      </c>
      <c r="BO94" s="48">
        <f t="shared" si="214"/>
        <v>0</v>
      </c>
      <c r="BP94" s="48">
        <f t="shared" si="215"/>
        <v>0</v>
      </c>
      <c r="BQ94" s="48">
        <f t="shared" si="216"/>
        <v>0</v>
      </c>
      <c r="BR94" s="48">
        <f t="shared" si="217"/>
        <v>0</v>
      </c>
      <c r="BS94" s="48"/>
      <c r="BT94" s="48">
        <f t="shared" si="218"/>
        <v>0</v>
      </c>
      <c r="BU94" s="48">
        <f t="shared" si="219"/>
        <v>0</v>
      </c>
      <c r="BV94" s="48">
        <f t="shared" si="220"/>
        <v>0</v>
      </c>
      <c r="BW94" s="48">
        <f t="shared" si="221"/>
        <v>1.086754462883491E-3</v>
      </c>
      <c r="BX94" s="48">
        <f t="shared" si="222"/>
        <v>8.4455832462531667E-4</v>
      </c>
      <c r="BY94" s="48">
        <f t="shared" si="223"/>
        <v>1.700216745188127E-3</v>
      </c>
      <c r="BZ94" s="48">
        <f t="shared" si="224"/>
        <v>4.4243737222713821E-3</v>
      </c>
      <c r="CA94" s="48">
        <f t="shared" si="225"/>
        <v>0</v>
      </c>
      <c r="CB94" s="48">
        <f t="shared" si="226"/>
        <v>2.4135036277507945E-3</v>
      </c>
      <c r="CC94" s="48">
        <f t="shared" si="227"/>
        <v>5.9874264045504445E-4</v>
      </c>
      <c r="CD94" s="48">
        <f t="shared" si="228"/>
        <v>5.5986563224826047E-4</v>
      </c>
      <c r="CE94" s="48">
        <f t="shared" si="229"/>
        <v>0</v>
      </c>
      <c r="CF94" s="48">
        <f t="shared" si="230"/>
        <v>0</v>
      </c>
      <c r="CG94" s="48">
        <f t="shared" si="231"/>
        <v>0</v>
      </c>
      <c r="CH94" s="48">
        <f t="shared" si="232"/>
        <v>0</v>
      </c>
      <c r="CI94" s="48">
        <f t="shared" si="233"/>
        <v>0</v>
      </c>
      <c r="CJ94" s="48">
        <f t="shared" si="234"/>
        <v>0</v>
      </c>
      <c r="CK94" s="48">
        <f t="shared" si="235"/>
        <v>0</v>
      </c>
      <c r="CL94" s="48">
        <f t="shared" si="236"/>
        <v>4.5670343159376859E-3</v>
      </c>
      <c r="CM94" s="48">
        <f t="shared" si="237"/>
        <v>0</v>
      </c>
      <c r="CN94" s="48">
        <f t="shared" si="258"/>
        <v>0</v>
      </c>
      <c r="CO94" s="48">
        <f t="shared" si="259"/>
        <v>0</v>
      </c>
      <c r="CP94" s="48">
        <f t="shared" si="260"/>
        <v>0</v>
      </c>
      <c r="CQ94" s="48">
        <f t="shared" si="261"/>
        <v>0</v>
      </c>
      <c r="CR94" s="48">
        <f t="shared" si="262"/>
        <v>0</v>
      </c>
      <c r="CS94" s="48">
        <f t="shared" si="263"/>
        <v>0</v>
      </c>
      <c r="CT94" s="68">
        <f t="shared" si="264"/>
        <v>1.0000000000000002</v>
      </c>
      <c r="CU94" s="68">
        <f t="shared" si="265"/>
        <v>0.9989203082613709</v>
      </c>
      <c r="CW94" s="42">
        <v>253</v>
      </c>
      <c r="CX94" s="58">
        <f t="shared" si="316"/>
        <v>22938</v>
      </c>
      <c r="CY94" s="58">
        <f t="shared" si="317"/>
        <v>19148</v>
      </c>
      <c r="CZ94" s="58">
        <f t="shared" si="318"/>
        <v>22877</v>
      </c>
      <c r="DA94" s="58">
        <f t="shared" si="319"/>
        <v>430</v>
      </c>
      <c r="DB94" s="58">
        <f t="shared" si="320"/>
        <v>2522</v>
      </c>
      <c r="DC94" s="58">
        <f t="shared" si="321"/>
        <v>11500</v>
      </c>
      <c r="DD94" s="58">
        <f t="shared" si="322"/>
        <v>10669</v>
      </c>
      <c r="DE94" s="58">
        <f t="shared" si="323"/>
        <v>9414</v>
      </c>
      <c r="DF94" s="58">
        <f t="shared" si="324"/>
        <v>12990</v>
      </c>
      <c r="DG94" s="58">
        <f t="shared" si="325"/>
        <v>1861</v>
      </c>
      <c r="DH94" s="58">
        <f t="shared" si="326"/>
        <v>28669</v>
      </c>
      <c r="DI94" s="58">
        <f t="shared" si="327"/>
        <v>72348</v>
      </c>
      <c r="DJ94" s="58">
        <f t="shared" si="328"/>
        <v>45039</v>
      </c>
      <c r="DK94" s="58">
        <f t="shared" si="329"/>
        <v>10231</v>
      </c>
      <c r="DL94" s="58">
        <f t="shared" si="330"/>
        <v>24707</v>
      </c>
      <c r="DM94" s="58">
        <f t="shared" si="331"/>
        <v>39216</v>
      </c>
      <c r="DN94" s="58">
        <f t="shared" si="332"/>
        <v>34216</v>
      </c>
      <c r="DO94" s="58">
        <f t="shared" si="333"/>
        <v>18725</v>
      </c>
      <c r="DP94" s="58">
        <f t="shared" si="334"/>
        <v>28127</v>
      </c>
      <c r="DQ94" s="58"/>
      <c r="DR94" s="58">
        <f t="shared" si="335"/>
        <v>57469</v>
      </c>
      <c r="DS94" s="58">
        <f t="shared" si="336"/>
        <v>2948</v>
      </c>
      <c r="DT94" s="58">
        <f t="shared" si="337"/>
        <v>3658</v>
      </c>
      <c r="DU94" s="58">
        <f t="shared" si="338"/>
        <v>23924.447414749116</v>
      </c>
      <c r="DV94" s="58">
        <f t="shared" si="339"/>
        <v>69385</v>
      </c>
      <c r="DW94" s="58">
        <f t="shared" si="340"/>
        <v>76898</v>
      </c>
      <c r="DX94" s="58">
        <f t="shared" si="341"/>
        <v>65168</v>
      </c>
      <c r="DY94" s="58">
        <f t="shared" si="303"/>
        <v>101067</v>
      </c>
      <c r="DZ94" s="58">
        <f t="shared" si="304"/>
        <v>66140</v>
      </c>
      <c r="EA94" s="58">
        <f t="shared" si="305"/>
        <v>10021</v>
      </c>
      <c r="EB94" s="58">
        <f t="shared" si="306"/>
        <v>12503</v>
      </c>
      <c r="EC94" s="58">
        <f t="shared" si="307"/>
        <v>17030</v>
      </c>
      <c r="ED94" s="58">
        <f t="shared" si="308"/>
        <v>22529.20627986913</v>
      </c>
      <c r="EE94" s="58">
        <f t="shared" si="309"/>
        <v>40272</v>
      </c>
      <c r="EF94" s="58">
        <f t="shared" si="310"/>
        <v>48355</v>
      </c>
      <c r="EG94" s="58">
        <f t="shared" si="311"/>
        <v>19485.409303526412</v>
      </c>
      <c r="EH94" s="58">
        <f t="shared" si="312"/>
        <v>13539.404372589403</v>
      </c>
      <c r="EI94" s="58">
        <f t="shared" si="313"/>
        <v>22553</v>
      </c>
      <c r="EJ94" s="58">
        <f t="shared" si="314"/>
        <v>55397</v>
      </c>
      <c r="EK94" s="58">
        <f t="shared" si="315"/>
        <v>72409</v>
      </c>
      <c r="EL94" s="58">
        <f t="shared" si="296"/>
        <v>59106</v>
      </c>
      <c r="EM94" s="58">
        <f t="shared" si="297"/>
        <v>41289</v>
      </c>
      <c r="EN94" s="58">
        <f t="shared" si="298"/>
        <v>60004</v>
      </c>
      <c r="EO94" s="58">
        <f t="shared" si="299"/>
        <v>85785</v>
      </c>
      <c r="EP94" s="58">
        <f t="shared" si="300"/>
        <v>153406</v>
      </c>
      <c r="EQ94" s="58">
        <f t="shared" si="301"/>
        <v>210303</v>
      </c>
      <c r="ER94" s="67">
        <f t="shared" si="266"/>
        <v>77379.140437258946</v>
      </c>
      <c r="ES94" s="67">
        <f t="shared" si="267"/>
        <v>42948.255301725221</v>
      </c>
      <c r="EV94" s="42">
        <v>253</v>
      </c>
      <c r="EW94" s="128">
        <f t="shared" si="343"/>
        <v>0.99986922976330583</v>
      </c>
      <c r="EX94" s="128">
        <f t="shared" si="343"/>
        <v>1</v>
      </c>
      <c r="EY94" s="128">
        <f t="shared" si="343"/>
        <v>1</v>
      </c>
      <c r="EZ94" s="128">
        <f t="shared" si="343"/>
        <v>1</v>
      </c>
      <c r="FA94" s="128">
        <f t="shared" si="343"/>
        <v>0.99881188118811881</v>
      </c>
      <c r="FB94" s="128">
        <f t="shared" si="343"/>
        <v>0.99739809193408502</v>
      </c>
      <c r="FC94" s="128">
        <f t="shared" si="343"/>
        <v>1</v>
      </c>
      <c r="FD94" s="128">
        <f t="shared" si="343"/>
        <v>1</v>
      </c>
      <c r="FE94" s="128">
        <f t="shared" si="343"/>
        <v>1</v>
      </c>
      <c r="FF94" s="128">
        <f t="shared" si="343"/>
        <v>0.98569915254237284</v>
      </c>
      <c r="FG94" s="128">
        <f t="shared" si="343"/>
        <v>1</v>
      </c>
      <c r="FH94" s="128">
        <f t="shared" si="343"/>
        <v>0.99766951197650211</v>
      </c>
      <c r="FI94" s="128">
        <f t="shared" si="343"/>
        <v>1</v>
      </c>
      <c r="FJ94" s="128">
        <f t="shared" si="343"/>
        <v>1</v>
      </c>
      <c r="FK94" s="128">
        <f t="shared" si="343"/>
        <v>1</v>
      </c>
      <c r="FL94" s="128">
        <f t="shared" si="344"/>
        <v>1</v>
      </c>
      <c r="FM94" s="128">
        <f t="shared" si="345"/>
        <v>1</v>
      </c>
      <c r="FN94" s="128">
        <f t="shared" si="346"/>
        <v>1</v>
      </c>
      <c r="FO94" s="128">
        <f t="shared" si="347"/>
        <v>1</v>
      </c>
      <c r="FP94" s="128"/>
      <c r="FQ94" s="128">
        <f t="shared" si="348"/>
        <v>1</v>
      </c>
      <c r="FR94" s="128">
        <f t="shared" si="348"/>
        <v>1</v>
      </c>
      <c r="FS94" s="128">
        <f t="shared" si="348"/>
        <v>0.99918055176181375</v>
      </c>
      <c r="FT94" s="128">
        <f t="shared" si="348"/>
        <v>1</v>
      </c>
      <c r="FU94" s="128">
        <f t="shared" si="348"/>
        <v>0.99321490430724746</v>
      </c>
      <c r="FV94" s="128">
        <f t="shared" si="348"/>
        <v>0.99804020817921069</v>
      </c>
      <c r="FW94" s="128">
        <f t="shared" si="348"/>
        <v>0.99423305769993597</v>
      </c>
      <c r="FX94" s="128">
        <f t="shared" si="348"/>
        <v>1</v>
      </c>
      <c r="FY94" s="128">
        <f t="shared" si="348"/>
        <v>0.99148527912694129</v>
      </c>
      <c r="FZ94" s="128">
        <f t="shared" si="348"/>
        <v>1</v>
      </c>
      <c r="GA94" s="128">
        <f t="shared" si="348"/>
        <v>1</v>
      </c>
      <c r="GB94" s="128">
        <f t="shared" si="348"/>
        <v>1</v>
      </c>
      <c r="GC94" s="128">
        <f t="shared" si="348"/>
        <v>1</v>
      </c>
      <c r="GD94" s="128">
        <f t="shared" si="348"/>
        <v>1</v>
      </c>
      <c r="GE94" s="128">
        <f t="shared" si="348"/>
        <v>1</v>
      </c>
      <c r="GF94" s="128">
        <f t="shared" si="349"/>
        <v>1</v>
      </c>
      <c r="GG94" s="128">
        <f t="shared" si="350"/>
        <v>1</v>
      </c>
      <c r="GH94" s="128">
        <f t="shared" si="351"/>
        <v>1</v>
      </c>
      <c r="GI94" s="128">
        <f t="shared" si="352"/>
        <v>1</v>
      </c>
      <c r="GJ94" s="128">
        <f t="shared" si="353"/>
        <v>1</v>
      </c>
      <c r="GK94" s="128">
        <f t="shared" si="354"/>
        <v>1</v>
      </c>
      <c r="GL94" s="128">
        <f t="shared" si="289"/>
        <v>1</v>
      </c>
      <c r="GM94" s="128">
        <f t="shared" si="290"/>
        <v>1</v>
      </c>
      <c r="GN94" s="128">
        <f t="shared" si="291"/>
        <v>1</v>
      </c>
      <c r="GO94" s="128">
        <f t="shared" si="292"/>
        <v>1</v>
      </c>
      <c r="GP94" s="128">
        <f t="shared" si="293"/>
        <v>1</v>
      </c>
      <c r="GQ94" s="129">
        <f t="shared" si="294"/>
        <v>1</v>
      </c>
      <c r="GR94" s="129">
        <f t="shared" si="295"/>
        <v>0.99892030826137146</v>
      </c>
    </row>
    <row r="95" spans="1:200" x14ac:dyDescent="0.25">
      <c r="A95" s="42">
        <v>254</v>
      </c>
      <c r="B95" s="81">
        <v>0</v>
      </c>
      <c r="C95" s="81"/>
      <c r="D95" s="81"/>
      <c r="E95" s="81"/>
      <c r="F95" s="81">
        <v>0</v>
      </c>
      <c r="G95" s="81">
        <v>5</v>
      </c>
      <c r="H95" s="81"/>
      <c r="I95" s="81"/>
      <c r="J95" s="81"/>
      <c r="K95" s="81">
        <v>7</v>
      </c>
      <c r="L95" s="81"/>
      <c r="M95" s="81">
        <v>14</v>
      </c>
      <c r="N95" s="81"/>
      <c r="O95" s="81"/>
      <c r="P95" s="81"/>
      <c r="Q95" s="81"/>
      <c r="R95" s="81"/>
      <c r="S95" s="81"/>
      <c r="T95" s="81"/>
      <c r="V95" s="81"/>
      <c r="W95" s="81"/>
      <c r="X95" s="81">
        <v>2</v>
      </c>
      <c r="Y95" s="81"/>
      <c r="Z95" s="81">
        <v>129</v>
      </c>
      <c r="AA95" s="81">
        <v>151</v>
      </c>
      <c r="AB95" s="81">
        <v>157</v>
      </c>
      <c r="AC95" s="81"/>
      <c r="AD95" s="81">
        <v>311</v>
      </c>
      <c r="AE95" s="81"/>
      <c r="AF95" s="81"/>
      <c r="AG95" s="81"/>
      <c r="AH95" s="97"/>
      <c r="AI95" s="81"/>
      <c r="AJ95" s="81"/>
      <c r="AK95" s="81"/>
      <c r="AL95" s="81"/>
      <c r="AM95" s="81"/>
      <c r="AN95" s="81"/>
      <c r="AO95" s="81"/>
      <c r="AP95" s="81"/>
      <c r="AQ95" s="81"/>
      <c r="AR95" s="81"/>
      <c r="AS95" s="81"/>
      <c r="AT95" s="81"/>
      <c r="AU95" s="81"/>
      <c r="AV95" s="71"/>
      <c r="AW95" s="71"/>
      <c r="AY95" s="42">
        <v>254</v>
      </c>
      <c r="AZ95" s="48">
        <f t="shared" si="342"/>
        <v>0</v>
      </c>
      <c r="BA95" s="48">
        <f t="shared" si="200"/>
        <v>0</v>
      </c>
      <c r="BB95" s="48">
        <f t="shared" si="201"/>
        <v>0</v>
      </c>
      <c r="BC95" s="48">
        <f t="shared" si="202"/>
        <v>0</v>
      </c>
      <c r="BD95" s="48">
        <f t="shared" si="203"/>
        <v>0</v>
      </c>
      <c r="BE95" s="48">
        <f t="shared" si="204"/>
        <v>4.3365134431916737E-4</v>
      </c>
      <c r="BF95" s="48">
        <f t="shared" si="205"/>
        <v>0</v>
      </c>
      <c r="BG95" s="48">
        <f t="shared" si="206"/>
        <v>0</v>
      </c>
      <c r="BH95" s="48">
        <f t="shared" si="207"/>
        <v>0</v>
      </c>
      <c r="BI95" s="48">
        <f t="shared" si="208"/>
        <v>3.7076271186440679E-3</v>
      </c>
      <c r="BJ95" s="48">
        <f t="shared" si="209"/>
        <v>0</v>
      </c>
      <c r="BK95" s="48">
        <f t="shared" si="210"/>
        <v>1.9305817946136769E-4</v>
      </c>
      <c r="BL95" s="48">
        <f t="shared" si="211"/>
        <v>0</v>
      </c>
      <c r="BM95" s="48">
        <f t="shared" si="212"/>
        <v>0</v>
      </c>
      <c r="BN95" s="48">
        <f t="shared" si="213"/>
        <v>0</v>
      </c>
      <c r="BO95" s="48">
        <f t="shared" si="214"/>
        <v>0</v>
      </c>
      <c r="BP95" s="48">
        <f t="shared" si="215"/>
        <v>0</v>
      </c>
      <c r="BQ95" s="48">
        <f t="shared" si="216"/>
        <v>0</v>
      </c>
      <c r="BR95" s="48">
        <f t="shared" si="217"/>
        <v>0</v>
      </c>
      <c r="BS95" s="48"/>
      <c r="BT95" s="48">
        <f t="shared" si="218"/>
        <v>0</v>
      </c>
      <c r="BU95" s="48">
        <f t="shared" si="219"/>
        <v>0</v>
      </c>
      <c r="BV95" s="48">
        <f t="shared" si="220"/>
        <v>5.4629882545752522E-4</v>
      </c>
      <c r="BW95" s="48">
        <f t="shared" si="221"/>
        <v>0</v>
      </c>
      <c r="BX95" s="48">
        <f t="shared" si="222"/>
        <v>1.8465766758756924E-3</v>
      </c>
      <c r="BY95" s="48">
        <f t="shared" si="223"/>
        <v>1.9597918207893677E-3</v>
      </c>
      <c r="BZ95" s="48">
        <f t="shared" si="224"/>
        <v>2.3952643944710585E-3</v>
      </c>
      <c r="CA95" s="48">
        <f t="shared" si="225"/>
        <v>0</v>
      </c>
      <c r="CB95" s="48">
        <f t="shared" si="226"/>
        <v>4.662109492114889E-3</v>
      </c>
      <c r="CC95" s="48">
        <f t="shared" si="227"/>
        <v>0</v>
      </c>
      <c r="CD95" s="48">
        <f t="shared" si="228"/>
        <v>0</v>
      </c>
      <c r="CE95" s="48">
        <f t="shared" si="229"/>
        <v>0</v>
      </c>
      <c r="CF95" s="48">
        <f t="shared" si="230"/>
        <v>0</v>
      </c>
      <c r="CG95" s="48">
        <f t="shared" si="231"/>
        <v>0</v>
      </c>
      <c r="CH95" s="48">
        <f t="shared" si="232"/>
        <v>0</v>
      </c>
      <c r="CI95" s="48">
        <f t="shared" si="233"/>
        <v>0</v>
      </c>
      <c r="CJ95" s="48">
        <f t="shared" si="234"/>
        <v>0</v>
      </c>
      <c r="CK95" s="48">
        <f t="shared" si="235"/>
        <v>0</v>
      </c>
      <c r="CL95" s="48">
        <f t="shared" si="236"/>
        <v>0</v>
      </c>
      <c r="CM95" s="48">
        <f t="shared" si="237"/>
        <v>0</v>
      </c>
      <c r="CN95" s="48">
        <f t="shared" si="258"/>
        <v>0</v>
      </c>
      <c r="CO95" s="48">
        <f t="shared" si="259"/>
        <v>0</v>
      </c>
      <c r="CP95" s="48">
        <f t="shared" si="260"/>
        <v>0</v>
      </c>
      <c r="CQ95" s="48">
        <f t="shared" si="261"/>
        <v>0</v>
      </c>
      <c r="CR95" s="48">
        <f t="shared" si="262"/>
        <v>0</v>
      </c>
      <c r="CS95" s="48">
        <f t="shared" si="263"/>
        <v>0</v>
      </c>
      <c r="CT95" s="68">
        <f t="shared" si="264"/>
        <v>1.0000000000000002</v>
      </c>
      <c r="CU95" s="68">
        <f t="shared" si="265"/>
        <v>0.99930431747725224</v>
      </c>
      <c r="CW95" s="42">
        <v>254</v>
      </c>
      <c r="CX95" s="58">
        <f t="shared" si="316"/>
        <v>22938</v>
      </c>
      <c r="CY95" s="58">
        <f t="shared" si="317"/>
        <v>19148</v>
      </c>
      <c r="CZ95" s="58">
        <f t="shared" si="318"/>
        <v>22877</v>
      </c>
      <c r="DA95" s="58">
        <f t="shared" si="319"/>
        <v>430</v>
      </c>
      <c r="DB95" s="58">
        <f t="shared" si="320"/>
        <v>2522</v>
      </c>
      <c r="DC95" s="58">
        <f t="shared" si="321"/>
        <v>11505</v>
      </c>
      <c r="DD95" s="58">
        <f t="shared" si="322"/>
        <v>10669</v>
      </c>
      <c r="DE95" s="58">
        <f t="shared" si="323"/>
        <v>9414</v>
      </c>
      <c r="DF95" s="58">
        <f t="shared" si="324"/>
        <v>12990</v>
      </c>
      <c r="DG95" s="58">
        <f t="shared" si="325"/>
        <v>1868</v>
      </c>
      <c r="DH95" s="58">
        <f t="shared" si="326"/>
        <v>28669</v>
      </c>
      <c r="DI95" s="58">
        <f t="shared" si="327"/>
        <v>72362</v>
      </c>
      <c r="DJ95" s="58">
        <f t="shared" si="328"/>
        <v>45039</v>
      </c>
      <c r="DK95" s="58">
        <f t="shared" si="329"/>
        <v>10231</v>
      </c>
      <c r="DL95" s="58">
        <f t="shared" si="330"/>
        <v>24707</v>
      </c>
      <c r="DM95" s="58">
        <f t="shared" si="331"/>
        <v>39216</v>
      </c>
      <c r="DN95" s="58">
        <f t="shared" si="332"/>
        <v>34216</v>
      </c>
      <c r="DO95" s="58">
        <f t="shared" si="333"/>
        <v>18725</v>
      </c>
      <c r="DP95" s="58">
        <f t="shared" si="334"/>
        <v>28127</v>
      </c>
      <c r="DQ95" s="58"/>
      <c r="DR95" s="58">
        <f t="shared" si="335"/>
        <v>57469</v>
      </c>
      <c r="DS95" s="58">
        <f t="shared" si="336"/>
        <v>2948</v>
      </c>
      <c r="DT95" s="58">
        <f t="shared" si="337"/>
        <v>3660</v>
      </c>
      <c r="DU95" s="58">
        <f t="shared" si="338"/>
        <v>23924.447414749116</v>
      </c>
      <c r="DV95" s="58">
        <f t="shared" si="339"/>
        <v>69514</v>
      </c>
      <c r="DW95" s="58">
        <f t="shared" si="340"/>
        <v>77049</v>
      </c>
      <c r="DX95" s="58">
        <f t="shared" si="341"/>
        <v>65325</v>
      </c>
      <c r="DY95" s="58">
        <f t="shared" si="303"/>
        <v>101067</v>
      </c>
      <c r="DZ95" s="58">
        <f t="shared" si="304"/>
        <v>66451</v>
      </c>
      <c r="EA95" s="58">
        <f t="shared" si="305"/>
        <v>10021</v>
      </c>
      <c r="EB95" s="58">
        <f t="shared" si="306"/>
        <v>12503</v>
      </c>
      <c r="EC95" s="58">
        <f t="shared" si="307"/>
        <v>17030</v>
      </c>
      <c r="ED95" s="58">
        <f t="shared" si="308"/>
        <v>22529.20627986913</v>
      </c>
      <c r="EE95" s="58">
        <f t="shared" si="309"/>
        <v>40272</v>
      </c>
      <c r="EF95" s="58">
        <f t="shared" si="310"/>
        <v>48355</v>
      </c>
      <c r="EG95" s="58">
        <f t="shared" si="311"/>
        <v>19485.409303526412</v>
      </c>
      <c r="EH95" s="58">
        <f t="shared" si="312"/>
        <v>13539.404372589403</v>
      </c>
      <c r="EI95" s="58">
        <f t="shared" si="313"/>
        <v>22553</v>
      </c>
      <c r="EJ95" s="58">
        <f t="shared" si="314"/>
        <v>55397</v>
      </c>
      <c r="EK95" s="58">
        <f t="shared" si="315"/>
        <v>72409</v>
      </c>
      <c r="EL95" s="58">
        <f t="shared" si="296"/>
        <v>59106</v>
      </c>
      <c r="EM95" s="58">
        <f t="shared" si="297"/>
        <v>41289</v>
      </c>
      <c r="EN95" s="58">
        <f t="shared" si="298"/>
        <v>60004</v>
      </c>
      <c r="EO95" s="58">
        <f t="shared" si="299"/>
        <v>85785</v>
      </c>
      <c r="EP95" s="58">
        <f t="shared" si="300"/>
        <v>153406</v>
      </c>
      <c r="EQ95" s="58">
        <f t="shared" si="301"/>
        <v>210303</v>
      </c>
      <c r="ER95" s="67">
        <f t="shared" si="266"/>
        <v>77379.140437258946</v>
      </c>
      <c r="ES95" s="67">
        <f t="shared" si="267"/>
        <v>42967.182130993511</v>
      </c>
      <c r="EV95" s="42">
        <v>254</v>
      </c>
      <c r="EW95" s="128">
        <f t="shared" si="343"/>
        <v>0.99986922976330583</v>
      </c>
      <c r="EX95" s="128">
        <f t="shared" si="343"/>
        <v>1</v>
      </c>
      <c r="EY95" s="128">
        <f t="shared" si="343"/>
        <v>1</v>
      </c>
      <c r="EZ95" s="128">
        <f t="shared" si="343"/>
        <v>1</v>
      </c>
      <c r="FA95" s="128">
        <f t="shared" si="343"/>
        <v>0.99881188118811881</v>
      </c>
      <c r="FB95" s="128">
        <f t="shared" si="343"/>
        <v>0.99783174327840418</v>
      </c>
      <c r="FC95" s="128">
        <f t="shared" si="343"/>
        <v>1</v>
      </c>
      <c r="FD95" s="128">
        <f t="shared" si="343"/>
        <v>1</v>
      </c>
      <c r="FE95" s="128">
        <f t="shared" si="343"/>
        <v>1</v>
      </c>
      <c r="FF95" s="128">
        <f t="shared" si="343"/>
        <v>0.98940677966101698</v>
      </c>
      <c r="FG95" s="128">
        <f t="shared" si="343"/>
        <v>1</v>
      </c>
      <c r="FH95" s="128">
        <f t="shared" si="343"/>
        <v>0.99786257015596347</v>
      </c>
      <c r="FI95" s="128">
        <f t="shared" si="343"/>
        <v>1</v>
      </c>
      <c r="FJ95" s="128">
        <f t="shared" si="343"/>
        <v>1</v>
      </c>
      <c r="FK95" s="128">
        <f t="shared" si="343"/>
        <v>1</v>
      </c>
      <c r="FL95" s="128">
        <f t="shared" si="344"/>
        <v>1</v>
      </c>
      <c r="FM95" s="128">
        <f t="shared" si="345"/>
        <v>1</v>
      </c>
      <c r="FN95" s="128">
        <f t="shared" si="346"/>
        <v>1</v>
      </c>
      <c r="FO95" s="128">
        <f t="shared" si="347"/>
        <v>1</v>
      </c>
      <c r="FP95" s="128"/>
      <c r="FQ95" s="128">
        <f t="shared" si="348"/>
        <v>1</v>
      </c>
      <c r="FR95" s="128">
        <f t="shared" si="348"/>
        <v>1</v>
      </c>
      <c r="FS95" s="128">
        <f t="shared" si="348"/>
        <v>0.99972685058727129</v>
      </c>
      <c r="FT95" s="128">
        <f t="shared" si="348"/>
        <v>1</v>
      </c>
      <c r="FU95" s="128">
        <f t="shared" si="348"/>
        <v>0.99506148098312319</v>
      </c>
      <c r="FV95" s="128">
        <f t="shared" si="348"/>
        <v>1</v>
      </c>
      <c r="FW95" s="128">
        <f t="shared" si="348"/>
        <v>0.99662832209440699</v>
      </c>
      <c r="FX95" s="128">
        <f t="shared" si="348"/>
        <v>1</v>
      </c>
      <c r="FY95" s="128">
        <f t="shared" si="348"/>
        <v>0.99614738861905616</v>
      </c>
      <c r="FZ95" s="128">
        <f t="shared" si="348"/>
        <v>1</v>
      </c>
      <c r="GA95" s="128">
        <f t="shared" si="348"/>
        <v>1</v>
      </c>
      <c r="GB95" s="128">
        <f t="shared" si="348"/>
        <v>1</v>
      </c>
      <c r="GC95" s="128">
        <f t="shared" si="348"/>
        <v>1</v>
      </c>
      <c r="GD95" s="128">
        <f t="shared" si="348"/>
        <v>1</v>
      </c>
      <c r="GE95" s="128">
        <f t="shared" si="348"/>
        <v>1</v>
      </c>
      <c r="GF95" s="128">
        <f t="shared" si="349"/>
        <v>1</v>
      </c>
      <c r="GG95" s="128">
        <f t="shared" si="350"/>
        <v>1</v>
      </c>
      <c r="GH95" s="128">
        <f t="shared" si="351"/>
        <v>1</v>
      </c>
      <c r="GI95" s="128">
        <f t="shared" si="352"/>
        <v>1</v>
      </c>
      <c r="GJ95" s="128">
        <f t="shared" si="353"/>
        <v>1</v>
      </c>
      <c r="GK95" s="128">
        <f t="shared" si="354"/>
        <v>1</v>
      </c>
      <c r="GL95" s="128">
        <f t="shared" si="289"/>
        <v>1</v>
      </c>
      <c r="GM95" s="128">
        <f t="shared" si="290"/>
        <v>1</v>
      </c>
      <c r="GN95" s="128">
        <f t="shared" si="291"/>
        <v>1</v>
      </c>
      <c r="GO95" s="128">
        <f t="shared" si="292"/>
        <v>1</v>
      </c>
      <c r="GP95" s="128">
        <f t="shared" si="293"/>
        <v>1</v>
      </c>
      <c r="GQ95" s="129">
        <f t="shared" si="294"/>
        <v>1</v>
      </c>
      <c r="GR95" s="129">
        <f t="shared" si="295"/>
        <v>0.99930431747725279</v>
      </c>
    </row>
    <row r="96" spans="1:200" x14ac:dyDescent="0.25">
      <c r="A96" s="42">
        <v>255</v>
      </c>
      <c r="B96" s="81">
        <v>0</v>
      </c>
      <c r="C96" s="81"/>
      <c r="D96" s="81"/>
      <c r="E96" s="81"/>
      <c r="F96" s="81">
        <v>1</v>
      </c>
      <c r="G96" s="81">
        <v>3</v>
      </c>
      <c r="H96" s="81"/>
      <c r="I96" s="81"/>
      <c r="J96" s="81"/>
      <c r="K96" s="81">
        <v>3</v>
      </c>
      <c r="L96" s="81"/>
      <c r="M96" s="81">
        <v>36</v>
      </c>
      <c r="N96" s="81"/>
      <c r="O96" s="81"/>
      <c r="P96" s="81"/>
      <c r="Q96" s="81"/>
      <c r="R96" s="81"/>
      <c r="S96" s="81"/>
      <c r="T96" s="81"/>
      <c r="V96" s="81"/>
      <c r="W96" s="81"/>
      <c r="X96" s="81">
        <v>1</v>
      </c>
      <c r="Y96" s="81"/>
      <c r="Z96" s="81">
        <v>40</v>
      </c>
      <c r="AA96" s="81"/>
      <c r="AB96" s="81">
        <v>89</v>
      </c>
      <c r="AC96" s="81"/>
      <c r="AD96" s="81">
        <v>257</v>
      </c>
      <c r="AE96" s="81"/>
      <c r="AF96" s="81"/>
      <c r="AG96" s="81"/>
      <c r="AH96" s="97"/>
      <c r="AI96" s="81"/>
      <c r="AJ96" s="81"/>
      <c r="AK96" s="81"/>
      <c r="AL96" s="81"/>
      <c r="AM96" s="81"/>
      <c r="AN96" s="81"/>
      <c r="AO96" s="81"/>
      <c r="AP96" s="81"/>
      <c r="AQ96" s="81"/>
      <c r="AR96" s="81"/>
      <c r="AS96" s="81"/>
      <c r="AT96" s="81"/>
      <c r="AU96" s="81"/>
      <c r="AV96" s="71"/>
      <c r="AW96" s="71"/>
      <c r="AY96" s="42">
        <v>255</v>
      </c>
      <c r="AZ96" s="48">
        <f t="shared" si="342"/>
        <v>0</v>
      </c>
      <c r="BA96" s="48">
        <f t="shared" si="200"/>
        <v>0</v>
      </c>
      <c r="BB96" s="48">
        <f t="shared" si="201"/>
        <v>0</v>
      </c>
      <c r="BC96" s="48">
        <f t="shared" si="202"/>
        <v>0</v>
      </c>
      <c r="BD96" s="48">
        <f t="shared" si="203"/>
        <v>3.9603960396039607E-4</v>
      </c>
      <c r="BE96" s="48">
        <f t="shared" si="204"/>
        <v>2.6019080659150045E-4</v>
      </c>
      <c r="BF96" s="48">
        <f t="shared" si="205"/>
        <v>0</v>
      </c>
      <c r="BG96" s="48">
        <f t="shared" si="206"/>
        <v>0</v>
      </c>
      <c r="BH96" s="48">
        <f t="shared" si="207"/>
        <v>0</v>
      </c>
      <c r="BI96" s="48">
        <f t="shared" si="208"/>
        <v>1.5889830508474577E-3</v>
      </c>
      <c r="BJ96" s="48">
        <f t="shared" si="209"/>
        <v>0</v>
      </c>
      <c r="BK96" s="48">
        <f t="shared" si="210"/>
        <v>4.9643531861494545E-4</v>
      </c>
      <c r="BL96" s="48">
        <f t="shared" si="211"/>
        <v>0</v>
      </c>
      <c r="BM96" s="48">
        <f t="shared" si="212"/>
        <v>0</v>
      </c>
      <c r="BN96" s="48">
        <f t="shared" si="213"/>
        <v>0</v>
      </c>
      <c r="BO96" s="48">
        <f t="shared" si="214"/>
        <v>0</v>
      </c>
      <c r="BP96" s="48">
        <f t="shared" si="215"/>
        <v>0</v>
      </c>
      <c r="BQ96" s="48">
        <f t="shared" si="216"/>
        <v>0</v>
      </c>
      <c r="BR96" s="48">
        <f t="shared" si="217"/>
        <v>0</v>
      </c>
      <c r="BS96" s="48"/>
      <c r="BT96" s="48">
        <f t="shared" si="218"/>
        <v>0</v>
      </c>
      <c r="BU96" s="48">
        <f t="shared" si="219"/>
        <v>0</v>
      </c>
      <c r="BV96" s="48">
        <f t="shared" si="220"/>
        <v>2.7314941272876261E-4</v>
      </c>
      <c r="BW96" s="48">
        <f t="shared" si="221"/>
        <v>0</v>
      </c>
      <c r="BX96" s="48">
        <f t="shared" si="222"/>
        <v>5.7258191500021477E-4</v>
      </c>
      <c r="BY96" s="48">
        <f t="shared" si="223"/>
        <v>0</v>
      </c>
      <c r="BZ96" s="48">
        <f t="shared" si="224"/>
        <v>1.3578250389039757E-3</v>
      </c>
      <c r="CA96" s="48">
        <f t="shared" si="225"/>
        <v>0</v>
      </c>
      <c r="CB96" s="48">
        <f t="shared" si="226"/>
        <v>3.8526113809438148E-3</v>
      </c>
      <c r="CC96" s="48">
        <f t="shared" si="227"/>
        <v>0</v>
      </c>
      <c r="CD96" s="48">
        <f t="shared" si="228"/>
        <v>0</v>
      </c>
      <c r="CE96" s="48">
        <f t="shared" si="229"/>
        <v>0</v>
      </c>
      <c r="CF96" s="48">
        <f t="shared" si="230"/>
        <v>0</v>
      </c>
      <c r="CG96" s="48">
        <f t="shared" si="231"/>
        <v>0</v>
      </c>
      <c r="CH96" s="48">
        <f t="shared" si="232"/>
        <v>0</v>
      </c>
      <c r="CI96" s="48">
        <f t="shared" si="233"/>
        <v>0</v>
      </c>
      <c r="CJ96" s="48">
        <f t="shared" si="234"/>
        <v>0</v>
      </c>
      <c r="CK96" s="48">
        <f t="shared" si="235"/>
        <v>0</v>
      </c>
      <c r="CL96" s="48">
        <f t="shared" si="236"/>
        <v>0</v>
      </c>
      <c r="CM96" s="48">
        <f t="shared" si="237"/>
        <v>0</v>
      </c>
      <c r="CN96" s="48">
        <f t="shared" si="258"/>
        <v>0</v>
      </c>
      <c r="CO96" s="48">
        <f t="shared" si="259"/>
        <v>0</v>
      </c>
      <c r="CP96" s="48">
        <f t="shared" si="260"/>
        <v>0</v>
      </c>
      <c r="CQ96" s="48">
        <f t="shared" si="261"/>
        <v>0</v>
      </c>
      <c r="CR96" s="48">
        <f t="shared" si="262"/>
        <v>0</v>
      </c>
      <c r="CS96" s="48">
        <f t="shared" si="263"/>
        <v>0</v>
      </c>
      <c r="CT96" s="68">
        <f t="shared" si="264"/>
        <v>1.0000000000000002</v>
      </c>
      <c r="CU96" s="68">
        <f t="shared" si="265"/>
        <v>0.9995188983681691</v>
      </c>
      <c r="CW96" s="42">
        <v>255</v>
      </c>
      <c r="CX96" s="58">
        <f t="shared" si="316"/>
        <v>22938</v>
      </c>
      <c r="CY96" s="58">
        <f t="shared" si="317"/>
        <v>19148</v>
      </c>
      <c r="CZ96" s="58">
        <f t="shared" si="318"/>
        <v>22877</v>
      </c>
      <c r="DA96" s="58">
        <f t="shared" si="319"/>
        <v>430</v>
      </c>
      <c r="DB96" s="58">
        <f t="shared" si="320"/>
        <v>2523</v>
      </c>
      <c r="DC96" s="58">
        <f t="shared" si="321"/>
        <v>11508</v>
      </c>
      <c r="DD96" s="58">
        <f t="shared" si="322"/>
        <v>10669</v>
      </c>
      <c r="DE96" s="58">
        <f t="shared" si="323"/>
        <v>9414</v>
      </c>
      <c r="DF96" s="58">
        <f t="shared" si="324"/>
        <v>12990</v>
      </c>
      <c r="DG96" s="58">
        <f t="shared" si="325"/>
        <v>1871</v>
      </c>
      <c r="DH96" s="58">
        <f t="shared" si="326"/>
        <v>28669</v>
      </c>
      <c r="DI96" s="58">
        <f t="shared" si="327"/>
        <v>72398</v>
      </c>
      <c r="DJ96" s="58">
        <f t="shared" si="328"/>
        <v>45039</v>
      </c>
      <c r="DK96" s="58">
        <f t="shared" si="329"/>
        <v>10231</v>
      </c>
      <c r="DL96" s="58">
        <f t="shared" si="330"/>
        <v>24707</v>
      </c>
      <c r="DM96" s="58">
        <f t="shared" si="331"/>
        <v>39216</v>
      </c>
      <c r="DN96" s="58">
        <f t="shared" si="332"/>
        <v>34216</v>
      </c>
      <c r="DO96" s="58">
        <f t="shared" si="333"/>
        <v>18725</v>
      </c>
      <c r="DP96" s="58">
        <f t="shared" si="334"/>
        <v>28127</v>
      </c>
      <c r="DQ96" s="58"/>
      <c r="DR96" s="58">
        <f t="shared" si="335"/>
        <v>57469</v>
      </c>
      <c r="DS96" s="58">
        <f t="shared" si="336"/>
        <v>2948</v>
      </c>
      <c r="DT96" s="58">
        <f t="shared" si="337"/>
        <v>3661</v>
      </c>
      <c r="DU96" s="58">
        <f t="shared" si="338"/>
        <v>23924.447414749116</v>
      </c>
      <c r="DV96" s="58">
        <f t="shared" si="339"/>
        <v>69554</v>
      </c>
      <c r="DW96" s="58">
        <f t="shared" si="340"/>
        <v>77049</v>
      </c>
      <c r="DX96" s="58">
        <f t="shared" si="341"/>
        <v>65414</v>
      </c>
      <c r="DY96" s="58">
        <f t="shared" si="303"/>
        <v>101067</v>
      </c>
      <c r="DZ96" s="58">
        <f t="shared" si="304"/>
        <v>66708</v>
      </c>
      <c r="EA96" s="58">
        <f t="shared" si="305"/>
        <v>10021</v>
      </c>
      <c r="EB96" s="58">
        <f t="shared" si="306"/>
        <v>12503</v>
      </c>
      <c r="EC96" s="58">
        <f t="shared" si="307"/>
        <v>17030</v>
      </c>
      <c r="ED96" s="58">
        <f t="shared" si="308"/>
        <v>22529.20627986913</v>
      </c>
      <c r="EE96" s="58">
        <f t="shared" si="309"/>
        <v>40272</v>
      </c>
      <c r="EF96" s="58">
        <f t="shared" si="310"/>
        <v>48355</v>
      </c>
      <c r="EG96" s="58">
        <f t="shared" si="311"/>
        <v>19485.409303526412</v>
      </c>
      <c r="EH96" s="58">
        <f t="shared" si="312"/>
        <v>13539.404372589403</v>
      </c>
      <c r="EI96" s="58">
        <f t="shared" si="313"/>
        <v>22553</v>
      </c>
      <c r="EJ96" s="58">
        <f t="shared" si="314"/>
        <v>55397</v>
      </c>
      <c r="EK96" s="58">
        <f t="shared" si="315"/>
        <v>72409</v>
      </c>
      <c r="EL96" s="58">
        <f t="shared" si="296"/>
        <v>59106</v>
      </c>
      <c r="EM96" s="58">
        <f t="shared" si="297"/>
        <v>41289</v>
      </c>
      <c r="EN96" s="58">
        <f t="shared" si="298"/>
        <v>60004</v>
      </c>
      <c r="EO96" s="58">
        <f t="shared" si="299"/>
        <v>85785</v>
      </c>
      <c r="EP96" s="58">
        <f t="shared" si="300"/>
        <v>153406</v>
      </c>
      <c r="EQ96" s="58">
        <f t="shared" si="301"/>
        <v>210303</v>
      </c>
      <c r="ER96" s="67">
        <f t="shared" si="266"/>
        <v>77379.140437258946</v>
      </c>
      <c r="ES96" s="67">
        <f t="shared" si="267"/>
        <v>42977.669935871563</v>
      </c>
      <c r="EV96" s="42">
        <v>255</v>
      </c>
      <c r="EW96" s="128">
        <f t="shared" si="343"/>
        <v>0.99986922976330583</v>
      </c>
      <c r="EX96" s="128">
        <f t="shared" si="343"/>
        <v>1</v>
      </c>
      <c r="EY96" s="128">
        <f t="shared" si="343"/>
        <v>1</v>
      </c>
      <c r="EZ96" s="128">
        <f t="shared" si="343"/>
        <v>1</v>
      </c>
      <c r="FA96" s="128">
        <f t="shared" si="343"/>
        <v>0.99920792079207921</v>
      </c>
      <c r="FB96" s="128">
        <f t="shared" si="343"/>
        <v>0.99809193408499564</v>
      </c>
      <c r="FC96" s="128">
        <f t="shared" si="343"/>
        <v>1</v>
      </c>
      <c r="FD96" s="128">
        <f t="shared" si="343"/>
        <v>1</v>
      </c>
      <c r="FE96" s="128">
        <f t="shared" si="343"/>
        <v>1</v>
      </c>
      <c r="FF96" s="128">
        <f t="shared" si="343"/>
        <v>0.9909957627118644</v>
      </c>
      <c r="FG96" s="128">
        <f t="shared" si="343"/>
        <v>1</v>
      </c>
      <c r="FH96" s="128">
        <f t="shared" si="343"/>
        <v>0.99835900547457834</v>
      </c>
      <c r="FI96" s="128">
        <f t="shared" si="343"/>
        <v>1</v>
      </c>
      <c r="FJ96" s="128">
        <f t="shared" si="343"/>
        <v>1</v>
      </c>
      <c r="FK96" s="128">
        <f t="shared" si="343"/>
        <v>1</v>
      </c>
      <c r="FL96" s="128">
        <f t="shared" si="344"/>
        <v>1</v>
      </c>
      <c r="FM96" s="128">
        <f t="shared" si="345"/>
        <v>1</v>
      </c>
      <c r="FN96" s="128">
        <f t="shared" si="346"/>
        <v>1</v>
      </c>
      <c r="FO96" s="128">
        <f t="shared" si="347"/>
        <v>1</v>
      </c>
      <c r="FP96" s="128"/>
      <c r="FQ96" s="128">
        <f t="shared" si="348"/>
        <v>1</v>
      </c>
      <c r="FR96" s="128">
        <f t="shared" si="348"/>
        <v>1</v>
      </c>
      <c r="FS96" s="128">
        <f t="shared" si="348"/>
        <v>1</v>
      </c>
      <c r="FT96" s="128">
        <f t="shared" si="348"/>
        <v>1</v>
      </c>
      <c r="FU96" s="128">
        <f t="shared" si="348"/>
        <v>0.9956340628981234</v>
      </c>
      <c r="FV96" s="128">
        <f t="shared" si="348"/>
        <v>1</v>
      </c>
      <c r="FW96" s="128">
        <f t="shared" si="348"/>
        <v>0.99798614713331091</v>
      </c>
      <c r="FX96" s="128">
        <f t="shared" si="348"/>
        <v>1</v>
      </c>
      <c r="FY96" s="128">
        <f t="shared" si="348"/>
        <v>1</v>
      </c>
      <c r="FZ96" s="128">
        <f t="shared" si="348"/>
        <v>1</v>
      </c>
      <c r="GA96" s="128">
        <f t="shared" si="348"/>
        <v>1</v>
      </c>
      <c r="GB96" s="128">
        <f t="shared" si="348"/>
        <v>1</v>
      </c>
      <c r="GC96" s="128">
        <f t="shared" si="348"/>
        <v>1</v>
      </c>
      <c r="GD96" s="128">
        <f t="shared" si="348"/>
        <v>1</v>
      </c>
      <c r="GE96" s="128">
        <f t="shared" si="348"/>
        <v>1</v>
      </c>
      <c r="GF96" s="128">
        <f t="shared" si="349"/>
        <v>1</v>
      </c>
      <c r="GG96" s="128">
        <f t="shared" si="350"/>
        <v>1</v>
      </c>
      <c r="GH96" s="128">
        <f t="shared" si="351"/>
        <v>1</v>
      </c>
      <c r="GI96" s="128">
        <f t="shared" si="352"/>
        <v>1</v>
      </c>
      <c r="GJ96" s="128">
        <f t="shared" si="353"/>
        <v>1</v>
      </c>
      <c r="GK96" s="128">
        <f t="shared" si="354"/>
        <v>1</v>
      </c>
      <c r="GL96" s="128">
        <f t="shared" si="289"/>
        <v>1</v>
      </c>
      <c r="GM96" s="128">
        <f t="shared" si="290"/>
        <v>1</v>
      </c>
      <c r="GN96" s="128">
        <f t="shared" si="291"/>
        <v>1</v>
      </c>
      <c r="GO96" s="128">
        <f t="shared" si="292"/>
        <v>1</v>
      </c>
      <c r="GP96" s="128">
        <f t="shared" si="293"/>
        <v>1</v>
      </c>
      <c r="GQ96" s="129">
        <f t="shared" si="294"/>
        <v>1</v>
      </c>
      <c r="GR96" s="129">
        <f t="shared" si="295"/>
        <v>0.99951889836816954</v>
      </c>
    </row>
    <row r="97" spans="1:200" x14ac:dyDescent="0.25">
      <c r="A97" s="42">
        <v>256</v>
      </c>
      <c r="B97" s="81">
        <v>0</v>
      </c>
      <c r="C97" s="81"/>
      <c r="D97" s="81"/>
      <c r="E97" s="81"/>
      <c r="F97" s="81">
        <v>1</v>
      </c>
      <c r="G97" s="81">
        <v>5</v>
      </c>
      <c r="H97" s="81"/>
      <c r="I97" s="81"/>
      <c r="J97" s="81"/>
      <c r="K97" s="81">
        <v>1</v>
      </c>
      <c r="L97" s="81"/>
      <c r="M97" s="81">
        <v>7</v>
      </c>
      <c r="N97" s="81"/>
      <c r="O97" s="81"/>
      <c r="P97" s="81"/>
      <c r="Q97" s="81"/>
      <c r="R97" s="81"/>
      <c r="S97" s="81"/>
      <c r="T97" s="81"/>
      <c r="V97" s="81"/>
      <c r="W97" s="81"/>
      <c r="X97" s="81">
        <v>0</v>
      </c>
      <c r="Y97" s="81"/>
      <c r="Z97" s="81">
        <v>55</v>
      </c>
      <c r="AA97" s="81"/>
      <c r="AB97" s="81">
        <v>96</v>
      </c>
      <c r="AC97" s="81"/>
      <c r="AD97" s="81"/>
      <c r="AE97" s="81"/>
      <c r="AF97" s="81"/>
      <c r="AG97" s="81"/>
      <c r="AH97" s="97"/>
      <c r="AI97" s="81"/>
      <c r="AJ97" s="81"/>
      <c r="AK97" s="81"/>
      <c r="AL97" s="81"/>
      <c r="AM97" s="81"/>
      <c r="AN97" s="81"/>
      <c r="AO97" s="81"/>
      <c r="AP97" s="81"/>
      <c r="AQ97" s="81"/>
      <c r="AR97" s="81"/>
      <c r="AS97" s="81"/>
      <c r="AT97" s="81"/>
      <c r="AU97" s="81"/>
      <c r="AV97" s="71"/>
      <c r="AW97" s="71"/>
      <c r="AY97" s="42">
        <v>256</v>
      </c>
      <c r="AZ97" s="48">
        <f t="shared" si="342"/>
        <v>0</v>
      </c>
      <c r="BA97" s="48">
        <f t="shared" si="200"/>
        <v>0</v>
      </c>
      <c r="BB97" s="48">
        <f t="shared" si="201"/>
        <v>0</v>
      </c>
      <c r="BC97" s="48">
        <f t="shared" si="202"/>
        <v>0</v>
      </c>
      <c r="BD97" s="48">
        <f t="shared" si="203"/>
        <v>3.9603960396039607E-4</v>
      </c>
      <c r="BE97" s="48">
        <f t="shared" si="204"/>
        <v>4.3365134431916737E-4</v>
      </c>
      <c r="BF97" s="48">
        <f t="shared" si="205"/>
        <v>0</v>
      </c>
      <c r="BG97" s="48">
        <f t="shared" si="206"/>
        <v>0</v>
      </c>
      <c r="BH97" s="48">
        <f t="shared" si="207"/>
        <v>0</v>
      </c>
      <c r="BI97" s="48">
        <f t="shared" si="208"/>
        <v>5.2966101694915254E-4</v>
      </c>
      <c r="BJ97" s="48">
        <f t="shared" si="209"/>
        <v>0</v>
      </c>
      <c r="BK97" s="48">
        <f t="shared" si="210"/>
        <v>9.6529089730683845E-5</v>
      </c>
      <c r="BL97" s="48">
        <f t="shared" si="211"/>
        <v>0</v>
      </c>
      <c r="BM97" s="48">
        <f t="shared" si="212"/>
        <v>0</v>
      </c>
      <c r="BN97" s="48">
        <f t="shared" si="213"/>
        <v>0</v>
      </c>
      <c r="BO97" s="48">
        <f t="shared" si="214"/>
        <v>0</v>
      </c>
      <c r="BP97" s="48">
        <f t="shared" si="215"/>
        <v>0</v>
      </c>
      <c r="BQ97" s="48">
        <f t="shared" si="216"/>
        <v>0</v>
      </c>
      <c r="BR97" s="48">
        <f t="shared" si="217"/>
        <v>0</v>
      </c>
      <c r="BS97" s="48"/>
      <c r="BT97" s="48">
        <f t="shared" si="218"/>
        <v>0</v>
      </c>
      <c r="BU97" s="48">
        <f t="shared" si="219"/>
        <v>0</v>
      </c>
      <c r="BV97" s="48">
        <f t="shared" si="220"/>
        <v>0</v>
      </c>
      <c r="BW97" s="48">
        <f t="shared" si="221"/>
        <v>0</v>
      </c>
      <c r="BX97" s="48">
        <f t="shared" si="222"/>
        <v>7.8730013312529518E-4</v>
      </c>
      <c r="BY97" s="48">
        <f t="shared" si="223"/>
        <v>0</v>
      </c>
      <c r="BZ97" s="48">
        <f t="shared" si="224"/>
        <v>1.4646202666829403E-3</v>
      </c>
      <c r="CA97" s="48">
        <f t="shared" si="225"/>
        <v>0</v>
      </c>
      <c r="CB97" s="48">
        <f t="shared" si="226"/>
        <v>0</v>
      </c>
      <c r="CC97" s="48">
        <f t="shared" si="227"/>
        <v>0</v>
      </c>
      <c r="CD97" s="48">
        <f t="shared" si="228"/>
        <v>0</v>
      </c>
      <c r="CE97" s="48">
        <f t="shared" si="229"/>
        <v>0</v>
      </c>
      <c r="CF97" s="48">
        <f t="shared" si="230"/>
        <v>0</v>
      </c>
      <c r="CG97" s="48">
        <f t="shared" si="231"/>
        <v>0</v>
      </c>
      <c r="CH97" s="48">
        <f t="shared" si="232"/>
        <v>0</v>
      </c>
      <c r="CI97" s="48">
        <f t="shared" si="233"/>
        <v>0</v>
      </c>
      <c r="CJ97" s="48">
        <f t="shared" si="234"/>
        <v>0</v>
      </c>
      <c r="CK97" s="48">
        <f t="shared" si="235"/>
        <v>0</v>
      </c>
      <c r="CL97" s="48">
        <f t="shared" si="236"/>
        <v>0</v>
      </c>
      <c r="CM97" s="48">
        <f t="shared" si="237"/>
        <v>0</v>
      </c>
      <c r="CN97" s="48">
        <f t="shared" si="258"/>
        <v>0</v>
      </c>
      <c r="CO97" s="48">
        <f t="shared" si="259"/>
        <v>0</v>
      </c>
      <c r="CP97" s="48">
        <f t="shared" si="260"/>
        <v>0</v>
      </c>
      <c r="CQ97" s="48">
        <f t="shared" si="261"/>
        <v>0</v>
      </c>
      <c r="CR97" s="48">
        <f t="shared" si="262"/>
        <v>0</v>
      </c>
      <c r="CS97" s="48">
        <f t="shared" si="263"/>
        <v>0</v>
      </c>
      <c r="CT97" s="68">
        <f t="shared" si="264"/>
        <v>1.0000000000000002</v>
      </c>
      <c r="CU97" s="68">
        <f t="shared" si="265"/>
        <v>0.99960933254999274</v>
      </c>
      <c r="CW97" s="42">
        <v>256</v>
      </c>
      <c r="CX97" s="58">
        <f t="shared" si="316"/>
        <v>22938</v>
      </c>
      <c r="CY97" s="58">
        <f t="shared" si="317"/>
        <v>19148</v>
      </c>
      <c r="CZ97" s="58">
        <f t="shared" si="318"/>
        <v>22877</v>
      </c>
      <c r="DA97" s="58">
        <f t="shared" si="319"/>
        <v>430</v>
      </c>
      <c r="DB97" s="58">
        <f t="shared" si="320"/>
        <v>2524</v>
      </c>
      <c r="DC97" s="58">
        <f t="shared" si="321"/>
        <v>11513</v>
      </c>
      <c r="DD97" s="58">
        <f t="shared" si="322"/>
        <v>10669</v>
      </c>
      <c r="DE97" s="58">
        <f t="shared" si="323"/>
        <v>9414</v>
      </c>
      <c r="DF97" s="58">
        <f t="shared" si="324"/>
        <v>12990</v>
      </c>
      <c r="DG97" s="58">
        <f t="shared" si="325"/>
        <v>1872</v>
      </c>
      <c r="DH97" s="58">
        <f t="shared" si="326"/>
        <v>28669</v>
      </c>
      <c r="DI97" s="58">
        <f t="shared" si="327"/>
        <v>72405</v>
      </c>
      <c r="DJ97" s="58">
        <f t="shared" si="328"/>
        <v>45039</v>
      </c>
      <c r="DK97" s="58">
        <f t="shared" si="329"/>
        <v>10231</v>
      </c>
      <c r="DL97" s="58">
        <f t="shared" si="330"/>
        <v>24707</v>
      </c>
      <c r="DM97" s="58">
        <f t="shared" si="331"/>
        <v>39216</v>
      </c>
      <c r="DN97" s="58">
        <f t="shared" si="332"/>
        <v>34216</v>
      </c>
      <c r="DO97" s="58">
        <f t="shared" si="333"/>
        <v>18725</v>
      </c>
      <c r="DP97" s="58">
        <f t="shared" si="334"/>
        <v>28127</v>
      </c>
      <c r="DQ97" s="58"/>
      <c r="DR97" s="58">
        <f t="shared" si="335"/>
        <v>57469</v>
      </c>
      <c r="DS97" s="58">
        <f t="shared" si="336"/>
        <v>2948</v>
      </c>
      <c r="DT97" s="58">
        <f t="shared" si="337"/>
        <v>3661</v>
      </c>
      <c r="DU97" s="58">
        <f t="shared" si="338"/>
        <v>23924.447414749116</v>
      </c>
      <c r="DV97" s="58">
        <f t="shared" si="339"/>
        <v>69609</v>
      </c>
      <c r="DW97" s="58">
        <f t="shared" si="340"/>
        <v>77049</v>
      </c>
      <c r="DX97" s="58">
        <f t="shared" si="341"/>
        <v>65510</v>
      </c>
      <c r="DY97" s="58">
        <f t="shared" si="303"/>
        <v>101067</v>
      </c>
      <c r="DZ97" s="58">
        <f t="shared" si="304"/>
        <v>66708</v>
      </c>
      <c r="EA97" s="58">
        <f t="shared" si="305"/>
        <v>10021</v>
      </c>
      <c r="EB97" s="58">
        <f t="shared" si="306"/>
        <v>12503</v>
      </c>
      <c r="EC97" s="58">
        <f t="shared" si="307"/>
        <v>17030</v>
      </c>
      <c r="ED97" s="58">
        <f t="shared" si="308"/>
        <v>22529.20627986913</v>
      </c>
      <c r="EE97" s="58">
        <f t="shared" si="309"/>
        <v>40272</v>
      </c>
      <c r="EF97" s="58">
        <f t="shared" si="310"/>
        <v>48355</v>
      </c>
      <c r="EG97" s="58">
        <f t="shared" si="311"/>
        <v>19485.409303526412</v>
      </c>
      <c r="EH97" s="58">
        <f t="shared" si="312"/>
        <v>13539.404372589403</v>
      </c>
      <c r="EI97" s="58">
        <f t="shared" si="313"/>
        <v>22553</v>
      </c>
      <c r="EJ97" s="58">
        <f t="shared" si="314"/>
        <v>55397</v>
      </c>
      <c r="EK97" s="58">
        <f t="shared" si="315"/>
        <v>72409</v>
      </c>
      <c r="EL97" s="58">
        <f t="shared" si="296"/>
        <v>59106</v>
      </c>
      <c r="EM97" s="58">
        <f t="shared" si="297"/>
        <v>41289</v>
      </c>
      <c r="EN97" s="58">
        <f t="shared" si="298"/>
        <v>60004</v>
      </c>
      <c r="EO97" s="58">
        <f t="shared" si="299"/>
        <v>85785</v>
      </c>
      <c r="EP97" s="58">
        <f t="shared" si="300"/>
        <v>153406</v>
      </c>
      <c r="EQ97" s="58">
        <f t="shared" si="301"/>
        <v>210303</v>
      </c>
      <c r="ER97" s="67">
        <f t="shared" si="266"/>
        <v>77379.140437258946</v>
      </c>
      <c r="ES97" s="67">
        <f t="shared" si="267"/>
        <v>42981.694326115467</v>
      </c>
      <c r="EV97" s="42">
        <v>256</v>
      </c>
      <c r="EW97" s="128">
        <f t="shared" si="343"/>
        <v>0.99986922976330583</v>
      </c>
      <c r="EX97" s="128">
        <f t="shared" si="343"/>
        <v>1</v>
      </c>
      <c r="EY97" s="128">
        <f t="shared" si="343"/>
        <v>1</v>
      </c>
      <c r="EZ97" s="128">
        <f t="shared" si="343"/>
        <v>1</v>
      </c>
      <c r="FA97" s="128">
        <f t="shared" si="343"/>
        <v>0.9996039603960396</v>
      </c>
      <c r="FB97" s="128">
        <f t="shared" si="343"/>
        <v>0.9985255854293148</v>
      </c>
      <c r="FC97" s="128">
        <f t="shared" si="343"/>
        <v>1</v>
      </c>
      <c r="FD97" s="128">
        <f t="shared" si="343"/>
        <v>1</v>
      </c>
      <c r="FE97" s="128">
        <f t="shared" si="343"/>
        <v>1</v>
      </c>
      <c r="FF97" s="128">
        <f t="shared" si="343"/>
        <v>0.99152542372881358</v>
      </c>
      <c r="FG97" s="128">
        <f t="shared" si="343"/>
        <v>1</v>
      </c>
      <c r="FH97" s="128">
        <f t="shared" si="343"/>
        <v>0.99845553456430902</v>
      </c>
      <c r="FI97" s="128">
        <f t="shared" si="343"/>
        <v>1</v>
      </c>
      <c r="FJ97" s="128">
        <f t="shared" si="343"/>
        <v>1</v>
      </c>
      <c r="FK97" s="128">
        <f t="shared" si="343"/>
        <v>1</v>
      </c>
      <c r="FL97" s="128">
        <f t="shared" si="344"/>
        <v>1</v>
      </c>
      <c r="FM97" s="128">
        <f t="shared" si="345"/>
        <v>1</v>
      </c>
      <c r="FN97" s="128">
        <f t="shared" si="346"/>
        <v>1</v>
      </c>
      <c r="FO97" s="128">
        <f t="shared" si="347"/>
        <v>1</v>
      </c>
      <c r="FP97" s="128"/>
      <c r="FQ97" s="128">
        <f t="shared" si="348"/>
        <v>1</v>
      </c>
      <c r="FR97" s="128">
        <f t="shared" si="348"/>
        <v>1</v>
      </c>
      <c r="FS97" s="128">
        <f t="shared" si="348"/>
        <v>1</v>
      </c>
      <c r="FT97" s="128">
        <f t="shared" si="348"/>
        <v>1</v>
      </c>
      <c r="FU97" s="128">
        <f t="shared" si="348"/>
        <v>0.99642136303124862</v>
      </c>
      <c r="FV97" s="128">
        <f t="shared" si="348"/>
        <v>1</v>
      </c>
      <c r="FW97" s="128">
        <f t="shared" si="348"/>
        <v>0.99945076739999394</v>
      </c>
      <c r="FX97" s="128">
        <f t="shared" si="348"/>
        <v>1</v>
      </c>
      <c r="FY97" s="128">
        <f t="shared" si="348"/>
        <v>1</v>
      </c>
      <c r="FZ97" s="128">
        <f t="shared" si="348"/>
        <v>1</v>
      </c>
      <c r="GA97" s="128">
        <f t="shared" si="348"/>
        <v>1</v>
      </c>
      <c r="GB97" s="128">
        <f t="shared" si="348"/>
        <v>1</v>
      </c>
      <c r="GC97" s="128">
        <f t="shared" si="348"/>
        <v>1</v>
      </c>
      <c r="GD97" s="128">
        <f t="shared" si="348"/>
        <v>1</v>
      </c>
      <c r="GE97" s="128">
        <f t="shared" si="348"/>
        <v>1</v>
      </c>
      <c r="GF97" s="128">
        <f t="shared" si="349"/>
        <v>1</v>
      </c>
      <c r="GG97" s="128">
        <f t="shared" si="350"/>
        <v>1</v>
      </c>
      <c r="GH97" s="128">
        <f t="shared" si="351"/>
        <v>1</v>
      </c>
      <c r="GI97" s="128">
        <f t="shared" si="352"/>
        <v>1</v>
      </c>
      <c r="GJ97" s="128">
        <f t="shared" si="353"/>
        <v>1</v>
      </c>
      <c r="GK97" s="128">
        <f t="shared" si="354"/>
        <v>1</v>
      </c>
      <c r="GL97" s="128">
        <f t="shared" si="289"/>
        <v>1</v>
      </c>
      <c r="GM97" s="128">
        <f t="shared" si="290"/>
        <v>1</v>
      </c>
      <c r="GN97" s="128">
        <f t="shared" si="291"/>
        <v>1</v>
      </c>
      <c r="GO97" s="128">
        <f t="shared" si="292"/>
        <v>1</v>
      </c>
      <c r="GP97" s="128">
        <f t="shared" si="293"/>
        <v>1</v>
      </c>
      <c r="GQ97" s="129">
        <f t="shared" si="294"/>
        <v>1</v>
      </c>
      <c r="GR97" s="129">
        <f t="shared" si="295"/>
        <v>0.99960933254999318</v>
      </c>
    </row>
    <row r="98" spans="1:200" x14ac:dyDescent="0.25">
      <c r="A98" s="42">
        <v>257</v>
      </c>
      <c r="B98" s="81">
        <v>2</v>
      </c>
      <c r="C98" s="81"/>
      <c r="D98" s="81"/>
      <c r="E98" s="81"/>
      <c r="F98" s="81">
        <v>1</v>
      </c>
      <c r="G98" s="81">
        <v>4</v>
      </c>
      <c r="H98" s="81"/>
      <c r="I98" s="81"/>
      <c r="J98" s="81"/>
      <c r="K98" s="81">
        <v>7</v>
      </c>
      <c r="L98" s="81"/>
      <c r="M98" s="81">
        <v>17</v>
      </c>
      <c r="N98" s="81"/>
      <c r="O98" s="81"/>
      <c r="P98" s="81"/>
      <c r="Q98" s="81"/>
      <c r="R98" s="81"/>
      <c r="S98" s="81"/>
      <c r="T98" s="81"/>
      <c r="V98" s="81"/>
      <c r="W98" s="81"/>
      <c r="X98" s="81">
        <v>0</v>
      </c>
      <c r="Y98" s="81"/>
      <c r="Z98" s="81">
        <v>169</v>
      </c>
      <c r="AA98" s="81"/>
      <c r="AB98" s="81">
        <v>36</v>
      </c>
      <c r="AC98" s="81"/>
      <c r="AD98" s="81"/>
      <c r="AE98" s="81"/>
      <c r="AF98" s="81"/>
      <c r="AG98" s="81"/>
      <c r="AH98" s="97"/>
      <c r="AI98" s="81"/>
      <c r="AJ98" s="81"/>
      <c r="AK98" s="81"/>
      <c r="AL98" s="81"/>
      <c r="AM98" s="81"/>
      <c r="AN98" s="81"/>
      <c r="AO98" s="81"/>
      <c r="AP98" s="81"/>
      <c r="AQ98" s="81"/>
      <c r="AR98" s="81"/>
      <c r="AS98" s="81"/>
      <c r="AT98" s="81"/>
      <c r="AU98" s="81"/>
      <c r="AV98" s="71"/>
      <c r="AW98" s="71"/>
      <c r="AY98" s="42">
        <v>257</v>
      </c>
      <c r="AZ98" s="48">
        <f t="shared" si="342"/>
        <v>8.7180157796085608E-5</v>
      </c>
      <c r="BA98" s="48">
        <f t="shared" si="200"/>
        <v>0</v>
      </c>
      <c r="BB98" s="48">
        <f t="shared" si="201"/>
        <v>0</v>
      </c>
      <c r="BC98" s="48">
        <f t="shared" si="202"/>
        <v>0</v>
      </c>
      <c r="BD98" s="48">
        <f t="shared" si="203"/>
        <v>3.9603960396039607E-4</v>
      </c>
      <c r="BE98" s="48">
        <f t="shared" si="204"/>
        <v>3.4692107545533391E-4</v>
      </c>
      <c r="BF98" s="48">
        <f t="shared" si="205"/>
        <v>0</v>
      </c>
      <c r="BG98" s="48">
        <f t="shared" si="206"/>
        <v>0</v>
      </c>
      <c r="BH98" s="48">
        <f t="shared" si="207"/>
        <v>0</v>
      </c>
      <c r="BI98" s="48">
        <f t="shared" si="208"/>
        <v>3.7076271186440679E-3</v>
      </c>
      <c r="BJ98" s="48">
        <f t="shared" si="209"/>
        <v>0</v>
      </c>
      <c r="BK98" s="48">
        <f t="shared" si="210"/>
        <v>2.3442778934594646E-4</v>
      </c>
      <c r="BL98" s="48">
        <f t="shared" si="211"/>
        <v>0</v>
      </c>
      <c r="BM98" s="48">
        <f t="shared" si="212"/>
        <v>0</v>
      </c>
      <c r="BN98" s="48">
        <f t="shared" si="213"/>
        <v>0</v>
      </c>
      <c r="BO98" s="48">
        <f t="shared" si="214"/>
        <v>0</v>
      </c>
      <c r="BP98" s="48">
        <f t="shared" si="215"/>
        <v>0</v>
      </c>
      <c r="BQ98" s="48">
        <f t="shared" si="216"/>
        <v>0</v>
      </c>
      <c r="BR98" s="48">
        <f t="shared" si="217"/>
        <v>0</v>
      </c>
      <c r="BS98" s="48"/>
      <c r="BT98" s="48">
        <f t="shared" si="218"/>
        <v>0</v>
      </c>
      <c r="BU98" s="48">
        <f t="shared" si="219"/>
        <v>0</v>
      </c>
      <c r="BV98" s="48">
        <f t="shared" si="220"/>
        <v>0</v>
      </c>
      <c r="BW98" s="48">
        <f t="shared" si="221"/>
        <v>0</v>
      </c>
      <c r="BX98" s="48">
        <f t="shared" si="222"/>
        <v>2.419158590875907E-3</v>
      </c>
      <c r="BY98" s="48">
        <f t="shared" si="223"/>
        <v>0</v>
      </c>
      <c r="BZ98" s="48">
        <f t="shared" si="224"/>
        <v>5.4923260000610261E-4</v>
      </c>
      <c r="CA98" s="48">
        <f t="shared" si="225"/>
        <v>0</v>
      </c>
      <c r="CB98" s="48">
        <f t="shared" si="226"/>
        <v>0</v>
      </c>
      <c r="CC98" s="48">
        <f t="shared" si="227"/>
        <v>0</v>
      </c>
      <c r="CD98" s="48">
        <f t="shared" si="228"/>
        <v>0</v>
      </c>
      <c r="CE98" s="48">
        <f t="shared" si="229"/>
        <v>0</v>
      </c>
      <c r="CF98" s="48">
        <f t="shared" si="230"/>
        <v>0</v>
      </c>
      <c r="CG98" s="48">
        <f t="shared" si="231"/>
        <v>0</v>
      </c>
      <c r="CH98" s="48">
        <f t="shared" si="232"/>
        <v>0</v>
      </c>
      <c r="CI98" s="48">
        <f t="shared" si="233"/>
        <v>0</v>
      </c>
      <c r="CJ98" s="48">
        <f t="shared" si="234"/>
        <v>0</v>
      </c>
      <c r="CK98" s="48">
        <f t="shared" si="235"/>
        <v>0</v>
      </c>
      <c r="CL98" s="48">
        <f t="shared" si="236"/>
        <v>0</v>
      </c>
      <c r="CM98" s="48">
        <f t="shared" si="237"/>
        <v>0</v>
      </c>
      <c r="CN98" s="48">
        <f t="shared" si="258"/>
        <v>0</v>
      </c>
      <c r="CO98" s="48">
        <f t="shared" si="259"/>
        <v>0</v>
      </c>
      <c r="CP98" s="48">
        <f t="shared" si="260"/>
        <v>0</v>
      </c>
      <c r="CQ98" s="48">
        <f t="shared" si="261"/>
        <v>0</v>
      </c>
      <c r="CR98" s="48">
        <f t="shared" si="262"/>
        <v>0</v>
      </c>
      <c r="CS98" s="48">
        <f t="shared" si="263"/>
        <v>0</v>
      </c>
      <c r="CT98" s="68">
        <f t="shared" si="264"/>
        <v>1.0000000000000002</v>
      </c>
      <c r="CU98" s="68">
        <f t="shared" si="265"/>
        <v>0.9997960010079997</v>
      </c>
      <c r="CW98" s="42">
        <v>257</v>
      </c>
      <c r="CX98" s="58">
        <f t="shared" si="316"/>
        <v>22940</v>
      </c>
      <c r="CY98" s="58">
        <f t="shared" si="317"/>
        <v>19148</v>
      </c>
      <c r="CZ98" s="58">
        <f t="shared" si="318"/>
        <v>22877</v>
      </c>
      <c r="DA98" s="58">
        <f t="shared" si="319"/>
        <v>430</v>
      </c>
      <c r="DB98" s="58">
        <f t="shared" si="320"/>
        <v>2525</v>
      </c>
      <c r="DC98" s="58">
        <f t="shared" si="321"/>
        <v>11517</v>
      </c>
      <c r="DD98" s="58">
        <f t="shared" si="322"/>
        <v>10669</v>
      </c>
      <c r="DE98" s="58">
        <f t="shared" si="323"/>
        <v>9414</v>
      </c>
      <c r="DF98" s="58">
        <f t="shared" si="324"/>
        <v>12990</v>
      </c>
      <c r="DG98" s="58">
        <f t="shared" si="325"/>
        <v>1879</v>
      </c>
      <c r="DH98" s="58">
        <f t="shared" si="326"/>
        <v>28669</v>
      </c>
      <c r="DI98" s="58">
        <f t="shared" si="327"/>
        <v>72422</v>
      </c>
      <c r="DJ98" s="58">
        <f t="shared" si="328"/>
        <v>45039</v>
      </c>
      <c r="DK98" s="58">
        <f t="shared" si="329"/>
        <v>10231</v>
      </c>
      <c r="DL98" s="58">
        <f t="shared" si="330"/>
        <v>24707</v>
      </c>
      <c r="DM98" s="58">
        <f t="shared" si="331"/>
        <v>39216</v>
      </c>
      <c r="DN98" s="58">
        <f t="shared" si="332"/>
        <v>34216</v>
      </c>
      <c r="DO98" s="58">
        <f t="shared" si="333"/>
        <v>18725</v>
      </c>
      <c r="DP98" s="58">
        <f t="shared" si="334"/>
        <v>28127</v>
      </c>
      <c r="DQ98" s="58"/>
      <c r="DR98" s="58">
        <f t="shared" si="335"/>
        <v>57469</v>
      </c>
      <c r="DS98" s="58">
        <f t="shared" si="336"/>
        <v>2948</v>
      </c>
      <c r="DT98" s="58">
        <f t="shared" si="337"/>
        <v>3661</v>
      </c>
      <c r="DU98" s="58">
        <f t="shared" si="338"/>
        <v>23924.447414749116</v>
      </c>
      <c r="DV98" s="58">
        <f t="shared" si="339"/>
        <v>69778</v>
      </c>
      <c r="DW98" s="58">
        <f t="shared" si="340"/>
        <v>77049</v>
      </c>
      <c r="DX98" s="58">
        <f t="shared" si="341"/>
        <v>65546</v>
      </c>
      <c r="DY98" s="58">
        <f t="shared" si="303"/>
        <v>101067</v>
      </c>
      <c r="DZ98" s="58">
        <f t="shared" si="304"/>
        <v>66708</v>
      </c>
      <c r="EA98" s="58">
        <f t="shared" si="305"/>
        <v>10021</v>
      </c>
      <c r="EB98" s="58">
        <f t="shared" si="306"/>
        <v>12503</v>
      </c>
      <c r="EC98" s="58">
        <f t="shared" si="307"/>
        <v>17030</v>
      </c>
      <c r="ED98" s="58">
        <f t="shared" si="308"/>
        <v>22529.20627986913</v>
      </c>
      <c r="EE98" s="58">
        <f t="shared" si="309"/>
        <v>40272</v>
      </c>
      <c r="EF98" s="58">
        <f t="shared" si="310"/>
        <v>48355</v>
      </c>
      <c r="EG98" s="58">
        <f t="shared" si="311"/>
        <v>19485.409303526412</v>
      </c>
      <c r="EH98" s="58">
        <f t="shared" si="312"/>
        <v>13539.404372589403</v>
      </c>
      <c r="EI98" s="58">
        <f t="shared" si="313"/>
        <v>22553</v>
      </c>
      <c r="EJ98" s="58">
        <f t="shared" si="314"/>
        <v>55397</v>
      </c>
      <c r="EK98" s="58">
        <f t="shared" si="315"/>
        <v>72409</v>
      </c>
      <c r="EL98" s="58">
        <f t="shared" si="296"/>
        <v>59106</v>
      </c>
      <c r="EM98" s="58">
        <f t="shared" si="297"/>
        <v>41289</v>
      </c>
      <c r="EN98" s="58">
        <f t="shared" si="298"/>
        <v>60004</v>
      </c>
      <c r="EO98" s="58">
        <f t="shared" si="299"/>
        <v>85785</v>
      </c>
      <c r="EP98" s="58">
        <f t="shared" si="300"/>
        <v>153406</v>
      </c>
      <c r="EQ98" s="58">
        <f t="shared" si="301"/>
        <v>210303</v>
      </c>
      <c r="ER98" s="67">
        <f t="shared" si="266"/>
        <v>77379.140437258946</v>
      </c>
      <c r="ES98" s="67">
        <f t="shared" si="267"/>
        <v>42987.401643188634</v>
      </c>
      <c r="EV98" s="42">
        <v>257</v>
      </c>
      <c r="EW98" s="128">
        <f t="shared" si="343"/>
        <v>0.99995640992110191</v>
      </c>
      <c r="EX98" s="128">
        <f t="shared" si="343"/>
        <v>1</v>
      </c>
      <c r="EY98" s="128">
        <f t="shared" si="343"/>
        <v>1</v>
      </c>
      <c r="EZ98" s="128">
        <f t="shared" si="343"/>
        <v>1</v>
      </c>
      <c r="FA98" s="128">
        <f t="shared" si="343"/>
        <v>1</v>
      </c>
      <c r="FB98" s="128">
        <f t="shared" si="343"/>
        <v>0.99887250650477022</v>
      </c>
      <c r="FC98" s="128">
        <f t="shared" si="343"/>
        <v>1</v>
      </c>
      <c r="FD98" s="128">
        <f t="shared" si="343"/>
        <v>1</v>
      </c>
      <c r="FE98" s="128">
        <f t="shared" si="343"/>
        <v>1</v>
      </c>
      <c r="FF98" s="128">
        <f t="shared" si="343"/>
        <v>0.99523305084745761</v>
      </c>
      <c r="FG98" s="128">
        <f t="shared" si="343"/>
        <v>1</v>
      </c>
      <c r="FH98" s="128">
        <f t="shared" si="343"/>
        <v>0.99868996235365504</v>
      </c>
      <c r="FI98" s="128">
        <f t="shared" si="343"/>
        <v>1</v>
      </c>
      <c r="FJ98" s="128">
        <f t="shared" si="343"/>
        <v>1</v>
      </c>
      <c r="FK98" s="128">
        <f t="shared" si="343"/>
        <v>1</v>
      </c>
      <c r="FL98" s="128">
        <f t="shared" si="344"/>
        <v>1</v>
      </c>
      <c r="FM98" s="128">
        <f t="shared" si="345"/>
        <v>1</v>
      </c>
      <c r="FN98" s="128">
        <f t="shared" si="346"/>
        <v>1</v>
      </c>
      <c r="FO98" s="128">
        <f t="shared" si="347"/>
        <v>1</v>
      </c>
      <c r="FP98" s="128"/>
      <c r="FQ98" s="128">
        <f t="shared" si="348"/>
        <v>1</v>
      </c>
      <c r="FR98" s="128">
        <f t="shared" si="348"/>
        <v>1</v>
      </c>
      <c r="FS98" s="128">
        <f t="shared" si="348"/>
        <v>1</v>
      </c>
      <c r="FT98" s="128">
        <f t="shared" si="348"/>
        <v>1</v>
      </c>
      <c r="FU98" s="128">
        <f t="shared" si="348"/>
        <v>0.99884052162212456</v>
      </c>
      <c r="FV98" s="128">
        <f t="shared" si="348"/>
        <v>1</v>
      </c>
      <c r="FW98" s="128">
        <f t="shared" si="348"/>
        <v>1</v>
      </c>
      <c r="FX98" s="128">
        <f t="shared" si="348"/>
        <v>1</v>
      </c>
      <c r="FY98" s="128">
        <f t="shared" si="348"/>
        <v>1</v>
      </c>
      <c r="FZ98" s="128">
        <f t="shared" si="348"/>
        <v>1</v>
      </c>
      <c r="GA98" s="128">
        <f t="shared" si="348"/>
        <v>1</v>
      </c>
      <c r="GB98" s="128">
        <f t="shared" si="348"/>
        <v>1</v>
      </c>
      <c r="GC98" s="128">
        <f t="shared" si="348"/>
        <v>1</v>
      </c>
      <c r="GD98" s="128">
        <f t="shared" si="348"/>
        <v>1</v>
      </c>
      <c r="GE98" s="128">
        <f t="shared" si="348"/>
        <v>1</v>
      </c>
      <c r="GF98" s="128">
        <f t="shared" si="349"/>
        <v>1</v>
      </c>
      <c r="GG98" s="128">
        <f t="shared" si="350"/>
        <v>1</v>
      </c>
      <c r="GH98" s="128">
        <f t="shared" si="351"/>
        <v>1</v>
      </c>
      <c r="GI98" s="128">
        <f t="shared" si="352"/>
        <v>1</v>
      </c>
      <c r="GJ98" s="128">
        <f t="shared" si="353"/>
        <v>1</v>
      </c>
      <c r="GK98" s="128">
        <f t="shared" si="354"/>
        <v>1</v>
      </c>
      <c r="GL98" s="128">
        <f t="shared" si="289"/>
        <v>1</v>
      </c>
      <c r="GM98" s="128">
        <f t="shared" si="290"/>
        <v>1</v>
      </c>
      <c r="GN98" s="128">
        <f t="shared" si="291"/>
        <v>1</v>
      </c>
      <c r="GO98" s="128">
        <f t="shared" si="292"/>
        <v>1</v>
      </c>
      <c r="GP98" s="128">
        <f t="shared" si="293"/>
        <v>1</v>
      </c>
      <c r="GQ98" s="129">
        <f t="shared" si="294"/>
        <v>1</v>
      </c>
      <c r="GR98" s="129">
        <f t="shared" si="295"/>
        <v>0.99979600100800015</v>
      </c>
    </row>
    <row r="99" spans="1:200" x14ac:dyDescent="0.25">
      <c r="A99" s="42">
        <v>258</v>
      </c>
      <c r="B99" s="81">
        <v>1</v>
      </c>
      <c r="C99" s="81"/>
      <c r="D99" s="81"/>
      <c r="E99" s="81"/>
      <c r="F99" s="81">
        <v>0</v>
      </c>
      <c r="G99" s="81">
        <v>2</v>
      </c>
      <c r="H99" s="81"/>
      <c r="I99" s="81"/>
      <c r="J99" s="81"/>
      <c r="K99" s="81">
        <v>2</v>
      </c>
      <c r="L99" s="81"/>
      <c r="M99" s="81">
        <v>32</v>
      </c>
      <c r="N99" s="81"/>
      <c r="O99" s="81"/>
      <c r="P99" s="81"/>
      <c r="Q99" s="81"/>
      <c r="R99" s="81"/>
      <c r="S99" s="81"/>
      <c r="T99" s="81"/>
      <c r="V99" s="81"/>
      <c r="W99" s="81"/>
      <c r="X99" s="81"/>
      <c r="Y99" s="81"/>
      <c r="Z99" s="81">
        <v>60</v>
      </c>
      <c r="AA99" s="81"/>
      <c r="AB99" s="81"/>
      <c r="AC99" s="81"/>
      <c r="AD99" s="81"/>
      <c r="AE99" s="81"/>
      <c r="AF99" s="81"/>
      <c r="AG99" s="81"/>
      <c r="AH99" s="97"/>
      <c r="AI99" s="81"/>
      <c r="AJ99" s="81"/>
      <c r="AK99" s="81"/>
      <c r="AL99" s="81"/>
      <c r="AM99" s="81"/>
      <c r="AN99" s="81"/>
      <c r="AO99" s="81"/>
      <c r="AP99" s="81"/>
      <c r="AQ99" s="81"/>
      <c r="AR99" s="81"/>
      <c r="AS99" s="81"/>
      <c r="AT99" s="81"/>
      <c r="AU99" s="81"/>
      <c r="AV99" s="71"/>
      <c r="AW99" s="71"/>
      <c r="AY99" s="42">
        <v>258</v>
      </c>
      <c r="AZ99" s="48">
        <f t="shared" si="342"/>
        <v>4.3590078898042804E-5</v>
      </c>
      <c r="BA99" s="48">
        <f t="shared" si="200"/>
        <v>0</v>
      </c>
      <c r="BB99" s="48">
        <f t="shared" si="201"/>
        <v>0</v>
      </c>
      <c r="BC99" s="48">
        <f t="shared" si="202"/>
        <v>0</v>
      </c>
      <c r="BD99" s="48">
        <f t="shared" si="203"/>
        <v>0</v>
      </c>
      <c r="BE99" s="48">
        <f t="shared" si="204"/>
        <v>1.7346053772766696E-4</v>
      </c>
      <c r="BF99" s="48">
        <f t="shared" si="205"/>
        <v>0</v>
      </c>
      <c r="BG99" s="48">
        <f t="shared" si="206"/>
        <v>0</v>
      </c>
      <c r="BH99" s="48">
        <f t="shared" si="207"/>
        <v>0</v>
      </c>
      <c r="BI99" s="48">
        <f t="shared" si="208"/>
        <v>1.0593220338983051E-3</v>
      </c>
      <c r="BJ99" s="48">
        <f t="shared" si="209"/>
        <v>0</v>
      </c>
      <c r="BK99" s="48">
        <f t="shared" si="210"/>
        <v>4.4127583876884039E-4</v>
      </c>
      <c r="BL99" s="48">
        <f t="shared" si="211"/>
        <v>0</v>
      </c>
      <c r="BM99" s="48">
        <f t="shared" si="212"/>
        <v>0</v>
      </c>
      <c r="BN99" s="48">
        <f t="shared" si="213"/>
        <v>0</v>
      </c>
      <c r="BO99" s="48">
        <f t="shared" si="214"/>
        <v>0</v>
      </c>
      <c r="BP99" s="48">
        <f t="shared" si="215"/>
        <v>0</v>
      </c>
      <c r="BQ99" s="48">
        <f t="shared" si="216"/>
        <v>0</v>
      </c>
      <c r="BR99" s="48">
        <f t="shared" si="217"/>
        <v>0</v>
      </c>
      <c r="BS99" s="48"/>
      <c r="BT99" s="48">
        <f t="shared" si="218"/>
        <v>0</v>
      </c>
      <c r="BU99" s="48">
        <f t="shared" si="219"/>
        <v>0</v>
      </c>
      <c r="BV99" s="48">
        <f t="shared" si="220"/>
        <v>0</v>
      </c>
      <c r="BW99" s="48">
        <f t="shared" si="221"/>
        <v>0</v>
      </c>
      <c r="BX99" s="48">
        <f t="shared" si="222"/>
        <v>8.588728725003221E-4</v>
      </c>
      <c r="BY99" s="48">
        <f t="shared" si="223"/>
        <v>0</v>
      </c>
      <c r="BZ99" s="48">
        <f t="shared" si="224"/>
        <v>0</v>
      </c>
      <c r="CA99" s="48">
        <f t="shared" si="225"/>
        <v>0</v>
      </c>
      <c r="CB99" s="48">
        <f t="shared" si="226"/>
        <v>0</v>
      </c>
      <c r="CC99" s="48">
        <f t="shared" si="227"/>
        <v>0</v>
      </c>
      <c r="CD99" s="48">
        <f t="shared" si="228"/>
        <v>0</v>
      </c>
      <c r="CE99" s="48">
        <f t="shared" si="229"/>
        <v>0</v>
      </c>
      <c r="CF99" s="48">
        <f t="shared" si="230"/>
        <v>0</v>
      </c>
      <c r="CG99" s="48">
        <f t="shared" si="231"/>
        <v>0</v>
      </c>
      <c r="CH99" s="48">
        <f t="shared" si="232"/>
        <v>0</v>
      </c>
      <c r="CI99" s="48">
        <f t="shared" si="233"/>
        <v>0</v>
      </c>
      <c r="CJ99" s="48">
        <f t="shared" si="234"/>
        <v>0</v>
      </c>
      <c r="CK99" s="48">
        <f t="shared" si="235"/>
        <v>0</v>
      </c>
      <c r="CL99" s="48">
        <f t="shared" si="236"/>
        <v>0</v>
      </c>
      <c r="CM99" s="48">
        <f t="shared" si="237"/>
        <v>0</v>
      </c>
      <c r="CN99" s="48">
        <f t="shared" si="258"/>
        <v>0</v>
      </c>
      <c r="CO99" s="48">
        <f t="shared" si="259"/>
        <v>0</v>
      </c>
      <c r="CP99" s="48">
        <f t="shared" si="260"/>
        <v>0</v>
      </c>
      <c r="CQ99" s="48">
        <f t="shared" si="261"/>
        <v>0</v>
      </c>
      <c r="CR99" s="48">
        <f t="shared" si="262"/>
        <v>0</v>
      </c>
      <c r="CS99" s="48">
        <f t="shared" si="263"/>
        <v>0</v>
      </c>
      <c r="CT99" s="68">
        <f t="shared" si="264"/>
        <v>1.0000000000000002</v>
      </c>
      <c r="CU99" s="68">
        <f t="shared" si="265"/>
        <v>0.99985777981977764</v>
      </c>
      <c r="CW99" s="42">
        <v>258</v>
      </c>
      <c r="CX99" s="58">
        <f t="shared" si="316"/>
        <v>22941</v>
      </c>
      <c r="CY99" s="58">
        <f t="shared" si="317"/>
        <v>19148</v>
      </c>
      <c r="CZ99" s="58">
        <f t="shared" si="318"/>
        <v>22877</v>
      </c>
      <c r="DA99" s="58">
        <f t="shared" si="319"/>
        <v>430</v>
      </c>
      <c r="DB99" s="58">
        <f t="shared" si="320"/>
        <v>2525</v>
      </c>
      <c r="DC99" s="58">
        <f t="shared" si="321"/>
        <v>11519</v>
      </c>
      <c r="DD99" s="58">
        <f t="shared" si="322"/>
        <v>10669</v>
      </c>
      <c r="DE99" s="58">
        <f t="shared" si="323"/>
        <v>9414</v>
      </c>
      <c r="DF99" s="58">
        <f t="shared" si="324"/>
        <v>12990</v>
      </c>
      <c r="DG99" s="58">
        <f t="shared" si="325"/>
        <v>1881</v>
      </c>
      <c r="DH99" s="58">
        <f t="shared" si="326"/>
        <v>28669</v>
      </c>
      <c r="DI99" s="58">
        <f t="shared" si="327"/>
        <v>72454</v>
      </c>
      <c r="DJ99" s="58">
        <f t="shared" si="328"/>
        <v>45039</v>
      </c>
      <c r="DK99" s="58">
        <f t="shared" si="329"/>
        <v>10231</v>
      </c>
      <c r="DL99" s="58">
        <f t="shared" si="330"/>
        <v>24707</v>
      </c>
      <c r="DM99" s="58">
        <f t="shared" si="331"/>
        <v>39216</v>
      </c>
      <c r="DN99" s="58">
        <f t="shared" si="332"/>
        <v>34216</v>
      </c>
      <c r="DO99" s="58">
        <f t="shared" si="333"/>
        <v>18725</v>
      </c>
      <c r="DP99" s="58">
        <f t="shared" si="334"/>
        <v>28127</v>
      </c>
      <c r="DQ99" s="58"/>
      <c r="DR99" s="58">
        <f t="shared" si="335"/>
        <v>57469</v>
      </c>
      <c r="DS99" s="58">
        <f t="shared" si="336"/>
        <v>2948</v>
      </c>
      <c r="DT99" s="58">
        <f t="shared" si="337"/>
        <v>3661</v>
      </c>
      <c r="DU99" s="58">
        <f t="shared" si="338"/>
        <v>23924.447414749116</v>
      </c>
      <c r="DV99" s="58">
        <f t="shared" si="339"/>
        <v>69838</v>
      </c>
      <c r="DW99" s="58">
        <f t="shared" si="340"/>
        <v>77049</v>
      </c>
      <c r="DX99" s="58">
        <f t="shared" si="341"/>
        <v>65546</v>
      </c>
      <c r="DY99" s="58">
        <f t="shared" si="303"/>
        <v>101067</v>
      </c>
      <c r="DZ99" s="58">
        <f t="shared" si="304"/>
        <v>66708</v>
      </c>
      <c r="EA99" s="58">
        <f t="shared" si="305"/>
        <v>10021</v>
      </c>
      <c r="EB99" s="58">
        <f t="shared" si="306"/>
        <v>12503</v>
      </c>
      <c r="EC99" s="58">
        <f t="shared" si="307"/>
        <v>17030</v>
      </c>
      <c r="ED99" s="58">
        <f t="shared" si="308"/>
        <v>22529.20627986913</v>
      </c>
      <c r="EE99" s="58">
        <f t="shared" si="309"/>
        <v>40272</v>
      </c>
      <c r="EF99" s="58">
        <f t="shared" si="310"/>
        <v>48355</v>
      </c>
      <c r="EG99" s="58">
        <f t="shared" si="311"/>
        <v>19485.409303526412</v>
      </c>
      <c r="EH99" s="58">
        <f t="shared" si="312"/>
        <v>13539.404372589403</v>
      </c>
      <c r="EI99" s="58">
        <f t="shared" si="313"/>
        <v>22553</v>
      </c>
      <c r="EJ99" s="58">
        <f t="shared" si="314"/>
        <v>55397</v>
      </c>
      <c r="EK99" s="58">
        <f t="shared" si="315"/>
        <v>72409</v>
      </c>
      <c r="EL99" s="58">
        <f t="shared" si="296"/>
        <v>59106</v>
      </c>
      <c r="EM99" s="58">
        <f t="shared" si="297"/>
        <v>41289</v>
      </c>
      <c r="EN99" s="58">
        <f t="shared" si="298"/>
        <v>60004</v>
      </c>
      <c r="EO99" s="58">
        <f t="shared" si="299"/>
        <v>85785</v>
      </c>
      <c r="EP99" s="58">
        <f t="shared" si="300"/>
        <v>153406</v>
      </c>
      <c r="EQ99" s="58">
        <f t="shared" si="301"/>
        <v>210303</v>
      </c>
      <c r="ER99" s="67">
        <f t="shared" si="266"/>
        <v>77379.140437258946</v>
      </c>
      <c r="ES99" s="67">
        <f t="shared" si="267"/>
        <v>42989.743106603273</v>
      </c>
      <c r="EV99" s="42">
        <v>258</v>
      </c>
      <c r="EW99" s="128">
        <f t="shared" si="343"/>
        <v>1</v>
      </c>
      <c r="EX99" s="128">
        <f t="shared" si="343"/>
        <v>1</v>
      </c>
      <c r="EY99" s="128">
        <f t="shared" si="343"/>
        <v>1</v>
      </c>
      <c r="EZ99" s="128">
        <f t="shared" si="343"/>
        <v>1</v>
      </c>
      <c r="FA99" s="128">
        <f t="shared" si="343"/>
        <v>1</v>
      </c>
      <c r="FB99" s="128">
        <f t="shared" si="343"/>
        <v>0.99904596704249782</v>
      </c>
      <c r="FC99" s="128">
        <f t="shared" si="343"/>
        <v>1</v>
      </c>
      <c r="FD99" s="128">
        <f t="shared" si="343"/>
        <v>1</v>
      </c>
      <c r="FE99" s="128">
        <f t="shared" si="343"/>
        <v>1</v>
      </c>
      <c r="FF99" s="128">
        <f t="shared" si="343"/>
        <v>0.99629237288135597</v>
      </c>
      <c r="FG99" s="128">
        <f t="shared" si="343"/>
        <v>1</v>
      </c>
      <c r="FH99" s="128">
        <f t="shared" si="343"/>
        <v>0.99913123819242389</v>
      </c>
      <c r="FI99" s="128">
        <f t="shared" si="343"/>
        <v>1</v>
      </c>
      <c r="FJ99" s="128">
        <f t="shared" si="343"/>
        <v>1</v>
      </c>
      <c r="FK99" s="128">
        <f t="shared" si="343"/>
        <v>1</v>
      </c>
      <c r="FL99" s="128">
        <f t="shared" si="344"/>
        <v>1</v>
      </c>
      <c r="FM99" s="128">
        <f t="shared" si="345"/>
        <v>1</v>
      </c>
      <c r="FN99" s="128">
        <f t="shared" si="346"/>
        <v>1</v>
      </c>
      <c r="FO99" s="128">
        <f t="shared" si="347"/>
        <v>1</v>
      </c>
      <c r="FP99" s="128"/>
      <c r="FQ99" s="128">
        <f t="shared" si="348"/>
        <v>1</v>
      </c>
      <c r="FR99" s="128">
        <f t="shared" si="348"/>
        <v>1</v>
      </c>
      <c r="FS99" s="128">
        <f t="shared" si="348"/>
        <v>1</v>
      </c>
      <c r="FT99" s="128">
        <f t="shared" si="348"/>
        <v>1</v>
      </c>
      <c r="FU99" s="128">
        <f t="shared" si="348"/>
        <v>0.99969939449462486</v>
      </c>
      <c r="FV99" s="128">
        <f t="shared" si="348"/>
        <v>1</v>
      </c>
      <c r="FW99" s="128">
        <f t="shared" si="348"/>
        <v>1</v>
      </c>
      <c r="FX99" s="128">
        <f t="shared" si="348"/>
        <v>1</v>
      </c>
      <c r="FY99" s="128">
        <f t="shared" si="348"/>
        <v>1</v>
      </c>
      <c r="FZ99" s="128">
        <f t="shared" si="348"/>
        <v>1</v>
      </c>
      <c r="GA99" s="128">
        <f t="shared" si="348"/>
        <v>1</v>
      </c>
      <c r="GB99" s="128">
        <f t="shared" si="348"/>
        <v>1</v>
      </c>
      <c r="GC99" s="128">
        <f t="shared" si="348"/>
        <v>1</v>
      </c>
      <c r="GD99" s="128">
        <f t="shared" si="348"/>
        <v>1</v>
      </c>
      <c r="GE99" s="128">
        <f t="shared" si="348"/>
        <v>1</v>
      </c>
      <c r="GF99" s="128">
        <f t="shared" si="349"/>
        <v>1</v>
      </c>
      <c r="GG99" s="128">
        <f t="shared" si="350"/>
        <v>1</v>
      </c>
      <c r="GH99" s="128">
        <f t="shared" si="351"/>
        <v>1</v>
      </c>
      <c r="GI99" s="128">
        <f t="shared" si="352"/>
        <v>1</v>
      </c>
      <c r="GJ99" s="128">
        <f t="shared" si="353"/>
        <v>1</v>
      </c>
      <c r="GK99" s="128">
        <f t="shared" si="354"/>
        <v>1</v>
      </c>
      <c r="GL99" s="128">
        <f t="shared" si="289"/>
        <v>1</v>
      </c>
      <c r="GM99" s="128">
        <f t="shared" si="290"/>
        <v>1</v>
      </c>
      <c r="GN99" s="128">
        <f t="shared" si="291"/>
        <v>1</v>
      </c>
      <c r="GO99" s="128">
        <f t="shared" si="292"/>
        <v>1</v>
      </c>
      <c r="GP99" s="128">
        <f t="shared" si="293"/>
        <v>1</v>
      </c>
      <c r="GQ99" s="129">
        <f t="shared" si="294"/>
        <v>1</v>
      </c>
      <c r="GR99" s="129">
        <f t="shared" si="295"/>
        <v>0.99985777981977819</v>
      </c>
    </row>
    <row r="100" spans="1:200" x14ac:dyDescent="0.25">
      <c r="A100" s="42">
        <v>259</v>
      </c>
      <c r="B100" s="81">
        <v>0</v>
      </c>
      <c r="C100" s="81"/>
      <c r="D100" s="81"/>
      <c r="E100" s="81"/>
      <c r="F100" s="81">
        <v>0</v>
      </c>
      <c r="G100" s="81">
        <v>8</v>
      </c>
      <c r="H100" s="81"/>
      <c r="I100" s="81"/>
      <c r="J100" s="81"/>
      <c r="K100" s="81">
        <v>3</v>
      </c>
      <c r="L100" s="81"/>
      <c r="M100" s="81">
        <v>63</v>
      </c>
      <c r="N100" s="81"/>
      <c r="O100" s="81"/>
      <c r="P100" s="81"/>
      <c r="Q100" s="81"/>
      <c r="R100" s="81"/>
      <c r="S100" s="81"/>
      <c r="T100" s="81"/>
      <c r="V100" s="81"/>
      <c r="W100" s="81"/>
      <c r="X100" s="81"/>
      <c r="Y100" s="81"/>
      <c r="Z100" s="81">
        <v>5</v>
      </c>
      <c r="AA100" s="81"/>
      <c r="AB100" s="81"/>
      <c r="AC100" s="81"/>
      <c r="AD100" s="81"/>
      <c r="AE100" s="81"/>
      <c r="AF100" s="81"/>
      <c r="AG100" s="81"/>
      <c r="AH100" s="97"/>
      <c r="AI100" s="81"/>
      <c r="AJ100" s="81"/>
      <c r="AK100" s="81"/>
      <c r="AL100" s="81"/>
      <c r="AM100" s="81"/>
      <c r="AN100" s="81"/>
      <c r="AO100" s="81"/>
      <c r="AP100" s="81"/>
      <c r="AQ100" s="81"/>
      <c r="AR100" s="81"/>
      <c r="AS100" s="81"/>
      <c r="AT100" s="81"/>
      <c r="AU100" s="81"/>
      <c r="AV100" s="71"/>
      <c r="AW100" s="71"/>
      <c r="AY100" s="42">
        <v>259</v>
      </c>
      <c r="AZ100" s="48">
        <f t="shared" si="342"/>
        <v>0</v>
      </c>
      <c r="BA100" s="48">
        <f t="shared" si="200"/>
        <v>0</v>
      </c>
      <c r="BB100" s="48">
        <f t="shared" si="201"/>
        <v>0</v>
      </c>
      <c r="BC100" s="48">
        <f t="shared" si="202"/>
        <v>0</v>
      </c>
      <c r="BD100" s="48">
        <f t="shared" si="203"/>
        <v>0</v>
      </c>
      <c r="BE100" s="48">
        <f t="shared" si="204"/>
        <v>6.9384215091066782E-4</v>
      </c>
      <c r="BF100" s="48">
        <f t="shared" si="205"/>
        <v>0</v>
      </c>
      <c r="BG100" s="48">
        <f t="shared" si="206"/>
        <v>0</v>
      </c>
      <c r="BH100" s="48">
        <f t="shared" si="207"/>
        <v>0</v>
      </c>
      <c r="BI100" s="48">
        <f t="shared" si="208"/>
        <v>1.5889830508474577E-3</v>
      </c>
      <c r="BJ100" s="48">
        <f t="shared" si="209"/>
        <v>0</v>
      </c>
      <c r="BK100" s="48">
        <f t="shared" si="210"/>
        <v>8.6876180757615451E-4</v>
      </c>
      <c r="BL100" s="48">
        <f t="shared" si="211"/>
        <v>0</v>
      </c>
      <c r="BM100" s="48">
        <f t="shared" si="212"/>
        <v>0</v>
      </c>
      <c r="BN100" s="48">
        <f t="shared" si="213"/>
        <v>0</v>
      </c>
      <c r="BO100" s="48">
        <f t="shared" si="214"/>
        <v>0</v>
      </c>
      <c r="BP100" s="48">
        <f t="shared" si="215"/>
        <v>0</v>
      </c>
      <c r="BQ100" s="48">
        <f t="shared" si="216"/>
        <v>0</v>
      </c>
      <c r="BR100" s="48">
        <f t="shared" si="217"/>
        <v>0</v>
      </c>
      <c r="BS100" s="48"/>
      <c r="BT100" s="48">
        <f t="shared" si="218"/>
        <v>0</v>
      </c>
      <c r="BU100" s="48">
        <f t="shared" si="219"/>
        <v>0</v>
      </c>
      <c r="BV100" s="48">
        <f t="shared" si="220"/>
        <v>0</v>
      </c>
      <c r="BW100" s="48">
        <f t="shared" si="221"/>
        <v>0</v>
      </c>
      <c r="BX100" s="48">
        <f t="shared" si="222"/>
        <v>7.1572739375026846E-5</v>
      </c>
      <c r="BY100" s="48">
        <f t="shared" si="223"/>
        <v>0</v>
      </c>
      <c r="BZ100" s="48">
        <f t="shared" si="224"/>
        <v>0</v>
      </c>
      <c r="CA100" s="48">
        <f t="shared" si="225"/>
        <v>0</v>
      </c>
      <c r="CB100" s="48">
        <f t="shared" si="226"/>
        <v>0</v>
      </c>
      <c r="CC100" s="48">
        <f t="shared" si="227"/>
        <v>0</v>
      </c>
      <c r="CD100" s="48">
        <f t="shared" si="228"/>
        <v>0</v>
      </c>
      <c r="CE100" s="48">
        <f t="shared" si="229"/>
        <v>0</v>
      </c>
      <c r="CF100" s="48">
        <f t="shared" si="230"/>
        <v>0</v>
      </c>
      <c r="CG100" s="48">
        <f t="shared" si="231"/>
        <v>0</v>
      </c>
      <c r="CH100" s="48">
        <f t="shared" si="232"/>
        <v>0</v>
      </c>
      <c r="CI100" s="48">
        <f t="shared" si="233"/>
        <v>0</v>
      </c>
      <c r="CJ100" s="48">
        <f t="shared" si="234"/>
        <v>0</v>
      </c>
      <c r="CK100" s="48">
        <f t="shared" si="235"/>
        <v>0</v>
      </c>
      <c r="CL100" s="48">
        <f t="shared" si="236"/>
        <v>0</v>
      </c>
      <c r="CM100" s="48">
        <f t="shared" si="237"/>
        <v>0</v>
      </c>
      <c r="CN100" s="48">
        <f t="shared" si="258"/>
        <v>0</v>
      </c>
      <c r="CO100" s="48">
        <f t="shared" si="259"/>
        <v>0</v>
      </c>
      <c r="CP100" s="48">
        <f t="shared" si="260"/>
        <v>0</v>
      </c>
      <c r="CQ100" s="48">
        <f t="shared" si="261"/>
        <v>0</v>
      </c>
      <c r="CR100" s="48">
        <f t="shared" si="262"/>
        <v>0</v>
      </c>
      <c r="CS100" s="48">
        <f t="shared" si="263"/>
        <v>0</v>
      </c>
      <c r="CT100" s="68">
        <f t="shared" si="264"/>
        <v>1.0000000000000002</v>
      </c>
      <c r="CU100" s="68">
        <f t="shared" si="265"/>
        <v>0.99993639347218521</v>
      </c>
      <c r="CW100" s="42">
        <v>259</v>
      </c>
      <c r="CX100" s="58">
        <f t="shared" si="316"/>
        <v>22941</v>
      </c>
      <c r="CY100" s="58">
        <f t="shared" si="317"/>
        <v>19148</v>
      </c>
      <c r="CZ100" s="58">
        <f t="shared" si="318"/>
        <v>22877</v>
      </c>
      <c r="DA100" s="58">
        <f t="shared" si="319"/>
        <v>430</v>
      </c>
      <c r="DB100" s="58">
        <f t="shared" si="320"/>
        <v>2525</v>
      </c>
      <c r="DC100" s="58">
        <f t="shared" si="321"/>
        <v>11527</v>
      </c>
      <c r="DD100" s="58">
        <f t="shared" si="322"/>
        <v>10669</v>
      </c>
      <c r="DE100" s="58">
        <f t="shared" si="323"/>
        <v>9414</v>
      </c>
      <c r="DF100" s="58">
        <f t="shared" si="324"/>
        <v>12990</v>
      </c>
      <c r="DG100" s="58">
        <f t="shared" si="325"/>
        <v>1884</v>
      </c>
      <c r="DH100" s="58">
        <f t="shared" si="326"/>
        <v>28669</v>
      </c>
      <c r="DI100" s="58">
        <f t="shared" si="327"/>
        <v>72517</v>
      </c>
      <c r="DJ100" s="58">
        <f t="shared" si="328"/>
        <v>45039</v>
      </c>
      <c r="DK100" s="58">
        <f t="shared" si="329"/>
        <v>10231</v>
      </c>
      <c r="DL100" s="58">
        <f t="shared" si="330"/>
        <v>24707</v>
      </c>
      <c r="DM100" s="58">
        <f t="shared" si="331"/>
        <v>39216</v>
      </c>
      <c r="DN100" s="58">
        <f t="shared" si="332"/>
        <v>34216</v>
      </c>
      <c r="DO100" s="58">
        <f t="shared" si="333"/>
        <v>18725</v>
      </c>
      <c r="DP100" s="58">
        <f t="shared" si="334"/>
        <v>28127</v>
      </c>
      <c r="DQ100" s="58"/>
      <c r="DR100" s="58">
        <f t="shared" si="335"/>
        <v>57469</v>
      </c>
      <c r="DS100" s="58">
        <f t="shared" si="336"/>
        <v>2948</v>
      </c>
      <c r="DT100" s="58">
        <f t="shared" si="337"/>
        <v>3661</v>
      </c>
      <c r="DU100" s="58">
        <f t="shared" si="338"/>
        <v>23924.447414749116</v>
      </c>
      <c r="DV100" s="58">
        <f t="shared" si="339"/>
        <v>69843</v>
      </c>
      <c r="DW100" s="58">
        <f t="shared" si="340"/>
        <v>77049</v>
      </c>
      <c r="DX100" s="58">
        <f t="shared" si="341"/>
        <v>65546</v>
      </c>
      <c r="DY100" s="58">
        <f t="shared" si="303"/>
        <v>101067</v>
      </c>
      <c r="DZ100" s="58">
        <f t="shared" si="304"/>
        <v>66708</v>
      </c>
      <c r="EA100" s="58">
        <f t="shared" si="305"/>
        <v>10021</v>
      </c>
      <c r="EB100" s="58">
        <f t="shared" si="306"/>
        <v>12503</v>
      </c>
      <c r="EC100" s="58">
        <f t="shared" si="307"/>
        <v>17030</v>
      </c>
      <c r="ED100" s="58">
        <f t="shared" si="308"/>
        <v>22529.20627986913</v>
      </c>
      <c r="EE100" s="58">
        <f t="shared" si="309"/>
        <v>40272</v>
      </c>
      <c r="EF100" s="58">
        <f t="shared" si="310"/>
        <v>48355</v>
      </c>
      <c r="EG100" s="58">
        <f t="shared" si="311"/>
        <v>19485.409303526412</v>
      </c>
      <c r="EH100" s="58">
        <f t="shared" si="312"/>
        <v>13539.404372589403</v>
      </c>
      <c r="EI100" s="58">
        <f t="shared" si="313"/>
        <v>22553</v>
      </c>
      <c r="EJ100" s="58">
        <f t="shared" si="314"/>
        <v>55397</v>
      </c>
      <c r="EK100" s="58">
        <f t="shared" si="315"/>
        <v>72409</v>
      </c>
      <c r="EL100" s="58">
        <f t="shared" si="296"/>
        <v>59106</v>
      </c>
      <c r="EM100" s="58">
        <f t="shared" si="297"/>
        <v>41289</v>
      </c>
      <c r="EN100" s="58">
        <f t="shared" si="298"/>
        <v>60004</v>
      </c>
      <c r="EO100" s="58">
        <f t="shared" si="299"/>
        <v>85785</v>
      </c>
      <c r="EP100" s="58">
        <f t="shared" si="300"/>
        <v>153406</v>
      </c>
      <c r="EQ100" s="58">
        <f t="shared" si="301"/>
        <v>210303</v>
      </c>
      <c r="ER100" s="67">
        <f t="shared" si="266"/>
        <v>77379.140437258946</v>
      </c>
      <c r="ES100" s="67">
        <f t="shared" si="267"/>
        <v>42991.669935871563</v>
      </c>
      <c r="EV100" s="42">
        <v>259</v>
      </c>
      <c r="EW100" s="128">
        <f t="shared" si="343"/>
        <v>1</v>
      </c>
      <c r="EX100" s="128">
        <f t="shared" si="343"/>
        <v>1</v>
      </c>
      <c r="EY100" s="128">
        <f t="shared" si="343"/>
        <v>1</v>
      </c>
      <c r="EZ100" s="128">
        <f t="shared" si="343"/>
        <v>1</v>
      </c>
      <c r="FA100" s="128">
        <f t="shared" si="343"/>
        <v>1</v>
      </c>
      <c r="FB100" s="128">
        <f t="shared" si="343"/>
        <v>0.99973980919340855</v>
      </c>
      <c r="FC100" s="128">
        <f t="shared" si="343"/>
        <v>1</v>
      </c>
      <c r="FD100" s="128">
        <f t="shared" si="343"/>
        <v>1</v>
      </c>
      <c r="FE100" s="128">
        <f t="shared" si="343"/>
        <v>1</v>
      </c>
      <c r="FF100" s="128">
        <f t="shared" si="343"/>
        <v>0.9978813559322034</v>
      </c>
      <c r="FG100" s="128">
        <f t="shared" si="343"/>
        <v>1</v>
      </c>
      <c r="FH100" s="128">
        <f t="shared" si="343"/>
        <v>1</v>
      </c>
      <c r="FI100" s="128">
        <f t="shared" si="343"/>
        <v>1</v>
      </c>
      <c r="FJ100" s="128">
        <f t="shared" si="343"/>
        <v>1</v>
      </c>
      <c r="FK100" s="128">
        <f t="shared" si="343"/>
        <v>1</v>
      </c>
      <c r="FL100" s="128">
        <f t="shared" si="344"/>
        <v>1</v>
      </c>
      <c r="FM100" s="128">
        <f t="shared" si="345"/>
        <v>1</v>
      </c>
      <c r="FN100" s="128">
        <f t="shared" si="346"/>
        <v>1</v>
      </c>
      <c r="FO100" s="128">
        <f t="shared" si="347"/>
        <v>1</v>
      </c>
      <c r="FP100" s="128"/>
      <c r="FQ100" s="128">
        <f t="shared" si="348"/>
        <v>1</v>
      </c>
      <c r="FR100" s="128">
        <f t="shared" si="348"/>
        <v>1</v>
      </c>
      <c r="FS100" s="128">
        <f t="shared" si="348"/>
        <v>1</v>
      </c>
      <c r="FT100" s="128">
        <f t="shared" si="348"/>
        <v>1</v>
      </c>
      <c r="FU100" s="128">
        <f t="shared" si="348"/>
        <v>0.99977096723399994</v>
      </c>
      <c r="FV100" s="128">
        <f t="shared" si="348"/>
        <v>1</v>
      </c>
      <c r="FW100" s="128">
        <f t="shared" si="348"/>
        <v>1</v>
      </c>
      <c r="FX100" s="128">
        <f t="shared" si="348"/>
        <v>1</v>
      </c>
      <c r="FY100" s="128">
        <f t="shared" si="348"/>
        <v>1</v>
      </c>
      <c r="FZ100" s="128">
        <f t="shared" si="348"/>
        <v>1</v>
      </c>
      <c r="GA100" s="128">
        <f t="shared" si="348"/>
        <v>1</v>
      </c>
      <c r="GB100" s="128">
        <f t="shared" si="348"/>
        <v>1</v>
      </c>
      <c r="GC100" s="128">
        <f t="shared" si="348"/>
        <v>1</v>
      </c>
      <c r="GD100" s="128">
        <f t="shared" si="348"/>
        <v>1</v>
      </c>
      <c r="GE100" s="128">
        <f t="shared" si="348"/>
        <v>1</v>
      </c>
      <c r="GF100" s="128">
        <f t="shared" si="348"/>
        <v>1</v>
      </c>
      <c r="GG100" s="128">
        <f t="shared" ref="GG100:GK102" si="355">EH100/EH$102</f>
        <v>1</v>
      </c>
      <c r="GH100" s="128">
        <f t="shared" si="355"/>
        <v>1</v>
      </c>
      <c r="GI100" s="128">
        <f t="shared" si="355"/>
        <v>1</v>
      </c>
      <c r="GJ100" s="128">
        <f t="shared" si="355"/>
        <v>1</v>
      </c>
      <c r="GK100" s="128">
        <f t="shared" si="355"/>
        <v>1</v>
      </c>
      <c r="GL100" s="128">
        <f t="shared" si="289"/>
        <v>1</v>
      </c>
      <c r="GM100" s="128">
        <f t="shared" si="290"/>
        <v>1</v>
      </c>
      <c r="GN100" s="128">
        <f t="shared" si="291"/>
        <v>1</v>
      </c>
      <c r="GO100" s="128">
        <f t="shared" si="292"/>
        <v>1</v>
      </c>
      <c r="GP100" s="128">
        <f t="shared" si="293"/>
        <v>1</v>
      </c>
      <c r="GQ100" s="129">
        <f t="shared" si="294"/>
        <v>1</v>
      </c>
      <c r="GR100" s="129">
        <f t="shared" si="295"/>
        <v>0.99993639347218555</v>
      </c>
    </row>
    <row r="101" spans="1:200" x14ac:dyDescent="0.25">
      <c r="A101" s="42">
        <v>260</v>
      </c>
      <c r="B101" s="81">
        <v>0</v>
      </c>
      <c r="C101" s="81"/>
      <c r="D101" s="81"/>
      <c r="E101" s="81"/>
      <c r="F101" s="81">
        <v>0</v>
      </c>
      <c r="G101" s="81">
        <v>0</v>
      </c>
      <c r="H101" s="81"/>
      <c r="I101" s="81"/>
      <c r="J101" s="81"/>
      <c r="K101" s="81">
        <v>0</v>
      </c>
      <c r="L101" s="81"/>
      <c r="M101" s="81"/>
      <c r="N101" s="81"/>
      <c r="O101" s="81"/>
      <c r="P101" s="81"/>
      <c r="Q101" s="81"/>
      <c r="R101" s="81"/>
      <c r="S101" s="81"/>
      <c r="T101" s="81"/>
      <c r="V101" s="81"/>
      <c r="W101" s="81"/>
      <c r="X101" s="81"/>
      <c r="Y101" s="81"/>
      <c r="Z101" s="81">
        <v>0</v>
      </c>
      <c r="AA101" s="81"/>
      <c r="AB101" s="81"/>
      <c r="AC101" s="81"/>
      <c r="AD101" s="81"/>
      <c r="AE101" s="81"/>
      <c r="AF101" s="81"/>
      <c r="AG101" s="81"/>
      <c r="AH101" s="97"/>
      <c r="AI101" s="81"/>
      <c r="AJ101" s="81"/>
      <c r="AK101" s="81"/>
      <c r="AL101" s="81"/>
      <c r="AM101" s="81"/>
      <c r="AN101" s="81"/>
      <c r="AO101" s="81"/>
      <c r="AP101" s="81"/>
      <c r="AQ101" s="81"/>
      <c r="AR101" s="81"/>
      <c r="AS101" s="81"/>
      <c r="AT101" s="81"/>
      <c r="AU101" s="81"/>
      <c r="AV101" s="71"/>
      <c r="AW101" s="71"/>
      <c r="AY101" s="42">
        <v>260</v>
      </c>
      <c r="AZ101" s="48">
        <f t="shared" si="342"/>
        <v>0</v>
      </c>
      <c r="BA101" s="48">
        <f t="shared" si="200"/>
        <v>0</v>
      </c>
      <c r="BB101" s="48">
        <f t="shared" si="201"/>
        <v>0</v>
      </c>
      <c r="BC101" s="48">
        <f t="shared" si="202"/>
        <v>0</v>
      </c>
      <c r="BD101" s="48">
        <f t="shared" si="203"/>
        <v>0</v>
      </c>
      <c r="BE101" s="48">
        <f t="shared" si="204"/>
        <v>0</v>
      </c>
      <c r="BF101" s="48">
        <f t="shared" si="205"/>
        <v>0</v>
      </c>
      <c r="BG101" s="48">
        <f t="shared" si="206"/>
        <v>0</v>
      </c>
      <c r="BH101" s="48">
        <f t="shared" si="207"/>
        <v>0</v>
      </c>
      <c r="BI101" s="48">
        <f t="shared" si="208"/>
        <v>0</v>
      </c>
      <c r="BJ101" s="48">
        <f t="shared" si="209"/>
        <v>0</v>
      </c>
      <c r="BK101" s="48">
        <f t="shared" si="210"/>
        <v>0</v>
      </c>
      <c r="BL101" s="48">
        <f t="shared" si="211"/>
        <v>0</v>
      </c>
      <c r="BM101" s="48">
        <f t="shared" si="212"/>
        <v>0</v>
      </c>
      <c r="BN101" s="48">
        <f t="shared" si="213"/>
        <v>0</v>
      </c>
      <c r="BO101" s="48">
        <f t="shared" si="214"/>
        <v>0</v>
      </c>
      <c r="BP101" s="48">
        <f t="shared" si="215"/>
        <v>0</v>
      </c>
      <c r="BQ101" s="48">
        <f t="shared" si="216"/>
        <v>0</v>
      </c>
      <c r="BR101" s="48">
        <f t="shared" si="217"/>
        <v>0</v>
      </c>
      <c r="BS101" s="48"/>
      <c r="BT101" s="48">
        <f t="shared" si="218"/>
        <v>0</v>
      </c>
      <c r="BU101" s="48">
        <f t="shared" si="219"/>
        <v>0</v>
      </c>
      <c r="BV101" s="48">
        <f t="shared" si="220"/>
        <v>0</v>
      </c>
      <c r="BW101" s="48">
        <f t="shared" si="221"/>
        <v>0</v>
      </c>
      <c r="BX101" s="48">
        <f t="shared" si="222"/>
        <v>0</v>
      </c>
      <c r="BY101" s="48">
        <f t="shared" si="223"/>
        <v>0</v>
      </c>
      <c r="BZ101" s="48">
        <f t="shared" si="224"/>
        <v>0</v>
      </c>
      <c r="CA101" s="48">
        <f t="shared" si="225"/>
        <v>0</v>
      </c>
      <c r="CB101" s="48">
        <f t="shared" si="226"/>
        <v>0</v>
      </c>
      <c r="CC101" s="48">
        <f t="shared" si="227"/>
        <v>0</v>
      </c>
      <c r="CD101" s="48">
        <f t="shared" si="228"/>
        <v>0</v>
      </c>
      <c r="CE101" s="48">
        <f t="shared" si="229"/>
        <v>0</v>
      </c>
      <c r="CF101" s="48">
        <f t="shared" si="230"/>
        <v>0</v>
      </c>
      <c r="CG101" s="48">
        <f t="shared" si="231"/>
        <v>0</v>
      </c>
      <c r="CH101" s="48">
        <f t="shared" si="232"/>
        <v>0</v>
      </c>
      <c r="CI101" s="48">
        <f t="shared" si="233"/>
        <v>0</v>
      </c>
      <c r="CJ101" s="48">
        <f t="shared" si="234"/>
        <v>0</v>
      </c>
      <c r="CK101" s="48">
        <f t="shared" si="235"/>
        <v>0</v>
      </c>
      <c r="CL101" s="48">
        <f t="shared" si="236"/>
        <v>0</v>
      </c>
      <c r="CM101" s="48">
        <f t="shared" si="237"/>
        <v>0</v>
      </c>
      <c r="CN101" s="48">
        <f t="shared" si="258"/>
        <v>0</v>
      </c>
      <c r="CO101" s="48">
        <f t="shared" si="259"/>
        <v>0</v>
      </c>
      <c r="CP101" s="48">
        <f t="shared" si="260"/>
        <v>0</v>
      </c>
      <c r="CQ101" s="48">
        <f t="shared" si="261"/>
        <v>0</v>
      </c>
      <c r="CR101" s="48">
        <f t="shared" si="262"/>
        <v>0</v>
      </c>
      <c r="CS101" s="48">
        <f t="shared" si="263"/>
        <v>0</v>
      </c>
      <c r="CT101" s="68">
        <f t="shared" si="264"/>
        <v>1.0000000000000002</v>
      </c>
      <c r="CU101" s="68">
        <f t="shared" si="265"/>
        <v>0.99993639347218521</v>
      </c>
      <c r="CW101" s="42">
        <v>260</v>
      </c>
      <c r="CX101" s="58">
        <f t="shared" si="316"/>
        <v>22941</v>
      </c>
      <c r="CY101" s="58">
        <f t="shared" si="317"/>
        <v>19148</v>
      </c>
      <c r="CZ101" s="58">
        <f t="shared" si="318"/>
        <v>22877</v>
      </c>
      <c r="DA101" s="58">
        <f t="shared" si="319"/>
        <v>430</v>
      </c>
      <c r="DB101" s="58">
        <f t="shared" si="320"/>
        <v>2525</v>
      </c>
      <c r="DC101" s="58">
        <f t="shared" si="321"/>
        <v>11527</v>
      </c>
      <c r="DD101" s="58">
        <f t="shared" si="322"/>
        <v>10669</v>
      </c>
      <c r="DE101" s="58">
        <f t="shared" si="323"/>
        <v>9414</v>
      </c>
      <c r="DF101" s="58">
        <f t="shared" si="324"/>
        <v>12990</v>
      </c>
      <c r="DG101" s="58">
        <f t="shared" si="325"/>
        <v>1884</v>
      </c>
      <c r="DH101" s="58">
        <f t="shared" si="326"/>
        <v>28669</v>
      </c>
      <c r="DI101" s="58">
        <f t="shared" si="327"/>
        <v>72517</v>
      </c>
      <c r="DJ101" s="58">
        <f t="shared" si="328"/>
        <v>45039</v>
      </c>
      <c r="DK101" s="58">
        <f t="shared" si="329"/>
        <v>10231</v>
      </c>
      <c r="DL101" s="58">
        <f t="shared" si="330"/>
        <v>24707</v>
      </c>
      <c r="DM101" s="58">
        <f t="shared" si="331"/>
        <v>39216</v>
      </c>
      <c r="DN101" s="58">
        <f t="shared" si="332"/>
        <v>34216</v>
      </c>
      <c r="DO101" s="58">
        <f t="shared" si="333"/>
        <v>18725</v>
      </c>
      <c r="DP101" s="58">
        <f t="shared" si="334"/>
        <v>28127</v>
      </c>
      <c r="DQ101" s="58"/>
      <c r="DR101" s="58">
        <f t="shared" si="335"/>
        <v>57469</v>
      </c>
      <c r="DS101" s="58">
        <f t="shared" si="336"/>
        <v>2948</v>
      </c>
      <c r="DT101" s="58">
        <f t="shared" si="337"/>
        <v>3661</v>
      </c>
      <c r="DU101" s="58">
        <f t="shared" si="338"/>
        <v>23924.447414749116</v>
      </c>
      <c r="DV101" s="58">
        <f t="shared" si="339"/>
        <v>69843</v>
      </c>
      <c r="DW101" s="58">
        <f t="shared" si="340"/>
        <v>77049</v>
      </c>
      <c r="DX101" s="58">
        <f t="shared" si="341"/>
        <v>65546</v>
      </c>
      <c r="DY101" s="58">
        <f t="shared" si="303"/>
        <v>101067</v>
      </c>
      <c r="DZ101" s="58">
        <f t="shared" si="304"/>
        <v>66708</v>
      </c>
      <c r="EA101" s="58">
        <f t="shared" si="305"/>
        <v>10021</v>
      </c>
      <c r="EB101" s="58">
        <f t="shared" si="306"/>
        <v>12503</v>
      </c>
      <c r="EC101" s="58">
        <f t="shared" si="307"/>
        <v>17030</v>
      </c>
      <c r="ED101" s="58">
        <f t="shared" si="308"/>
        <v>22529.20627986913</v>
      </c>
      <c r="EE101" s="58">
        <f t="shared" si="309"/>
        <v>40272</v>
      </c>
      <c r="EF101" s="58">
        <f t="shared" si="310"/>
        <v>48355</v>
      </c>
      <c r="EG101" s="58">
        <f t="shared" si="311"/>
        <v>19485.409303526412</v>
      </c>
      <c r="EH101" s="58">
        <f t="shared" si="312"/>
        <v>13539.404372589403</v>
      </c>
      <c r="EI101" s="58">
        <f t="shared" si="313"/>
        <v>22553</v>
      </c>
      <c r="EJ101" s="58">
        <f t="shared" si="314"/>
        <v>55397</v>
      </c>
      <c r="EK101" s="58">
        <f t="shared" si="315"/>
        <v>72409</v>
      </c>
      <c r="EL101" s="58">
        <f t="shared" si="296"/>
        <v>59106</v>
      </c>
      <c r="EM101" s="58">
        <f t="shared" si="297"/>
        <v>41289</v>
      </c>
      <c r="EN101" s="58">
        <f t="shared" si="298"/>
        <v>60004</v>
      </c>
      <c r="EO101" s="58">
        <f t="shared" si="299"/>
        <v>85785</v>
      </c>
      <c r="EP101" s="58">
        <f t="shared" si="300"/>
        <v>153406</v>
      </c>
      <c r="EQ101" s="58">
        <f t="shared" si="301"/>
        <v>210303</v>
      </c>
      <c r="ER101" s="67">
        <f t="shared" si="266"/>
        <v>77379.140437258946</v>
      </c>
      <c r="ES101" s="67">
        <f t="shared" si="267"/>
        <v>42991.669935871563</v>
      </c>
      <c r="EV101" s="42">
        <v>260</v>
      </c>
      <c r="EW101" s="128">
        <f t="shared" si="343"/>
        <v>1</v>
      </c>
      <c r="EX101" s="128">
        <f t="shared" si="343"/>
        <v>1</v>
      </c>
      <c r="EY101" s="128">
        <f t="shared" si="343"/>
        <v>1</v>
      </c>
      <c r="EZ101" s="128">
        <f t="shared" si="343"/>
        <v>1</v>
      </c>
      <c r="FA101" s="128">
        <f t="shared" si="343"/>
        <v>1</v>
      </c>
      <c r="FB101" s="128">
        <f t="shared" si="343"/>
        <v>0.99973980919340855</v>
      </c>
      <c r="FC101" s="128">
        <f t="shared" si="343"/>
        <v>1</v>
      </c>
      <c r="FD101" s="128">
        <f t="shared" si="343"/>
        <v>1</v>
      </c>
      <c r="FE101" s="128">
        <f t="shared" si="343"/>
        <v>1</v>
      </c>
      <c r="FF101" s="128">
        <f t="shared" si="343"/>
        <v>0.9978813559322034</v>
      </c>
      <c r="FG101" s="128">
        <f t="shared" si="343"/>
        <v>1</v>
      </c>
      <c r="FH101" s="128">
        <f t="shared" si="343"/>
        <v>1</v>
      </c>
      <c r="FI101" s="128">
        <f t="shared" si="343"/>
        <v>1</v>
      </c>
      <c r="FJ101" s="128">
        <f t="shared" si="343"/>
        <v>1</v>
      </c>
      <c r="FK101" s="128">
        <f t="shared" si="343"/>
        <v>1</v>
      </c>
      <c r="FL101" s="128">
        <f t="shared" si="344"/>
        <v>1</v>
      </c>
      <c r="FM101" s="128">
        <f t="shared" si="345"/>
        <v>1</v>
      </c>
      <c r="FN101" s="128">
        <f t="shared" si="346"/>
        <v>1</v>
      </c>
      <c r="FO101" s="128">
        <f t="shared" si="347"/>
        <v>1</v>
      </c>
      <c r="FP101" s="128"/>
      <c r="FQ101" s="128">
        <f t="shared" si="348"/>
        <v>1</v>
      </c>
      <c r="FR101" s="128">
        <f t="shared" si="348"/>
        <v>1</v>
      </c>
      <c r="FS101" s="128">
        <f t="shared" si="348"/>
        <v>1</v>
      </c>
      <c r="FT101" s="128">
        <f t="shared" si="348"/>
        <v>1</v>
      </c>
      <c r="FU101" s="128">
        <f t="shared" si="348"/>
        <v>0.99977096723399994</v>
      </c>
      <c r="FV101" s="128">
        <f t="shared" si="348"/>
        <v>1</v>
      </c>
      <c r="FW101" s="128">
        <f t="shared" si="348"/>
        <v>1</v>
      </c>
      <c r="FX101" s="128">
        <f t="shared" si="348"/>
        <v>1</v>
      </c>
      <c r="FY101" s="128">
        <f t="shared" si="348"/>
        <v>1</v>
      </c>
      <c r="FZ101" s="128">
        <f t="shared" si="348"/>
        <v>1</v>
      </c>
      <c r="GA101" s="128">
        <f t="shared" si="348"/>
        <v>1</v>
      </c>
      <c r="GB101" s="128">
        <f t="shared" si="348"/>
        <v>1</v>
      </c>
      <c r="GC101" s="128">
        <f t="shared" si="348"/>
        <v>1</v>
      </c>
      <c r="GD101" s="128">
        <f t="shared" si="348"/>
        <v>1</v>
      </c>
      <c r="GE101" s="128">
        <f t="shared" si="348"/>
        <v>1</v>
      </c>
      <c r="GF101" s="128">
        <f t="shared" si="348"/>
        <v>1</v>
      </c>
      <c r="GG101" s="128">
        <f t="shared" si="355"/>
        <v>1</v>
      </c>
      <c r="GH101" s="128">
        <f t="shared" si="355"/>
        <v>1</v>
      </c>
      <c r="GI101" s="128">
        <f t="shared" si="355"/>
        <v>1</v>
      </c>
      <c r="GJ101" s="128">
        <f t="shared" si="355"/>
        <v>1</v>
      </c>
      <c r="GK101" s="128">
        <f t="shared" si="355"/>
        <v>1</v>
      </c>
      <c r="GL101" s="128">
        <f t="shared" si="289"/>
        <v>1</v>
      </c>
      <c r="GM101" s="128">
        <f t="shared" si="290"/>
        <v>1</v>
      </c>
      <c r="GN101" s="128">
        <f t="shared" si="291"/>
        <v>1</v>
      </c>
      <c r="GO101" s="128">
        <f t="shared" si="292"/>
        <v>1</v>
      </c>
      <c r="GP101" s="128">
        <f t="shared" si="293"/>
        <v>1</v>
      </c>
      <c r="GQ101" s="129">
        <f t="shared" si="294"/>
        <v>1</v>
      </c>
      <c r="GR101" s="129">
        <f t="shared" si="295"/>
        <v>0.99993639347218555</v>
      </c>
    </row>
    <row r="102" spans="1:200" x14ac:dyDescent="0.25">
      <c r="A102" s="42">
        <v>261</v>
      </c>
      <c r="B102" s="81">
        <v>0</v>
      </c>
      <c r="C102" s="81"/>
      <c r="D102" s="81"/>
      <c r="E102" s="81"/>
      <c r="F102" s="81">
        <v>0</v>
      </c>
      <c r="G102" s="81">
        <v>3</v>
      </c>
      <c r="H102" s="81"/>
      <c r="I102" s="81"/>
      <c r="J102" s="81"/>
      <c r="K102" s="81">
        <v>4</v>
      </c>
      <c r="L102" s="81"/>
      <c r="M102" s="81"/>
      <c r="N102" s="81"/>
      <c r="O102" s="81"/>
      <c r="P102" s="81"/>
      <c r="Q102" s="81"/>
      <c r="R102" s="81"/>
      <c r="S102" s="81"/>
      <c r="T102" s="81"/>
      <c r="V102" s="81"/>
      <c r="W102" s="81"/>
      <c r="X102" s="81"/>
      <c r="Y102" s="81"/>
      <c r="Z102" s="81">
        <v>16</v>
      </c>
      <c r="AA102" s="81"/>
      <c r="AB102" s="81"/>
      <c r="AC102" s="81"/>
      <c r="AD102" s="81"/>
      <c r="AE102" s="81"/>
      <c r="AF102" s="81"/>
      <c r="AG102" s="81"/>
      <c r="AH102" s="97"/>
      <c r="AI102" s="81"/>
      <c r="AJ102" s="81"/>
      <c r="AK102" s="81"/>
      <c r="AL102" s="81"/>
      <c r="AM102" s="81"/>
      <c r="AN102" s="81"/>
      <c r="AO102" s="81"/>
      <c r="AP102" s="81"/>
      <c r="AQ102" s="81"/>
      <c r="AR102" s="81"/>
      <c r="AS102" s="81"/>
      <c r="AT102" s="81"/>
      <c r="AU102" s="81"/>
      <c r="AV102" s="71"/>
      <c r="AW102" s="71"/>
      <c r="AY102" s="42">
        <v>261</v>
      </c>
      <c r="AZ102" s="48">
        <f t="shared" si="342"/>
        <v>0</v>
      </c>
      <c r="BA102" s="48">
        <f t="shared" si="200"/>
        <v>0</v>
      </c>
      <c r="BB102" s="48">
        <f t="shared" si="201"/>
        <v>0</v>
      </c>
      <c r="BC102" s="48">
        <f t="shared" si="202"/>
        <v>0</v>
      </c>
      <c r="BD102" s="48">
        <f t="shared" si="203"/>
        <v>0</v>
      </c>
      <c r="BE102" s="48">
        <f t="shared" si="204"/>
        <v>2.6019080659150045E-4</v>
      </c>
      <c r="BF102" s="48">
        <f t="shared" si="205"/>
        <v>0</v>
      </c>
      <c r="BG102" s="48">
        <f t="shared" si="206"/>
        <v>0</v>
      </c>
      <c r="BH102" s="48">
        <f t="shared" si="207"/>
        <v>0</v>
      </c>
      <c r="BI102" s="48">
        <f t="shared" si="208"/>
        <v>2.1186440677966102E-3</v>
      </c>
      <c r="BJ102" s="48">
        <f t="shared" si="209"/>
        <v>0</v>
      </c>
      <c r="BK102" s="48">
        <f t="shared" si="210"/>
        <v>0</v>
      </c>
      <c r="BL102" s="48">
        <f t="shared" si="211"/>
        <v>0</v>
      </c>
      <c r="BM102" s="48">
        <f t="shared" si="212"/>
        <v>0</v>
      </c>
      <c r="BN102" s="48">
        <f t="shared" si="213"/>
        <v>0</v>
      </c>
      <c r="BO102" s="48">
        <f t="shared" si="214"/>
        <v>0</v>
      </c>
      <c r="BP102" s="48">
        <f t="shared" si="215"/>
        <v>0</v>
      </c>
      <c r="BQ102" s="48">
        <f t="shared" si="216"/>
        <v>0</v>
      </c>
      <c r="BR102" s="48">
        <f t="shared" si="217"/>
        <v>0</v>
      </c>
      <c r="BS102" s="48"/>
      <c r="BT102" s="48">
        <f t="shared" si="218"/>
        <v>0</v>
      </c>
      <c r="BU102" s="48">
        <f t="shared" si="219"/>
        <v>0</v>
      </c>
      <c r="BV102" s="48">
        <f t="shared" si="220"/>
        <v>0</v>
      </c>
      <c r="BW102" s="48">
        <f t="shared" si="221"/>
        <v>0</v>
      </c>
      <c r="BX102" s="48">
        <f t="shared" si="222"/>
        <v>2.290327660000859E-4</v>
      </c>
      <c r="BY102" s="48">
        <f t="shared" si="223"/>
        <v>0</v>
      </c>
      <c r="BZ102" s="48">
        <f t="shared" si="224"/>
        <v>0</v>
      </c>
      <c r="CA102" s="48">
        <f t="shared" si="225"/>
        <v>0</v>
      </c>
      <c r="CB102" s="48">
        <f t="shared" si="226"/>
        <v>0</v>
      </c>
      <c r="CC102" s="48">
        <f t="shared" si="227"/>
        <v>0</v>
      </c>
      <c r="CD102" s="48">
        <f t="shared" si="228"/>
        <v>0</v>
      </c>
      <c r="CE102" s="48">
        <f t="shared" si="229"/>
        <v>0</v>
      </c>
      <c r="CF102" s="48">
        <f t="shared" si="230"/>
        <v>0</v>
      </c>
      <c r="CG102" s="48">
        <f t="shared" si="231"/>
        <v>0</v>
      </c>
      <c r="CH102" s="48">
        <f t="shared" si="232"/>
        <v>0</v>
      </c>
      <c r="CI102" s="48">
        <f t="shared" si="233"/>
        <v>0</v>
      </c>
      <c r="CJ102" s="48">
        <f t="shared" si="234"/>
        <v>0</v>
      </c>
      <c r="CK102" s="48">
        <f t="shared" si="235"/>
        <v>0</v>
      </c>
      <c r="CL102" s="48">
        <f t="shared" si="236"/>
        <v>0</v>
      </c>
      <c r="CM102" s="48">
        <f t="shared" si="237"/>
        <v>0</v>
      </c>
      <c r="CN102" s="48">
        <f t="shared" si="258"/>
        <v>0</v>
      </c>
      <c r="CO102" s="48">
        <f t="shared" si="259"/>
        <v>0</v>
      </c>
      <c r="CP102" s="48">
        <f>AR102/AR$104</f>
        <v>0</v>
      </c>
      <c r="CQ102" s="48">
        <f t="shared" si="261"/>
        <v>0</v>
      </c>
      <c r="CR102" s="48">
        <f t="shared" si="262"/>
        <v>0</v>
      </c>
      <c r="CS102" s="48">
        <f t="shared" si="263"/>
        <v>0</v>
      </c>
      <c r="CT102" s="68">
        <f t="shared" si="264"/>
        <v>1.0000000000000002</v>
      </c>
      <c r="CU102" s="68">
        <f t="shared" si="265"/>
        <v>0.99999999999999956</v>
      </c>
      <c r="CW102" s="42">
        <v>261</v>
      </c>
      <c r="CX102" s="58">
        <f t="shared" si="316"/>
        <v>22941</v>
      </c>
      <c r="CY102" s="58">
        <f t="shared" si="317"/>
        <v>19148</v>
      </c>
      <c r="CZ102" s="58">
        <f t="shared" si="318"/>
        <v>22877</v>
      </c>
      <c r="DA102" s="58">
        <f t="shared" si="319"/>
        <v>430</v>
      </c>
      <c r="DB102" s="58">
        <f t="shared" si="320"/>
        <v>2525</v>
      </c>
      <c r="DC102" s="58">
        <f t="shared" si="321"/>
        <v>11530</v>
      </c>
      <c r="DD102" s="58">
        <f t="shared" si="322"/>
        <v>10669</v>
      </c>
      <c r="DE102" s="58">
        <f t="shared" si="323"/>
        <v>9414</v>
      </c>
      <c r="DF102" s="58">
        <f t="shared" si="324"/>
        <v>12990</v>
      </c>
      <c r="DG102" s="58">
        <f t="shared" si="325"/>
        <v>1888</v>
      </c>
      <c r="DH102" s="58">
        <f t="shared" si="326"/>
        <v>28669</v>
      </c>
      <c r="DI102" s="58">
        <f t="shared" si="327"/>
        <v>72517</v>
      </c>
      <c r="DJ102" s="58">
        <f t="shared" si="328"/>
        <v>45039</v>
      </c>
      <c r="DK102" s="58">
        <f t="shared" si="329"/>
        <v>10231</v>
      </c>
      <c r="DL102" s="58">
        <f t="shared" si="330"/>
        <v>24707</v>
      </c>
      <c r="DM102" s="58">
        <f t="shared" si="331"/>
        <v>39216</v>
      </c>
      <c r="DN102" s="58">
        <f t="shared" si="332"/>
        <v>34216</v>
      </c>
      <c r="DO102" s="58">
        <f t="shared" si="333"/>
        <v>18725</v>
      </c>
      <c r="DP102" s="58">
        <f t="shared" si="334"/>
        <v>28127</v>
      </c>
      <c r="DQ102" s="58"/>
      <c r="DR102" s="58">
        <f t="shared" si="335"/>
        <v>57469</v>
      </c>
      <c r="DS102" s="58">
        <f t="shared" si="336"/>
        <v>2948</v>
      </c>
      <c r="DT102" s="58">
        <f t="shared" si="337"/>
        <v>3661</v>
      </c>
      <c r="DU102" s="58">
        <f t="shared" si="338"/>
        <v>23924.447414749116</v>
      </c>
      <c r="DV102" s="58">
        <f t="shared" si="339"/>
        <v>69859</v>
      </c>
      <c r="DW102" s="58">
        <f t="shared" si="340"/>
        <v>77049</v>
      </c>
      <c r="DX102" s="58">
        <f t="shared" si="341"/>
        <v>65546</v>
      </c>
      <c r="DY102" s="58">
        <f t="shared" si="303"/>
        <v>101067</v>
      </c>
      <c r="DZ102" s="58">
        <f t="shared" si="304"/>
        <v>66708</v>
      </c>
      <c r="EA102" s="58">
        <f t="shared" si="305"/>
        <v>10021</v>
      </c>
      <c r="EB102" s="58">
        <f t="shared" si="306"/>
        <v>12503</v>
      </c>
      <c r="EC102" s="58">
        <f t="shared" si="307"/>
        <v>17030</v>
      </c>
      <c r="ED102" s="58">
        <f t="shared" si="308"/>
        <v>22529.20627986913</v>
      </c>
      <c r="EE102" s="58">
        <f t="shared" si="309"/>
        <v>40272</v>
      </c>
      <c r="EF102" s="58">
        <f t="shared" si="310"/>
        <v>48355</v>
      </c>
      <c r="EG102" s="58">
        <f t="shared" si="311"/>
        <v>19485.409303526412</v>
      </c>
      <c r="EH102" s="58">
        <f t="shared" si="312"/>
        <v>13539.404372589403</v>
      </c>
      <c r="EI102" s="58">
        <f t="shared" si="313"/>
        <v>22553</v>
      </c>
      <c r="EJ102" s="58">
        <f t="shared" si="314"/>
        <v>55397</v>
      </c>
      <c r="EK102" s="58">
        <f t="shared" si="315"/>
        <v>72409</v>
      </c>
      <c r="EL102" s="58">
        <f t="shared" si="296"/>
        <v>59106</v>
      </c>
      <c r="EM102" s="58">
        <f t="shared" si="297"/>
        <v>41289</v>
      </c>
      <c r="EN102" s="58">
        <f t="shared" si="298"/>
        <v>60004</v>
      </c>
      <c r="EO102" s="58">
        <f t="shared" si="299"/>
        <v>85785</v>
      </c>
      <c r="EP102" s="58">
        <f t="shared" si="300"/>
        <v>153406</v>
      </c>
      <c r="EQ102" s="58">
        <f t="shared" si="301"/>
        <v>210303</v>
      </c>
      <c r="ER102" s="67">
        <f t="shared" si="266"/>
        <v>77379.140437258946</v>
      </c>
      <c r="ES102" s="67">
        <f t="shared" si="267"/>
        <v>42992.230911481318</v>
      </c>
      <c r="EV102" s="42">
        <v>261</v>
      </c>
      <c r="EW102" s="128">
        <f t="shared" si="343"/>
        <v>1</v>
      </c>
      <c r="EX102" s="128">
        <f t="shared" si="343"/>
        <v>1</v>
      </c>
      <c r="EY102" s="128">
        <f t="shared" si="343"/>
        <v>1</v>
      </c>
      <c r="EZ102" s="128">
        <f t="shared" si="343"/>
        <v>1</v>
      </c>
      <c r="FA102" s="128">
        <f t="shared" si="343"/>
        <v>1</v>
      </c>
      <c r="FB102" s="128">
        <f t="shared" si="343"/>
        <v>1</v>
      </c>
      <c r="FC102" s="128">
        <f t="shared" si="343"/>
        <v>1</v>
      </c>
      <c r="FD102" s="128">
        <f t="shared" si="343"/>
        <v>1</v>
      </c>
      <c r="FE102" s="128">
        <f t="shared" si="343"/>
        <v>1</v>
      </c>
      <c r="FF102" s="128">
        <f t="shared" si="343"/>
        <v>1</v>
      </c>
      <c r="FG102" s="128">
        <f t="shared" si="343"/>
        <v>1</v>
      </c>
      <c r="FH102" s="128">
        <f t="shared" si="343"/>
        <v>1</v>
      </c>
      <c r="FI102" s="128">
        <f t="shared" si="343"/>
        <v>1</v>
      </c>
      <c r="FJ102" s="128">
        <f t="shared" si="343"/>
        <v>1</v>
      </c>
      <c r="FK102" s="128">
        <f t="shared" si="343"/>
        <v>1</v>
      </c>
      <c r="FL102" s="128">
        <f t="shared" si="344"/>
        <v>1</v>
      </c>
      <c r="FM102" s="128">
        <f t="shared" si="345"/>
        <v>1</v>
      </c>
      <c r="FN102" s="128">
        <f t="shared" si="346"/>
        <v>1</v>
      </c>
      <c r="FO102" s="128">
        <f t="shared" si="347"/>
        <v>1</v>
      </c>
      <c r="FP102" s="128"/>
      <c r="FQ102" s="128">
        <f t="shared" si="348"/>
        <v>1</v>
      </c>
      <c r="FR102" s="128">
        <f t="shared" si="348"/>
        <v>1</v>
      </c>
      <c r="FS102" s="128">
        <f t="shared" si="348"/>
        <v>1</v>
      </c>
      <c r="FT102" s="128">
        <f t="shared" si="348"/>
        <v>1</v>
      </c>
      <c r="FU102" s="128">
        <f t="shared" si="348"/>
        <v>1</v>
      </c>
      <c r="FV102" s="128">
        <f t="shared" si="348"/>
        <v>1</v>
      </c>
      <c r="FW102" s="128">
        <f t="shared" si="348"/>
        <v>1</v>
      </c>
      <c r="FX102" s="128">
        <f t="shared" si="348"/>
        <v>1</v>
      </c>
      <c r="FY102" s="128">
        <f t="shared" si="348"/>
        <v>1</v>
      </c>
      <c r="FZ102" s="128">
        <f t="shared" si="348"/>
        <v>1</v>
      </c>
      <c r="GA102" s="128">
        <f t="shared" si="348"/>
        <v>1</v>
      </c>
      <c r="GB102" s="128">
        <f t="shared" si="348"/>
        <v>1</v>
      </c>
      <c r="GC102" s="128">
        <f t="shared" si="348"/>
        <v>1</v>
      </c>
      <c r="GD102" s="128">
        <f t="shared" si="348"/>
        <v>1</v>
      </c>
      <c r="GE102" s="128">
        <f t="shared" si="348"/>
        <v>1</v>
      </c>
      <c r="GF102" s="128">
        <f t="shared" si="348"/>
        <v>1</v>
      </c>
      <c r="GG102" s="128">
        <f t="shared" si="355"/>
        <v>1</v>
      </c>
      <c r="GH102" s="128">
        <f t="shared" si="355"/>
        <v>1</v>
      </c>
      <c r="GI102" s="128">
        <f t="shared" si="355"/>
        <v>1</v>
      </c>
      <c r="GJ102" s="128">
        <f t="shared" si="355"/>
        <v>1</v>
      </c>
      <c r="GK102" s="128">
        <f t="shared" si="355"/>
        <v>1</v>
      </c>
      <c r="GL102" s="128">
        <f t="shared" si="289"/>
        <v>1</v>
      </c>
      <c r="GM102" s="128">
        <f t="shared" si="290"/>
        <v>1</v>
      </c>
      <c r="GN102" s="128">
        <f t="shared" si="291"/>
        <v>1</v>
      </c>
      <c r="GO102" s="128">
        <f t="shared" si="292"/>
        <v>1</v>
      </c>
      <c r="GP102" s="128">
        <f t="shared" si="293"/>
        <v>1</v>
      </c>
      <c r="GQ102" s="129">
        <f t="shared" si="294"/>
        <v>1</v>
      </c>
      <c r="GR102" s="129">
        <f t="shared" si="295"/>
        <v>1</v>
      </c>
    </row>
    <row r="103" spans="1:200" x14ac:dyDescent="0.25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72"/>
      <c r="AW103" s="71"/>
      <c r="AY103" s="47"/>
      <c r="AZ103" s="47"/>
      <c r="BA103" s="47"/>
      <c r="BB103" s="47"/>
      <c r="BC103" s="47"/>
      <c r="BD103" s="47"/>
      <c r="BE103" s="47"/>
      <c r="BF103" s="47"/>
      <c r="BG103" s="47"/>
      <c r="BH103" s="47"/>
      <c r="BI103" s="47"/>
      <c r="BJ103" s="47"/>
      <c r="BK103" s="47"/>
      <c r="BL103" s="47"/>
      <c r="BM103" s="47"/>
      <c r="BN103" s="47"/>
      <c r="BO103" s="47"/>
      <c r="BP103" s="47"/>
      <c r="BQ103" s="47"/>
      <c r="BR103" s="47"/>
      <c r="BS103" s="47"/>
      <c r="BT103" s="47"/>
      <c r="BU103" s="47"/>
      <c r="BV103" s="47"/>
      <c r="BW103" s="47"/>
      <c r="BX103" s="47"/>
      <c r="BY103" s="47"/>
      <c r="BZ103" s="47"/>
      <c r="CA103" s="47"/>
      <c r="CB103" s="47"/>
      <c r="CC103" s="47"/>
      <c r="CD103" s="47"/>
      <c r="CE103" s="47"/>
      <c r="CF103" s="47"/>
      <c r="CG103" s="47"/>
      <c r="CH103" s="47"/>
      <c r="CI103" s="47"/>
      <c r="CJ103" s="47"/>
      <c r="CK103" s="47"/>
      <c r="CL103" s="47"/>
      <c r="CM103" s="47"/>
      <c r="CN103" s="44"/>
      <c r="CO103" s="44"/>
      <c r="CP103" s="44"/>
      <c r="CQ103" s="44"/>
      <c r="CR103" s="44"/>
      <c r="CS103" s="44"/>
      <c r="CW103" s="47"/>
      <c r="CX103" s="47"/>
      <c r="CY103" s="47"/>
      <c r="CZ103" s="47"/>
      <c r="DA103" s="47"/>
      <c r="DB103" s="47"/>
      <c r="DC103" s="47"/>
      <c r="DD103" s="47"/>
      <c r="DE103" s="47"/>
      <c r="DF103" s="47"/>
      <c r="DG103" s="47"/>
      <c r="DH103" s="47"/>
      <c r="DI103" s="47"/>
      <c r="DJ103" s="47"/>
      <c r="DK103" s="47"/>
      <c r="DL103" s="47"/>
      <c r="DM103" s="47"/>
      <c r="DN103" s="47"/>
      <c r="DO103" s="47"/>
      <c r="DP103" s="47"/>
      <c r="DQ103" s="47"/>
      <c r="DR103" s="47"/>
      <c r="DS103" s="47"/>
      <c r="DT103" s="47"/>
      <c r="DU103" s="47"/>
      <c r="DV103" s="47"/>
      <c r="DW103" s="47"/>
      <c r="DX103" s="47"/>
      <c r="DY103" s="47"/>
      <c r="DZ103" s="47"/>
      <c r="EA103" s="47"/>
      <c r="EB103" s="47"/>
      <c r="EC103" s="47"/>
      <c r="ED103" s="47"/>
      <c r="EE103" s="47"/>
      <c r="EF103" s="47"/>
      <c r="EG103" s="47"/>
      <c r="EH103" s="47"/>
      <c r="EI103" s="47"/>
      <c r="EJ103" s="47"/>
      <c r="EK103" s="47"/>
      <c r="EL103" s="47"/>
      <c r="EM103" s="47"/>
      <c r="EN103" s="47"/>
      <c r="EO103" s="47"/>
      <c r="EP103" s="47"/>
      <c r="EQ103" s="47"/>
      <c r="ER103" s="105"/>
      <c r="EW103" s="30">
        <v>22941</v>
      </c>
      <c r="EX103" s="30">
        <v>19148</v>
      </c>
      <c r="EY103" s="30">
        <v>22877</v>
      </c>
      <c r="EZ103" s="30">
        <v>430</v>
      </c>
      <c r="FA103" s="30">
        <v>2525</v>
      </c>
      <c r="FB103" s="30">
        <v>11530</v>
      </c>
      <c r="FC103" s="30">
        <v>10669</v>
      </c>
      <c r="FD103" s="30">
        <v>9414</v>
      </c>
      <c r="FE103" s="30">
        <v>12990</v>
      </c>
      <c r="FF103" s="30">
        <v>1888</v>
      </c>
      <c r="FG103" s="30">
        <v>28669</v>
      </c>
      <c r="FH103" s="30">
        <v>72517</v>
      </c>
      <c r="FI103" s="30">
        <v>45039</v>
      </c>
      <c r="FJ103" s="30">
        <v>10231</v>
      </c>
      <c r="FK103" s="30">
        <v>24707</v>
      </c>
      <c r="FL103" s="30">
        <v>39216</v>
      </c>
      <c r="FM103" s="30">
        <v>34216</v>
      </c>
      <c r="FN103" s="30">
        <v>18725</v>
      </c>
      <c r="FO103" s="30">
        <v>28127</v>
      </c>
      <c r="FQ103" s="30">
        <v>57469</v>
      </c>
      <c r="FR103" s="30">
        <v>2948</v>
      </c>
      <c r="FS103" s="30">
        <v>3661</v>
      </c>
      <c r="FT103" s="30">
        <v>23924</v>
      </c>
      <c r="FU103" s="30">
        <v>69859</v>
      </c>
      <c r="FV103" s="30">
        <v>77049</v>
      </c>
      <c r="FW103" s="30">
        <v>65546</v>
      </c>
      <c r="FX103" s="30">
        <v>101067</v>
      </c>
      <c r="FY103" s="30">
        <v>66708</v>
      </c>
      <c r="FZ103" s="30">
        <v>10021</v>
      </c>
      <c r="GA103" s="30">
        <v>12503</v>
      </c>
      <c r="GB103" s="30">
        <v>17030</v>
      </c>
      <c r="GC103" s="30">
        <v>22529</v>
      </c>
      <c r="GD103" s="30">
        <v>40272</v>
      </c>
      <c r="GE103" s="30">
        <v>48355</v>
      </c>
      <c r="GF103" s="30">
        <v>19485</v>
      </c>
      <c r="GG103" s="30">
        <v>13539</v>
      </c>
      <c r="GH103" s="30">
        <v>22553</v>
      </c>
      <c r="GI103" s="30">
        <v>55397</v>
      </c>
      <c r="GJ103" s="30">
        <v>72409</v>
      </c>
      <c r="GK103" s="30">
        <v>59106</v>
      </c>
      <c r="GL103" s="128">
        <f t="shared" si="289"/>
        <v>0</v>
      </c>
      <c r="GM103" s="128">
        <f t="shared" si="290"/>
        <v>0</v>
      </c>
      <c r="GN103" s="128">
        <f t="shared" si="291"/>
        <v>0</v>
      </c>
      <c r="GO103" s="128">
        <f t="shared" si="292"/>
        <v>0</v>
      </c>
      <c r="GP103" s="128">
        <f t="shared" si="293"/>
        <v>0</v>
      </c>
    </row>
    <row r="104" spans="1:200" x14ac:dyDescent="0.25">
      <c r="A104" s="61" t="s">
        <v>9</v>
      </c>
      <c r="B104" s="78">
        <f>SUM(B5:B102)</f>
        <v>22941</v>
      </c>
      <c r="C104" s="78">
        <f t="shared" ref="C104:AP104" si="356">SUM(C5:C102)</f>
        <v>19148</v>
      </c>
      <c r="D104" s="78">
        <f t="shared" si="356"/>
        <v>22877</v>
      </c>
      <c r="E104" s="78">
        <f t="shared" si="356"/>
        <v>430</v>
      </c>
      <c r="F104" s="78">
        <f t="shared" si="356"/>
        <v>2525</v>
      </c>
      <c r="G104" s="78">
        <f t="shared" si="356"/>
        <v>11530</v>
      </c>
      <c r="H104" s="78">
        <f t="shared" si="356"/>
        <v>10669</v>
      </c>
      <c r="I104" s="78">
        <f t="shared" si="356"/>
        <v>9414</v>
      </c>
      <c r="J104" s="78">
        <f t="shared" si="356"/>
        <v>12990</v>
      </c>
      <c r="K104" s="78">
        <f t="shared" si="356"/>
        <v>1888</v>
      </c>
      <c r="L104" s="78">
        <f t="shared" si="356"/>
        <v>28669</v>
      </c>
      <c r="M104" s="78">
        <f t="shared" si="356"/>
        <v>72517</v>
      </c>
      <c r="N104" s="78">
        <f t="shared" si="356"/>
        <v>45039</v>
      </c>
      <c r="O104" s="78">
        <f t="shared" si="356"/>
        <v>10231</v>
      </c>
      <c r="P104" s="78">
        <f t="shared" si="356"/>
        <v>24707</v>
      </c>
      <c r="Q104" s="78">
        <f t="shared" si="356"/>
        <v>39216</v>
      </c>
      <c r="R104" s="78">
        <f t="shared" si="356"/>
        <v>34216</v>
      </c>
      <c r="S104" s="78">
        <f t="shared" si="356"/>
        <v>18725</v>
      </c>
      <c r="T104" s="78">
        <f t="shared" si="356"/>
        <v>28127</v>
      </c>
      <c r="U104" s="78"/>
      <c r="V104" s="78">
        <f t="shared" si="356"/>
        <v>57469</v>
      </c>
      <c r="W104" s="78">
        <f t="shared" si="356"/>
        <v>2948</v>
      </c>
      <c r="X104" s="78">
        <f t="shared" si="356"/>
        <v>3661</v>
      </c>
      <c r="Y104" s="78">
        <f t="shared" si="356"/>
        <v>23924.447414749116</v>
      </c>
      <c r="Z104" s="78">
        <f t="shared" si="356"/>
        <v>69859</v>
      </c>
      <c r="AA104" s="78">
        <f t="shared" si="356"/>
        <v>77049</v>
      </c>
      <c r="AB104" s="78">
        <f t="shared" si="356"/>
        <v>65546</v>
      </c>
      <c r="AC104" s="78">
        <f t="shared" si="356"/>
        <v>101067</v>
      </c>
      <c r="AD104" s="78">
        <f t="shared" si="356"/>
        <v>66708</v>
      </c>
      <c r="AE104" s="78">
        <f t="shared" si="356"/>
        <v>10021</v>
      </c>
      <c r="AF104" s="78">
        <f t="shared" si="356"/>
        <v>12503</v>
      </c>
      <c r="AG104" s="78">
        <f t="shared" si="356"/>
        <v>17030</v>
      </c>
      <c r="AH104" s="78">
        <f t="shared" si="356"/>
        <v>22529.20627986913</v>
      </c>
      <c r="AI104" s="78">
        <f t="shared" si="356"/>
        <v>40272</v>
      </c>
      <c r="AJ104" s="78">
        <f t="shared" si="356"/>
        <v>48355</v>
      </c>
      <c r="AK104" s="78">
        <f t="shared" si="356"/>
        <v>19485.409303526412</v>
      </c>
      <c r="AL104" s="78">
        <f t="shared" si="356"/>
        <v>13539.404372589403</v>
      </c>
      <c r="AM104" s="78">
        <f t="shared" si="356"/>
        <v>22553</v>
      </c>
      <c r="AN104" s="78">
        <f t="shared" si="356"/>
        <v>55397</v>
      </c>
      <c r="AO104" s="78">
        <f t="shared" si="356"/>
        <v>72409</v>
      </c>
      <c r="AP104" s="78">
        <f t="shared" si="356"/>
        <v>59106</v>
      </c>
      <c r="AQ104" s="78">
        <f t="shared" ref="AQ104:AV104" si="357">SUM(AQ5:AQ102)</f>
        <v>41289</v>
      </c>
      <c r="AR104" s="78">
        <f t="shared" si="357"/>
        <v>60004</v>
      </c>
      <c r="AS104" s="78">
        <f t="shared" si="357"/>
        <v>85785</v>
      </c>
      <c r="AT104" s="78">
        <f t="shared" si="357"/>
        <v>153406</v>
      </c>
      <c r="AU104" s="78">
        <f t="shared" si="357"/>
        <v>210303</v>
      </c>
      <c r="AV104" s="79">
        <f t="shared" si="357"/>
        <v>78162.483691227157</v>
      </c>
      <c r="AW104" s="103"/>
      <c r="AX104" s="102"/>
      <c r="AY104" s="61" t="s">
        <v>9</v>
      </c>
      <c r="AZ104" s="104">
        <f>SUM(AZ5:AZ102)</f>
        <v>1</v>
      </c>
      <c r="BA104" s="104">
        <f t="shared" ref="BA104:CN104" si="358">SUM(BA5:BA102)</f>
        <v>1</v>
      </c>
      <c r="BB104" s="104">
        <f t="shared" si="358"/>
        <v>1.0000000000000002</v>
      </c>
      <c r="BC104" s="104">
        <f t="shared" si="358"/>
        <v>1.0000000000000002</v>
      </c>
      <c r="BD104" s="104">
        <f t="shared" si="358"/>
        <v>1.0000000000000004</v>
      </c>
      <c r="BE104" s="104">
        <f t="shared" si="358"/>
        <v>1</v>
      </c>
      <c r="BF104" s="104">
        <f t="shared" si="358"/>
        <v>0.99999999999999978</v>
      </c>
      <c r="BG104" s="104">
        <f t="shared" si="358"/>
        <v>0.99999999999999989</v>
      </c>
      <c r="BH104" s="104">
        <f t="shared" si="358"/>
        <v>1.0000000000000002</v>
      </c>
      <c r="BI104" s="104">
        <f t="shared" si="358"/>
        <v>1</v>
      </c>
      <c r="BJ104" s="104">
        <f t="shared" si="358"/>
        <v>1</v>
      </c>
      <c r="BK104" s="104">
        <f t="shared" si="358"/>
        <v>0.99999999999999933</v>
      </c>
      <c r="BL104" s="104">
        <f t="shared" si="358"/>
        <v>1</v>
      </c>
      <c r="BM104" s="104">
        <f t="shared" si="358"/>
        <v>0.99999999999999989</v>
      </c>
      <c r="BN104" s="104">
        <f t="shared" si="358"/>
        <v>1.0000000000000002</v>
      </c>
      <c r="BO104" s="104">
        <f t="shared" si="358"/>
        <v>0.99999999999999978</v>
      </c>
      <c r="BP104" s="104">
        <f t="shared" si="358"/>
        <v>1</v>
      </c>
      <c r="BQ104" s="104">
        <f t="shared" si="358"/>
        <v>1</v>
      </c>
      <c r="BR104" s="104">
        <f t="shared" si="358"/>
        <v>1.0000000000000002</v>
      </c>
      <c r="BS104" s="104"/>
      <c r="BT104" s="104">
        <f t="shared" si="358"/>
        <v>0.99999999999999978</v>
      </c>
      <c r="BU104" s="104">
        <f t="shared" si="358"/>
        <v>0.99999999999999989</v>
      </c>
      <c r="BV104" s="104">
        <f t="shared" si="358"/>
        <v>0.99999999999999967</v>
      </c>
      <c r="BW104" s="104">
        <f t="shared" si="358"/>
        <v>1</v>
      </c>
      <c r="BX104" s="104">
        <f t="shared" si="358"/>
        <v>1.0000000000000002</v>
      </c>
      <c r="BY104" s="104">
        <f t="shared" si="358"/>
        <v>0.99999999999999989</v>
      </c>
      <c r="BZ104" s="104">
        <f t="shared" si="358"/>
        <v>0.99999999999999989</v>
      </c>
      <c r="CA104" s="104">
        <f t="shared" si="358"/>
        <v>1.0000000000000004</v>
      </c>
      <c r="CB104" s="104">
        <f t="shared" si="358"/>
        <v>1.0000000000000002</v>
      </c>
      <c r="CC104" s="104">
        <f t="shared" si="358"/>
        <v>0.99999999999999944</v>
      </c>
      <c r="CD104" s="104">
        <f t="shared" si="358"/>
        <v>1.0000000000000004</v>
      </c>
      <c r="CE104" s="104">
        <f t="shared" si="358"/>
        <v>0.99999999999999978</v>
      </c>
      <c r="CF104" s="104">
        <f t="shared" si="358"/>
        <v>0.99999999999999978</v>
      </c>
      <c r="CG104" s="104">
        <f t="shared" si="358"/>
        <v>1</v>
      </c>
      <c r="CH104" s="104">
        <f t="shared" si="358"/>
        <v>0.99999999999999978</v>
      </c>
      <c r="CI104" s="104">
        <f t="shared" si="358"/>
        <v>0.99999999999999989</v>
      </c>
      <c r="CJ104" s="104">
        <f t="shared" si="358"/>
        <v>1.0000000000000004</v>
      </c>
      <c r="CK104" s="104">
        <f t="shared" si="358"/>
        <v>1.0000000000000004</v>
      </c>
      <c r="CL104" s="104">
        <f t="shared" si="358"/>
        <v>1.0000000000000002</v>
      </c>
      <c r="CM104" s="104">
        <f t="shared" si="358"/>
        <v>0.99999999999999967</v>
      </c>
      <c r="CN104" s="104">
        <f t="shared" si="358"/>
        <v>1.0000000000000002</v>
      </c>
      <c r="CO104" s="104">
        <f>SUM(CO5:CO102)</f>
        <v>1.0000000000000004</v>
      </c>
      <c r="CP104" s="104">
        <f>SUM(CP5:CP102)</f>
        <v>0.99999999999999967</v>
      </c>
      <c r="CQ104" s="104">
        <f t="shared" ref="CQ104:CR104" si="359">SUM(CQ5:CQ102)</f>
        <v>0.99999999999999989</v>
      </c>
      <c r="CR104" s="104">
        <f t="shared" si="359"/>
        <v>0.99999999999999933</v>
      </c>
      <c r="CS104" s="141"/>
      <c r="ER104" s="106"/>
    </row>
    <row r="105" spans="1:200" x14ac:dyDescent="0.2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  <c r="AN105" s="44"/>
      <c r="AO105" s="44"/>
      <c r="AP105" s="44"/>
      <c r="AQ105" s="44"/>
      <c r="AR105" s="44"/>
      <c r="AS105" s="44"/>
      <c r="AT105" s="44"/>
      <c r="AU105" s="44"/>
      <c r="AV105" s="69"/>
      <c r="AY105" s="44"/>
      <c r="AZ105" s="44"/>
      <c r="BA105" s="44"/>
      <c r="BB105" s="44"/>
      <c r="BC105" s="44"/>
      <c r="BD105" s="44"/>
      <c r="BE105" s="44"/>
      <c r="BF105" s="44"/>
      <c r="BG105" s="44"/>
      <c r="BH105" s="44"/>
      <c r="BI105" s="44"/>
      <c r="BJ105" s="44"/>
      <c r="BK105" s="44"/>
      <c r="BL105" s="44"/>
      <c r="BM105" s="44"/>
      <c r="BN105" s="44"/>
      <c r="BO105" s="44"/>
      <c r="BP105" s="44"/>
      <c r="BQ105" s="44"/>
      <c r="BR105" s="44"/>
      <c r="BS105" s="44"/>
      <c r="BT105" s="44"/>
      <c r="BU105" s="44"/>
      <c r="BV105" s="44"/>
      <c r="BW105" s="44"/>
      <c r="BX105" s="44"/>
      <c r="BY105" s="44"/>
      <c r="BZ105" s="44"/>
      <c r="CA105" s="44"/>
      <c r="CB105" s="44"/>
      <c r="CC105" s="44"/>
      <c r="CD105" s="44"/>
      <c r="CE105" s="44"/>
      <c r="CF105" s="44"/>
      <c r="CG105" s="44"/>
      <c r="CH105" s="44"/>
      <c r="CI105" s="44"/>
      <c r="CJ105" s="44"/>
      <c r="CK105" s="44"/>
      <c r="CL105" s="44"/>
      <c r="CM105" s="44"/>
      <c r="CN105" s="44"/>
      <c r="CO105" s="44"/>
      <c r="CP105" s="44"/>
      <c r="CQ105" s="44"/>
      <c r="CR105" s="44"/>
      <c r="CS105" s="44"/>
      <c r="CX105" s="58">
        <f t="shared" ref="CX105:EJ105" si="360">CX102/2</f>
        <v>11470.5</v>
      </c>
      <c r="CY105" s="58">
        <f t="shared" si="360"/>
        <v>9574</v>
      </c>
      <c r="CZ105" s="58">
        <f t="shared" si="360"/>
        <v>11438.5</v>
      </c>
      <c r="DA105" s="58">
        <f t="shared" si="360"/>
        <v>215</v>
      </c>
      <c r="DB105" s="58">
        <f t="shared" si="360"/>
        <v>1262.5</v>
      </c>
      <c r="DC105" s="58">
        <f t="shared" si="360"/>
        <v>5765</v>
      </c>
      <c r="DD105" s="58">
        <f t="shared" si="360"/>
        <v>5334.5</v>
      </c>
      <c r="DE105" s="58">
        <f t="shared" si="360"/>
        <v>4707</v>
      </c>
      <c r="DF105" s="58">
        <f t="shared" si="360"/>
        <v>6495</v>
      </c>
      <c r="DG105" s="58">
        <f t="shared" si="360"/>
        <v>944</v>
      </c>
      <c r="DH105" s="58">
        <f t="shared" si="360"/>
        <v>14334.5</v>
      </c>
      <c r="DI105" s="58">
        <f t="shared" si="360"/>
        <v>36258.5</v>
      </c>
      <c r="DJ105" s="58">
        <f t="shared" si="360"/>
        <v>22519.5</v>
      </c>
      <c r="DK105" s="58">
        <f t="shared" si="360"/>
        <v>5115.5</v>
      </c>
      <c r="DL105" s="58">
        <f t="shared" si="360"/>
        <v>12353.5</v>
      </c>
      <c r="DM105" s="58">
        <f t="shared" si="360"/>
        <v>19608</v>
      </c>
      <c r="DN105" s="58">
        <f t="shared" si="360"/>
        <v>17108</v>
      </c>
      <c r="DO105" s="58">
        <f t="shared" si="360"/>
        <v>9362.5</v>
      </c>
      <c r="DP105" s="58">
        <f t="shared" si="360"/>
        <v>14063.5</v>
      </c>
      <c r="DQ105" s="58">
        <f t="shared" si="360"/>
        <v>0</v>
      </c>
      <c r="DR105" s="58">
        <f t="shared" si="360"/>
        <v>28734.5</v>
      </c>
      <c r="DS105" s="58">
        <f t="shared" si="360"/>
        <v>1474</v>
      </c>
      <c r="DT105" s="58">
        <f t="shared" si="360"/>
        <v>1830.5</v>
      </c>
      <c r="DU105" s="58">
        <f t="shared" si="360"/>
        <v>11962.223707374558</v>
      </c>
      <c r="DV105" s="58">
        <f t="shared" si="360"/>
        <v>34929.5</v>
      </c>
      <c r="DW105" s="58">
        <f t="shared" si="360"/>
        <v>38524.5</v>
      </c>
      <c r="DX105" s="58">
        <f t="shared" si="360"/>
        <v>32773</v>
      </c>
      <c r="DY105" s="58">
        <f t="shared" si="360"/>
        <v>50533.5</v>
      </c>
      <c r="DZ105" s="58">
        <f t="shared" si="360"/>
        <v>33354</v>
      </c>
      <c r="EA105" s="58">
        <f t="shared" si="360"/>
        <v>5010.5</v>
      </c>
      <c r="EB105" s="58">
        <f t="shared" si="360"/>
        <v>6251.5</v>
      </c>
      <c r="EC105" s="58">
        <f t="shared" si="360"/>
        <v>8515</v>
      </c>
      <c r="ED105" s="58">
        <f t="shared" si="360"/>
        <v>11264.603139934565</v>
      </c>
      <c r="EE105" s="58">
        <f t="shared" si="360"/>
        <v>20136</v>
      </c>
      <c r="EF105" s="58">
        <f t="shared" si="360"/>
        <v>24177.5</v>
      </c>
      <c r="EG105" s="58">
        <f t="shared" si="360"/>
        <v>9742.7046517632061</v>
      </c>
      <c r="EH105" s="58">
        <f t="shared" si="360"/>
        <v>6769.7021862947013</v>
      </c>
      <c r="EI105" s="58">
        <f t="shared" si="360"/>
        <v>11276.5</v>
      </c>
      <c r="EJ105" s="58">
        <f t="shared" si="360"/>
        <v>27698.5</v>
      </c>
      <c r="EK105" s="58">
        <f>EK102/2</f>
        <v>36204.5</v>
      </c>
      <c r="EL105" s="58">
        <f>EL102/2</f>
        <v>29553</v>
      </c>
      <c r="EM105" s="58">
        <f>EM102/2</f>
        <v>20644.5</v>
      </c>
      <c r="EN105" s="58">
        <f>EN102/2</f>
        <v>30002</v>
      </c>
      <c r="EO105" s="58"/>
      <c r="EP105" s="58"/>
      <c r="EQ105" s="58"/>
      <c r="ER105" s="106"/>
    </row>
    <row r="106" spans="1:200" x14ac:dyDescent="0.25">
      <c r="AV106" s="67"/>
      <c r="ER106" s="106"/>
    </row>
    <row r="107" spans="1:200" x14ac:dyDescent="0.25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ER107" s="106"/>
    </row>
    <row r="108" spans="1:200" x14ac:dyDescent="0.25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ER108" s="106"/>
    </row>
    <row r="109" spans="1:200" x14ac:dyDescent="0.25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ER109" s="106"/>
    </row>
    <row r="110" spans="1:200" x14ac:dyDescent="0.25">
      <c r="ER110" s="106"/>
    </row>
    <row r="111" spans="1:200" x14ac:dyDescent="0.25">
      <c r="ER111" s="106"/>
    </row>
    <row r="112" spans="1:200" x14ac:dyDescent="0.25">
      <c r="ER112" s="106"/>
    </row>
    <row r="113" spans="148:148" x14ac:dyDescent="0.25">
      <c r="ER113" s="106"/>
    </row>
    <row r="114" spans="148:148" x14ac:dyDescent="0.25">
      <c r="ER114" s="106"/>
    </row>
    <row r="115" spans="148:148" x14ac:dyDescent="0.25">
      <c r="ER115" s="106"/>
    </row>
    <row r="116" spans="148:148" x14ac:dyDescent="0.25">
      <c r="ER116" s="106"/>
    </row>
    <row r="117" spans="148:148" x14ac:dyDescent="0.25">
      <c r="ER117" s="106"/>
    </row>
    <row r="118" spans="148:148" x14ac:dyDescent="0.25">
      <c r="ER118" s="106"/>
    </row>
    <row r="119" spans="148:148" x14ac:dyDescent="0.25">
      <c r="ER119" s="106"/>
    </row>
    <row r="120" spans="148:148" x14ac:dyDescent="0.25">
      <c r="ER120" s="106"/>
    </row>
    <row r="121" spans="148:148" x14ac:dyDescent="0.25">
      <c r="ER121" s="106"/>
    </row>
    <row r="122" spans="148:148" x14ac:dyDescent="0.25">
      <c r="ER122" s="106"/>
    </row>
    <row r="123" spans="148:148" x14ac:dyDescent="0.25">
      <c r="ER123" s="106"/>
    </row>
    <row r="124" spans="148:148" x14ac:dyDescent="0.25">
      <c r="ER124" s="106"/>
    </row>
    <row r="125" spans="148:148" x14ac:dyDescent="0.25">
      <c r="ER125" s="106"/>
    </row>
    <row r="126" spans="148:148" x14ac:dyDescent="0.25">
      <c r="ER126" s="106"/>
    </row>
    <row r="127" spans="148:148" x14ac:dyDescent="0.25">
      <c r="ER127" s="106"/>
    </row>
    <row r="128" spans="148:148" x14ac:dyDescent="0.25">
      <c r="ER128" s="106"/>
    </row>
    <row r="129" spans="148:148" x14ac:dyDescent="0.25">
      <c r="ER129" s="106"/>
    </row>
    <row r="130" spans="148:148" x14ac:dyDescent="0.25">
      <c r="ER130" s="106"/>
    </row>
    <row r="131" spans="148:148" x14ac:dyDescent="0.25">
      <c r="ER131" s="106"/>
    </row>
    <row r="132" spans="148:148" x14ac:dyDescent="0.25">
      <c r="ER132" s="106"/>
    </row>
    <row r="133" spans="148:148" x14ac:dyDescent="0.25">
      <c r="ER133" s="106"/>
    </row>
    <row r="134" spans="148:148" x14ac:dyDescent="0.25">
      <c r="ER134" s="106"/>
    </row>
    <row r="135" spans="148:148" x14ac:dyDescent="0.25">
      <c r="ER135" s="106"/>
    </row>
    <row r="136" spans="148:148" x14ac:dyDescent="0.25">
      <c r="ER136" s="106"/>
    </row>
    <row r="137" spans="148:148" x14ac:dyDescent="0.25">
      <c r="ER137" s="106"/>
    </row>
    <row r="138" spans="148:148" x14ac:dyDescent="0.25">
      <c r="ER138" s="106"/>
    </row>
    <row r="139" spans="148:148" x14ac:dyDescent="0.25">
      <c r="ER139" s="106"/>
    </row>
    <row r="140" spans="148:148" x14ac:dyDescent="0.25">
      <c r="ER140" s="106"/>
    </row>
    <row r="141" spans="148:148" x14ac:dyDescent="0.25">
      <c r="ER141" s="106"/>
    </row>
    <row r="142" spans="148:148" x14ac:dyDescent="0.25">
      <c r="ER142" s="106"/>
    </row>
    <row r="143" spans="148:148" x14ac:dyDescent="0.25">
      <c r="ER143" s="106"/>
    </row>
    <row r="144" spans="148:148" x14ac:dyDescent="0.25">
      <c r="ER144" s="106"/>
    </row>
    <row r="145" spans="148:148" x14ac:dyDescent="0.25">
      <c r="ER145" s="106"/>
    </row>
    <row r="146" spans="148:148" x14ac:dyDescent="0.25">
      <c r="ER146" s="106"/>
    </row>
    <row r="147" spans="148:148" x14ac:dyDescent="0.25">
      <c r="ER147" s="106"/>
    </row>
    <row r="148" spans="148:148" x14ac:dyDescent="0.25">
      <c r="ER148" s="106"/>
    </row>
    <row r="149" spans="148:148" x14ac:dyDescent="0.25">
      <c r="ER149" s="106"/>
    </row>
    <row r="150" spans="148:148" x14ac:dyDescent="0.25">
      <c r="ER150" s="106"/>
    </row>
    <row r="151" spans="148:148" x14ac:dyDescent="0.25">
      <c r="ER151" s="106"/>
    </row>
    <row r="152" spans="148:148" x14ac:dyDescent="0.25">
      <c r="ER152" s="106"/>
    </row>
    <row r="153" spans="148:148" x14ac:dyDescent="0.25">
      <c r="ER153" s="106"/>
    </row>
    <row r="154" spans="148:148" x14ac:dyDescent="0.25">
      <c r="ER154" s="106"/>
    </row>
    <row r="155" spans="148:148" x14ac:dyDescent="0.25">
      <c r="ER155" s="106"/>
    </row>
    <row r="156" spans="148:148" x14ac:dyDescent="0.25">
      <c r="ER156" s="106"/>
    </row>
    <row r="157" spans="148:148" x14ac:dyDescent="0.25">
      <c r="ER157" s="106"/>
    </row>
    <row r="158" spans="148:148" x14ac:dyDescent="0.25">
      <c r="ER158" s="106"/>
    </row>
    <row r="159" spans="148:148" x14ac:dyDescent="0.25">
      <c r="ER159" s="106"/>
    </row>
    <row r="160" spans="148:148" x14ac:dyDescent="0.25">
      <c r="ER160" s="106"/>
    </row>
    <row r="161" spans="148:148" x14ac:dyDescent="0.25">
      <c r="ER161" s="106"/>
    </row>
    <row r="162" spans="148:148" x14ac:dyDescent="0.25">
      <c r="ER162" s="106"/>
    </row>
    <row r="163" spans="148:148" x14ac:dyDescent="0.25">
      <c r="ER163" s="106"/>
    </row>
    <row r="164" spans="148:148" x14ac:dyDescent="0.25">
      <c r="ER164" s="106"/>
    </row>
    <row r="165" spans="148:148" x14ac:dyDescent="0.25">
      <c r="ER165" s="106"/>
    </row>
    <row r="166" spans="148:148" x14ac:dyDescent="0.25">
      <c r="ER166" s="106"/>
    </row>
    <row r="167" spans="148:148" x14ac:dyDescent="0.25">
      <c r="ER167" s="106"/>
    </row>
    <row r="168" spans="148:148" x14ac:dyDescent="0.25">
      <c r="ER168" s="106"/>
    </row>
    <row r="169" spans="148:148" x14ac:dyDescent="0.25">
      <c r="ER169" s="106"/>
    </row>
    <row r="170" spans="148:148" x14ac:dyDescent="0.25">
      <c r="ER170" s="106"/>
    </row>
    <row r="171" spans="148:148" x14ac:dyDescent="0.25">
      <c r="ER171" s="106"/>
    </row>
    <row r="172" spans="148:148" x14ac:dyDescent="0.25">
      <c r="ER172" s="106"/>
    </row>
    <row r="173" spans="148:148" x14ac:dyDescent="0.25">
      <c r="ER173" s="106"/>
    </row>
    <row r="174" spans="148:148" x14ac:dyDescent="0.25">
      <c r="ER174" s="106"/>
    </row>
    <row r="175" spans="148:148" x14ac:dyDescent="0.25">
      <c r="ER175" s="106"/>
    </row>
    <row r="176" spans="148:148" x14ac:dyDescent="0.25">
      <c r="ER176" s="106"/>
    </row>
    <row r="177" spans="148:148" x14ac:dyDescent="0.25">
      <c r="ER177" s="106"/>
    </row>
    <row r="178" spans="148:148" x14ac:dyDescent="0.25">
      <c r="ER178" s="106"/>
    </row>
    <row r="179" spans="148:148" x14ac:dyDescent="0.25">
      <c r="ER179" s="106"/>
    </row>
    <row r="180" spans="148:148" x14ac:dyDescent="0.25">
      <c r="ER180" s="106"/>
    </row>
    <row r="181" spans="148:148" x14ac:dyDescent="0.25">
      <c r="ER181" s="106"/>
    </row>
    <row r="182" spans="148:148" x14ac:dyDescent="0.25">
      <c r="ER182" s="106"/>
    </row>
    <row r="183" spans="148:148" x14ac:dyDescent="0.25">
      <c r="ER183" s="106"/>
    </row>
    <row r="184" spans="148:148" x14ac:dyDescent="0.25">
      <c r="ER184" s="106"/>
    </row>
    <row r="185" spans="148:148" x14ac:dyDescent="0.25">
      <c r="ER185" s="106"/>
    </row>
    <row r="186" spans="148:148" x14ac:dyDescent="0.25">
      <c r="ER186" s="106"/>
    </row>
    <row r="187" spans="148:148" x14ac:dyDescent="0.25">
      <c r="ER187" s="106"/>
    </row>
    <row r="188" spans="148:148" x14ac:dyDescent="0.25">
      <c r="ER188" s="106"/>
    </row>
    <row r="189" spans="148:148" x14ac:dyDescent="0.25">
      <c r="ER189" s="106"/>
    </row>
    <row r="190" spans="148:148" x14ac:dyDescent="0.25">
      <c r="ER190" s="106"/>
    </row>
    <row r="191" spans="148:148" x14ac:dyDescent="0.25">
      <c r="ER191" s="106"/>
    </row>
    <row r="192" spans="148:148" x14ac:dyDescent="0.25">
      <c r="ER192" s="106"/>
    </row>
    <row r="193" spans="148:148" x14ac:dyDescent="0.25">
      <c r="ER193" s="106"/>
    </row>
    <row r="194" spans="148:148" x14ac:dyDescent="0.25">
      <c r="ER194" s="106"/>
    </row>
    <row r="195" spans="148:148" x14ac:dyDescent="0.25">
      <c r="ER195" s="106"/>
    </row>
    <row r="196" spans="148:148" x14ac:dyDescent="0.25">
      <c r="ER196" s="106"/>
    </row>
    <row r="197" spans="148:148" x14ac:dyDescent="0.25">
      <c r="ER197" s="106"/>
    </row>
    <row r="198" spans="148:148" x14ac:dyDescent="0.25">
      <c r="ER198" s="106"/>
    </row>
    <row r="199" spans="148:148" x14ac:dyDescent="0.25">
      <c r="ER199" s="106"/>
    </row>
    <row r="200" spans="148:148" x14ac:dyDescent="0.25">
      <c r="ER200" s="106"/>
    </row>
    <row r="201" spans="148:148" x14ac:dyDescent="0.25">
      <c r="ER201" s="106"/>
    </row>
    <row r="202" spans="148:148" x14ac:dyDescent="0.25">
      <c r="ER202" s="106"/>
    </row>
    <row r="203" spans="148:148" x14ac:dyDescent="0.25">
      <c r="ER203" s="106"/>
    </row>
    <row r="204" spans="148:148" x14ac:dyDescent="0.25">
      <c r="ER204" s="106"/>
    </row>
    <row r="205" spans="148:148" x14ac:dyDescent="0.25">
      <c r="ER205" s="106"/>
    </row>
    <row r="206" spans="148:148" x14ac:dyDescent="0.25">
      <c r="ER206" s="106"/>
    </row>
    <row r="207" spans="148:148" x14ac:dyDescent="0.25">
      <c r="ER207" s="106"/>
    </row>
    <row r="208" spans="148:148" x14ac:dyDescent="0.25">
      <c r="ER208" s="106"/>
    </row>
    <row r="209" spans="148:148" x14ac:dyDescent="0.25">
      <c r="ER209" s="106"/>
    </row>
    <row r="210" spans="148:148" x14ac:dyDescent="0.25">
      <c r="ER210" s="106"/>
    </row>
    <row r="211" spans="148:148" x14ac:dyDescent="0.25">
      <c r="ER211" s="106"/>
    </row>
    <row r="212" spans="148:148" x14ac:dyDescent="0.25">
      <c r="ER212" s="106"/>
    </row>
    <row r="213" spans="148:148" x14ac:dyDescent="0.25">
      <c r="ER213" s="106"/>
    </row>
    <row r="214" spans="148:148" x14ac:dyDescent="0.25">
      <c r="ER214" s="106"/>
    </row>
    <row r="215" spans="148:148" x14ac:dyDescent="0.25">
      <c r="ER215" s="106"/>
    </row>
    <row r="216" spans="148:148" x14ac:dyDescent="0.25">
      <c r="ER216" s="106"/>
    </row>
    <row r="217" spans="148:148" x14ac:dyDescent="0.25">
      <c r="ER217" s="106"/>
    </row>
    <row r="218" spans="148:148" x14ac:dyDescent="0.25">
      <c r="ER218" s="106"/>
    </row>
    <row r="219" spans="148:148" x14ac:dyDescent="0.25">
      <c r="ER219" s="106"/>
    </row>
    <row r="220" spans="148:148" x14ac:dyDescent="0.25">
      <c r="ER220" s="106"/>
    </row>
    <row r="221" spans="148:148" x14ac:dyDescent="0.25">
      <c r="ER221" s="106"/>
    </row>
    <row r="222" spans="148:148" x14ac:dyDescent="0.25">
      <c r="ER222" s="106"/>
    </row>
    <row r="223" spans="148:148" x14ac:dyDescent="0.25">
      <c r="ER223" s="106"/>
    </row>
    <row r="224" spans="148:148" x14ac:dyDescent="0.25">
      <c r="ER224" s="106"/>
    </row>
    <row r="225" spans="148:148" x14ac:dyDescent="0.25">
      <c r="ER225" s="106"/>
    </row>
    <row r="226" spans="148:148" x14ac:dyDescent="0.25">
      <c r="ER226" s="106"/>
    </row>
    <row r="227" spans="148:148" x14ac:dyDescent="0.25">
      <c r="ER227" s="106"/>
    </row>
    <row r="228" spans="148:148" x14ac:dyDescent="0.25">
      <c r="ER228" s="106"/>
    </row>
    <row r="229" spans="148:148" x14ac:dyDescent="0.25">
      <c r="ER229" s="106"/>
    </row>
    <row r="230" spans="148:148" x14ac:dyDescent="0.25">
      <c r="ER230" s="106"/>
    </row>
    <row r="231" spans="148:148" x14ac:dyDescent="0.25">
      <c r="ER231" s="106"/>
    </row>
    <row r="232" spans="148:148" x14ac:dyDescent="0.25">
      <c r="ER232" s="106"/>
    </row>
    <row r="233" spans="148:148" x14ac:dyDescent="0.25">
      <c r="ER233" s="106"/>
    </row>
    <row r="234" spans="148:148" x14ac:dyDescent="0.25">
      <c r="ER234" s="106"/>
    </row>
    <row r="235" spans="148:148" x14ac:dyDescent="0.25">
      <c r="ER235" s="106"/>
    </row>
    <row r="236" spans="148:148" x14ac:dyDescent="0.25">
      <c r="ER236" s="106"/>
    </row>
    <row r="237" spans="148:148" x14ac:dyDescent="0.25">
      <c r="ER237" s="106"/>
    </row>
    <row r="238" spans="148:148" x14ac:dyDescent="0.25">
      <c r="ER238" s="106"/>
    </row>
    <row r="239" spans="148:148" x14ac:dyDescent="0.25">
      <c r="ER239" s="106"/>
    </row>
    <row r="240" spans="148:148" x14ac:dyDescent="0.25">
      <c r="ER240" s="106"/>
    </row>
    <row r="241" spans="148:148" x14ac:dyDescent="0.25">
      <c r="ER241" s="106"/>
    </row>
    <row r="242" spans="148:148" x14ac:dyDescent="0.25">
      <c r="ER242" s="106"/>
    </row>
    <row r="243" spans="148:148" x14ac:dyDescent="0.25">
      <c r="ER243" s="106"/>
    </row>
    <row r="244" spans="148:148" x14ac:dyDescent="0.25">
      <c r="ER244" s="106"/>
    </row>
    <row r="245" spans="148:148" x14ac:dyDescent="0.25">
      <c r="ER245" s="106"/>
    </row>
    <row r="246" spans="148:148" x14ac:dyDescent="0.25">
      <c r="ER246" s="106"/>
    </row>
    <row r="247" spans="148:148" x14ac:dyDescent="0.25">
      <c r="ER247" s="106"/>
    </row>
    <row r="248" spans="148:148" x14ac:dyDescent="0.25">
      <c r="ER248" s="106"/>
    </row>
    <row r="249" spans="148:148" x14ac:dyDescent="0.25">
      <c r="ER249" s="106"/>
    </row>
    <row r="250" spans="148:148" x14ac:dyDescent="0.25">
      <c r="ER250" s="106"/>
    </row>
    <row r="251" spans="148:148" x14ac:dyDescent="0.25">
      <c r="ER251" s="106"/>
    </row>
    <row r="252" spans="148:148" x14ac:dyDescent="0.25">
      <c r="ER252" s="106"/>
    </row>
    <row r="253" spans="148:148" x14ac:dyDescent="0.25">
      <c r="ER253" s="106"/>
    </row>
    <row r="254" spans="148:148" x14ac:dyDescent="0.25">
      <c r="ER254" s="106"/>
    </row>
    <row r="255" spans="148:148" x14ac:dyDescent="0.25">
      <c r="ER255" s="106"/>
    </row>
    <row r="256" spans="148:148" x14ac:dyDescent="0.25">
      <c r="ER256" s="106"/>
    </row>
    <row r="257" spans="148:148" x14ac:dyDescent="0.25">
      <c r="ER257" s="106"/>
    </row>
    <row r="258" spans="148:148" x14ac:dyDescent="0.25">
      <c r="ER258" s="106"/>
    </row>
    <row r="259" spans="148:148" x14ac:dyDescent="0.25">
      <c r="ER259" s="106"/>
    </row>
    <row r="260" spans="148:148" x14ac:dyDescent="0.25">
      <c r="ER260" s="106"/>
    </row>
    <row r="261" spans="148:148" x14ac:dyDescent="0.25">
      <c r="ER261" s="106"/>
    </row>
    <row r="262" spans="148:148" x14ac:dyDescent="0.25">
      <c r="ER262" s="106"/>
    </row>
    <row r="263" spans="148:148" x14ac:dyDescent="0.25">
      <c r="ER263" s="106"/>
    </row>
    <row r="264" spans="148:148" x14ac:dyDescent="0.25">
      <c r="ER264" s="106"/>
    </row>
    <row r="265" spans="148:148" x14ac:dyDescent="0.25">
      <c r="ER265" s="106"/>
    </row>
    <row r="266" spans="148:148" x14ac:dyDescent="0.25">
      <c r="ER266" s="106"/>
    </row>
    <row r="267" spans="148:148" x14ac:dyDescent="0.25">
      <c r="ER267" s="106"/>
    </row>
    <row r="268" spans="148:148" x14ac:dyDescent="0.25">
      <c r="ER268" s="106"/>
    </row>
    <row r="269" spans="148:148" x14ac:dyDescent="0.25">
      <c r="ER269" s="106"/>
    </row>
    <row r="270" spans="148:148" x14ac:dyDescent="0.25">
      <c r="ER270" s="106"/>
    </row>
    <row r="271" spans="148:148" x14ac:dyDescent="0.25">
      <c r="ER271" s="106"/>
    </row>
    <row r="272" spans="148:148" x14ac:dyDescent="0.25">
      <c r="ER272" s="106"/>
    </row>
    <row r="273" spans="148:148" x14ac:dyDescent="0.25">
      <c r="ER273" s="106"/>
    </row>
    <row r="274" spans="148:148" x14ac:dyDescent="0.25">
      <c r="ER274" s="106"/>
    </row>
    <row r="275" spans="148:148" x14ac:dyDescent="0.25">
      <c r="ER275" s="106"/>
    </row>
    <row r="276" spans="148:148" x14ac:dyDescent="0.25">
      <c r="ER276" s="106"/>
    </row>
    <row r="277" spans="148:148" x14ac:dyDescent="0.25">
      <c r="ER277" s="106"/>
    </row>
    <row r="278" spans="148:148" x14ac:dyDescent="0.25">
      <c r="ER278" s="106"/>
    </row>
    <row r="279" spans="148:148" x14ac:dyDescent="0.25">
      <c r="ER279" s="106"/>
    </row>
    <row r="280" spans="148:148" x14ac:dyDescent="0.25">
      <c r="ER280" s="106"/>
    </row>
    <row r="281" spans="148:148" x14ac:dyDescent="0.25">
      <c r="ER281" s="106"/>
    </row>
    <row r="282" spans="148:148" x14ac:dyDescent="0.25">
      <c r="ER282" s="106"/>
    </row>
    <row r="283" spans="148:148" x14ac:dyDescent="0.25">
      <c r="ER283" s="106"/>
    </row>
    <row r="284" spans="148:148" x14ac:dyDescent="0.25">
      <c r="ER284" s="106"/>
    </row>
    <row r="285" spans="148:148" x14ac:dyDescent="0.25">
      <c r="ER285" s="106"/>
    </row>
    <row r="286" spans="148:148" x14ac:dyDescent="0.25">
      <c r="ER286" s="106"/>
    </row>
    <row r="287" spans="148:148" x14ac:dyDescent="0.25">
      <c r="ER287" s="106"/>
    </row>
    <row r="288" spans="148:148" x14ac:dyDescent="0.25">
      <c r="ER288" s="106"/>
    </row>
    <row r="289" spans="148:148" x14ac:dyDescent="0.25">
      <c r="ER289" s="106"/>
    </row>
    <row r="290" spans="148:148" x14ac:dyDescent="0.25">
      <c r="ER290" s="106"/>
    </row>
    <row r="291" spans="148:148" x14ac:dyDescent="0.25">
      <c r="ER291" s="106"/>
    </row>
    <row r="292" spans="148:148" x14ac:dyDescent="0.25">
      <c r="ER292" s="106"/>
    </row>
    <row r="293" spans="148:148" x14ac:dyDescent="0.25">
      <c r="ER293" s="106"/>
    </row>
    <row r="294" spans="148:148" x14ac:dyDescent="0.25">
      <c r="ER294" s="106"/>
    </row>
    <row r="295" spans="148:148" x14ac:dyDescent="0.25">
      <c r="ER295" s="106"/>
    </row>
    <row r="296" spans="148:148" x14ac:dyDescent="0.25">
      <c r="ER296" s="106"/>
    </row>
    <row r="297" spans="148:148" x14ac:dyDescent="0.25">
      <c r="ER297" s="106"/>
    </row>
    <row r="298" spans="148:148" x14ac:dyDescent="0.25">
      <c r="ER298" s="106"/>
    </row>
    <row r="299" spans="148:148" x14ac:dyDescent="0.25">
      <c r="ER299" s="106"/>
    </row>
    <row r="300" spans="148:148" x14ac:dyDescent="0.25">
      <c r="ER300" s="106"/>
    </row>
    <row r="301" spans="148:148" x14ac:dyDescent="0.25">
      <c r="ER301" s="106"/>
    </row>
    <row r="302" spans="148:148" x14ac:dyDescent="0.25">
      <c r="ER302" s="106"/>
    </row>
    <row r="303" spans="148:148" x14ac:dyDescent="0.25">
      <c r="ER303" s="106"/>
    </row>
    <row r="304" spans="148:148" x14ac:dyDescent="0.25">
      <c r="ER304" s="106"/>
    </row>
    <row r="305" spans="148:148" x14ac:dyDescent="0.25">
      <c r="ER305" s="106"/>
    </row>
    <row r="306" spans="148:148" x14ac:dyDescent="0.25">
      <c r="ER306" s="106"/>
    </row>
    <row r="307" spans="148:148" x14ac:dyDescent="0.25">
      <c r="ER307" s="106"/>
    </row>
    <row r="308" spans="148:148" x14ac:dyDescent="0.25">
      <c r="ER308" s="106"/>
    </row>
    <row r="309" spans="148:148" x14ac:dyDescent="0.25">
      <c r="ER309" s="106"/>
    </row>
    <row r="310" spans="148:148" x14ac:dyDescent="0.25">
      <c r="ER310" s="106"/>
    </row>
    <row r="311" spans="148:148" x14ac:dyDescent="0.25">
      <c r="ER311" s="106"/>
    </row>
    <row r="312" spans="148:148" x14ac:dyDescent="0.25">
      <c r="ER312" s="106"/>
    </row>
    <row r="313" spans="148:148" x14ac:dyDescent="0.25">
      <c r="ER313" s="106"/>
    </row>
    <row r="314" spans="148:148" x14ac:dyDescent="0.25">
      <c r="ER314" s="106"/>
    </row>
  </sheetData>
  <phoneticPr fontId="0" type="noConversion"/>
  <printOptions gridLines="1" gridLinesSet="0"/>
  <pageMargins left="0.75" right="0.75" top="1" bottom="1" header="0.5" footer="0.5"/>
  <pageSetup orientation="portrait" horizontalDpi="4294967292" r:id="rId1"/>
  <headerFooter alignWithMargins="0">
    <oddHeader>&amp;A</oddHeader>
    <oddFooter>Page &amp;P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D8CE0-C600-4D9B-8B26-B5A0D6E04CA6}">
  <dimension ref="A1:AQ46"/>
  <sheetViews>
    <sheetView workbookViewId="0">
      <selection activeCell="H15" sqref="H15"/>
    </sheetView>
  </sheetViews>
  <sheetFormatPr defaultRowHeight="15" x14ac:dyDescent="0.25"/>
  <sheetData>
    <row r="1" spans="1:43" x14ac:dyDescent="0.25">
      <c r="T1">
        <v>57469</v>
      </c>
      <c r="U1">
        <v>2948</v>
      </c>
      <c r="V1">
        <v>3661</v>
      </c>
      <c r="W1">
        <v>23924.447414749116</v>
      </c>
      <c r="X1">
        <v>69859</v>
      </c>
      <c r="Y1">
        <v>77049</v>
      </c>
      <c r="Z1">
        <v>65546</v>
      </c>
      <c r="AA1">
        <v>101067</v>
      </c>
      <c r="AB1">
        <v>66708</v>
      </c>
      <c r="AC1">
        <v>10021</v>
      </c>
      <c r="AD1">
        <v>12503</v>
      </c>
      <c r="AE1">
        <v>17030</v>
      </c>
      <c r="AF1">
        <v>22529.20627986913</v>
      </c>
      <c r="AG1">
        <v>40272</v>
      </c>
      <c r="AH1">
        <v>48355</v>
      </c>
      <c r="AI1">
        <v>19485.409303526412</v>
      </c>
      <c r="AJ1">
        <v>13539.404372589403</v>
      </c>
      <c r="AK1">
        <v>22553</v>
      </c>
      <c r="AL1">
        <v>55397</v>
      </c>
      <c r="AM1">
        <v>72409</v>
      </c>
      <c r="AN1">
        <v>59106</v>
      </c>
      <c r="AO1">
        <v>41289</v>
      </c>
      <c r="AP1">
        <v>60004</v>
      </c>
      <c r="AQ1">
        <v>85785</v>
      </c>
    </row>
    <row r="2" spans="1:43" x14ac:dyDescent="0.25">
      <c r="A2" t="s">
        <v>53</v>
      </c>
      <c r="B2" t="s">
        <v>54</v>
      </c>
    </row>
    <row r="3" spans="1:43" x14ac:dyDescent="0.25">
      <c r="A3" s="41">
        <v>1982</v>
      </c>
      <c r="B3" s="140">
        <v>430</v>
      </c>
      <c r="C3">
        <v>7000</v>
      </c>
      <c r="D3">
        <v>25000</v>
      </c>
    </row>
    <row r="4" spans="1:43" x14ac:dyDescent="0.25">
      <c r="A4" s="41">
        <v>1983</v>
      </c>
      <c r="B4" s="140">
        <v>2525</v>
      </c>
      <c r="C4">
        <v>7000</v>
      </c>
      <c r="D4">
        <v>25000</v>
      </c>
    </row>
    <row r="5" spans="1:43" x14ac:dyDescent="0.25">
      <c r="A5" s="41">
        <v>1984</v>
      </c>
      <c r="B5" s="140">
        <v>11530</v>
      </c>
      <c r="C5">
        <v>7000</v>
      </c>
      <c r="D5">
        <v>25000</v>
      </c>
    </row>
    <row r="6" spans="1:43" x14ac:dyDescent="0.25">
      <c r="A6" s="41">
        <v>1985</v>
      </c>
      <c r="B6" s="140">
        <v>10669</v>
      </c>
      <c r="C6">
        <v>7000</v>
      </c>
      <c r="D6">
        <v>25000</v>
      </c>
    </row>
    <row r="7" spans="1:43" x14ac:dyDescent="0.25">
      <c r="A7" s="41">
        <v>1986</v>
      </c>
      <c r="B7" s="140">
        <v>9414</v>
      </c>
      <c r="C7">
        <v>7000</v>
      </c>
      <c r="D7">
        <v>25000</v>
      </c>
    </row>
    <row r="8" spans="1:43" x14ac:dyDescent="0.25">
      <c r="A8" s="41">
        <v>1987</v>
      </c>
      <c r="B8" s="140">
        <v>12990</v>
      </c>
      <c r="C8">
        <v>7000</v>
      </c>
      <c r="D8">
        <v>25000</v>
      </c>
    </row>
    <row r="9" spans="1:43" x14ac:dyDescent="0.25">
      <c r="A9" s="41">
        <v>1988</v>
      </c>
      <c r="B9" s="140">
        <v>1888</v>
      </c>
      <c r="C9">
        <v>7000</v>
      </c>
      <c r="D9">
        <v>25000</v>
      </c>
    </row>
    <row r="10" spans="1:43" x14ac:dyDescent="0.25">
      <c r="A10" s="41">
        <v>1989</v>
      </c>
      <c r="B10" s="140">
        <v>28669</v>
      </c>
      <c r="C10">
        <v>7000</v>
      </c>
      <c r="D10">
        <v>25000</v>
      </c>
    </row>
    <row r="11" spans="1:43" x14ac:dyDescent="0.25">
      <c r="A11" s="41">
        <v>1990</v>
      </c>
      <c r="B11" s="140">
        <v>72517</v>
      </c>
      <c r="C11">
        <v>7000</v>
      </c>
      <c r="D11">
        <v>25000</v>
      </c>
    </row>
    <row r="12" spans="1:43" x14ac:dyDescent="0.25">
      <c r="A12" s="41">
        <v>1991</v>
      </c>
      <c r="B12" s="140">
        <v>45039</v>
      </c>
      <c r="C12">
        <v>7000</v>
      </c>
      <c r="D12">
        <v>25000</v>
      </c>
    </row>
    <row r="13" spans="1:43" x14ac:dyDescent="0.25">
      <c r="A13" s="41">
        <v>1992</v>
      </c>
      <c r="B13" s="140">
        <v>10231</v>
      </c>
      <c r="C13">
        <v>7000</v>
      </c>
      <c r="D13">
        <v>25000</v>
      </c>
    </row>
    <row r="14" spans="1:43" x14ac:dyDescent="0.25">
      <c r="A14" s="41">
        <v>1993</v>
      </c>
      <c r="B14" s="140">
        <v>24707</v>
      </c>
      <c r="C14">
        <v>7000</v>
      </c>
      <c r="D14">
        <v>25000</v>
      </c>
    </row>
    <row r="15" spans="1:43" x14ac:dyDescent="0.25">
      <c r="A15" s="41">
        <v>1994</v>
      </c>
      <c r="B15" s="140">
        <v>39216</v>
      </c>
      <c r="C15">
        <v>7000</v>
      </c>
      <c r="D15">
        <v>25000</v>
      </c>
    </row>
    <row r="16" spans="1:43" x14ac:dyDescent="0.25">
      <c r="A16" s="41">
        <v>1995</v>
      </c>
      <c r="B16" s="140">
        <v>34216</v>
      </c>
      <c r="C16">
        <v>7000</v>
      </c>
      <c r="D16">
        <v>25000</v>
      </c>
    </row>
    <row r="17" spans="1:4" x14ac:dyDescent="0.25">
      <c r="A17" s="41">
        <v>1996</v>
      </c>
      <c r="B17" s="140">
        <v>18725</v>
      </c>
      <c r="C17">
        <v>7000</v>
      </c>
      <c r="D17">
        <v>25000</v>
      </c>
    </row>
    <row r="18" spans="1:4" x14ac:dyDescent="0.25">
      <c r="A18" s="41">
        <v>1997</v>
      </c>
      <c r="B18" s="140">
        <v>28127</v>
      </c>
      <c r="C18">
        <v>7000</v>
      </c>
      <c r="D18">
        <v>25000</v>
      </c>
    </row>
    <row r="19" spans="1:4" x14ac:dyDescent="0.25">
      <c r="A19" s="41">
        <v>1998</v>
      </c>
      <c r="B19" s="140"/>
      <c r="C19">
        <v>7000</v>
      </c>
      <c r="D19">
        <v>25000</v>
      </c>
    </row>
    <row r="20" spans="1:4" x14ac:dyDescent="0.25">
      <c r="A20" s="41">
        <v>1999</v>
      </c>
      <c r="B20" s="140">
        <v>57469</v>
      </c>
      <c r="C20">
        <v>7000</v>
      </c>
      <c r="D20">
        <v>25000</v>
      </c>
    </row>
    <row r="21" spans="1:4" x14ac:dyDescent="0.25">
      <c r="A21" s="41">
        <v>2000</v>
      </c>
      <c r="B21" s="140">
        <v>2948</v>
      </c>
      <c r="C21">
        <v>7000</v>
      </c>
      <c r="D21">
        <v>25000</v>
      </c>
    </row>
    <row r="22" spans="1:4" x14ac:dyDescent="0.25">
      <c r="A22" s="41">
        <v>2001</v>
      </c>
      <c r="B22" s="140">
        <v>3661</v>
      </c>
      <c r="C22">
        <v>7000</v>
      </c>
      <c r="D22">
        <v>25000</v>
      </c>
    </row>
    <row r="23" spans="1:4" x14ac:dyDescent="0.25">
      <c r="A23" s="41">
        <v>2002</v>
      </c>
      <c r="B23" s="140">
        <v>23924</v>
      </c>
      <c r="C23">
        <v>7000</v>
      </c>
      <c r="D23">
        <v>25000</v>
      </c>
    </row>
    <row r="24" spans="1:4" x14ac:dyDescent="0.25">
      <c r="A24" s="41">
        <v>2003</v>
      </c>
      <c r="B24" s="140">
        <v>69859</v>
      </c>
      <c r="C24">
        <v>7000</v>
      </c>
      <c r="D24">
        <v>25000</v>
      </c>
    </row>
    <row r="25" spans="1:4" x14ac:dyDescent="0.25">
      <c r="A25" s="41">
        <v>2004</v>
      </c>
      <c r="B25" s="140">
        <v>77049</v>
      </c>
      <c r="C25">
        <v>7000</v>
      </c>
      <c r="D25">
        <v>25000</v>
      </c>
    </row>
    <row r="26" spans="1:4" x14ac:dyDescent="0.25">
      <c r="A26" s="41">
        <v>2005</v>
      </c>
      <c r="B26" s="140">
        <v>65546</v>
      </c>
      <c r="C26">
        <v>7000</v>
      </c>
      <c r="D26">
        <v>25000</v>
      </c>
    </row>
    <row r="27" spans="1:4" x14ac:dyDescent="0.25">
      <c r="A27" s="41">
        <v>2006</v>
      </c>
      <c r="B27" s="140">
        <v>101067</v>
      </c>
      <c r="C27">
        <v>7000</v>
      </c>
      <c r="D27">
        <v>25000</v>
      </c>
    </row>
    <row r="28" spans="1:4" x14ac:dyDescent="0.25">
      <c r="A28" s="41">
        <v>2007</v>
      </c>
      <c r="B28" s="140">
        <v>66708</v>
      </c>
      <c r="C28">
        <v>7000</v>
      </c>
      <c r="D28">
        <v>25000</v>
      </c>
    </row>
    <row r="29" spans="1:4" x14ac:dyDescent="0.25">
      <c r="A29" s="41">
        <v>2008</v>
      </c>
      <c r="B29" s="140">
        <v>10021</v>
      </c>
      <c r="C29">
        <v>7000</v>
      </c>
      <c r="D29">
        <v>25000</v>
      </c>
    </row>
    <row r="30" spans="1:4" x14ac:dyDescent="0.25">
      <c r="A30" s="41">
        <v>2009</v>
      </c>
      <c r="B30" s="140">
        <v>12503</v>
      </c>
      <c r="C30">
        <v>7000</v>
      </c>
      <c r="D30">
        <v>25000</v>
      </c>
    </row>
    <row r="31" spans="1:4" x14ac:dyDescent="0.25">
      <c r="A31" s="41">
        <v>2010</v>
      </c>
      <c r="B31" s="140">
        <v>17030</v>
      </c>
      <c r="C31">
        <v>7000</v>
      </c>
      <c r="D31">
        <v>25000</v>
      </c>
    </row>
    <row r="32" spans="1:4" x14ac:dyDescent="0.25">
      <c r="A32" s="41">
        <v>2011</v>
      </c>
      <c r="B32" s="140">
        <v>22529</v>
      </c>
      <c r="C32">
        <v>7000</v>
      </c>
      <c r="D32">
        <v>25000</v>
      </c>
    </row>
    <row r="33" spans="1:4" x14ac:dyDescent="0.25">
      <c r="A33" s="41">
        <v>2012</v>
      </c>
      <c r="B33" s="140">
        <v>40272</v>
      </c>
      <c r="C33">
        <v>7000</v>
      </c>
      <c r="D33">
        <v>25000</v>
      </c>
    </row>
    <row r="34" spans="1:4" x14ac:dyDescent="0.25">
      <c r="A34" s="41">
        <v>2013</v>
      </c>
      <c r="B34" s="140">
        <v>48355</v>
      </c>
      <c r="C34">
        <v>7000</v>
      </c>
      <c r="D34">
        <v>25000</v>
      </c>
    </row>
    <row r="35" spans="1:4" x14ac:dyDescent="0.25">
      <c r="A35" s="41">
        <v>2014</v>
      </c>
      <c r="B35" s="140">
        <v>19485</v>
      </c>
      <c r="C35">
        <v>7000</v>
      </c>
      <c r="D35">
        <v>25000</v>
      </c>
    </row>
    <row r="36" spans="1:4" x14ac:dyDescent="0.25">
      <c r="A36" s="41">
        <v>2015</v>
      </c>
      <c r="B36" s="140">
        <v>13539</v>
      </c>
      <c r="C36">
        <v>7000</v>
      </c>
      <c r="D36">
        <v>25000</v>
      </c>
    </row>
    <row r="37" spans="1:4" x14ac:dyDescent="0.25">
      <c r="A37" s="41">
        <v>2016</v>
      </c>
      <c r="B37" s="140">
        <v>22553</v>
      </c>
      <c r="C37">
        <v>7000</v>
      </c>
      <c r="D37">
        <v>25000</v>
      </c>
    </row>
    <row r="38" spans="1:4" x14ac:dyDescent="0.25">
      <c r="A38" s="41">
        <v>2017</v>
      </c>
      <c r="B38" s="140">
        <v>55397</v>
      </c>
      <c r="C38">
        <v>7000</v>
      </c>
      <c r="D38">
        <v>25000</v>
      </c>
    </row>
    <row r="39" spans="1:4" x14ac:dyDescent="0.25">
      <c r="A39" s="30">
        <v>2018</v>
      </c>
      <c r="B39" s="140">
        <v>72409</v>
      </c>
      <c r="C39">
        <v>7000</v>
      </c>
      <c r="D39">
        <v>25000</v>
      </c>
    </row>
    <row r="40" spans="1:4" x14ac:dyDescent="0.25">
      <c r="A40" s="30">
        <v>2019</v>
      </c>
      <c r="B40" s="140">
        <v>59106</v>
      </c>
      <c r="C40">
        <v>7000</v>
      </c>
      <c r="D40">
        <v>25000</v>
      </c>
    </row>
    <row r="41" spans="1:4" x14ac:dyDescent="0.25">
      <c r="A41" s="30">
        <v>2020</v>
      </c>
      <c r="B41" s="140">
        <v>41289</v>
      </c>
      <c r="C41">
        <v>7000</v>
      </c>
      <c r="D41">
        <v>25000</v>
      </c>
    </row>
    <row r="42" spans="1:4" x14ac:dyDescent="0.25">
      <c r="A42" s="30">
        <v>2021</v>
      </c>
      <c r="B42" s="140">
        <v>60004</v>
      </c>
      <c r="C42">
        <v>7000</v>
      </c>
      <c r="D42">
        <v>25000</v>
      </c>
    </row>
    <row r="43" spans="1:4" x14ac:dyDescent="0.25">
      <c r="A43" s="30">
        <v>2022</v>
      </c>
      <c r="B43" s="140">
        <v>85785</v>
      </c>
      <c r="C43">
        <v>7000</v>
      </c>
      <c r="D43">
        <v>25000</v>
      </c>
    </row>
    <row r="44" spans="1:4" x14ac:dyDescent="0.25">
      <c r="A44" s="30">
        <v>2023</v>
      </c>
      <c r="B44" s="140">
        <v>153406</v>
      </c>
      <c r="C44">
        <v>7000</v>
      </c>
      <c r="D44">
        <v>25000</v>
      </c>
    </row>
    <row r="45" spans="1:4" x14ac:dyDescent="0.25">
      <c r="A45" s="30">
        <v>2024</v>
      </c>
      <c r="B45" s="140">
        <v>210303</v>
      </c>
      <c r="C45">
        <v>7000</v>
      </c>
      <c r="D45">
        <v>25000</v>
      </c>
    </row>
    <row r="46" spans="1:4" x14ac:dyDescent="0.25">
      <c r="A46" s="30">
        <v>2025</v>
      </c>
      <c r="B46" s="140">
        <v>228974</v>
      </c>
      <c r="C46">
        <v>7000</v>
      </c>
      <c r="D46">
        <v>25000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 Entry - Projections</vt:lpstr>
      <vt:lpstr>Charts</vt:lpstr>
      <vt:lpstr>HistData</vt:lpstr>
      <vt:lpstr>Sheet1</vt:lpstr>
      <vt:lpstr>Charts!Print_Area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Situk River Chinook &amp; Sockeye Salmon</dc:title>
  <dc:subject>1996 Inseason Forecasting Spreadsheet</dc:subject>
  <dc:creator>Alaska Dept. of Fish and Game</dc:creator>
  <cp:lastModifiedBy>Blake Toney</cp:lastModifiedBy>
  <cp:lastPrinted>2015-06-25T17:14:13Z</cp:lastPrinted>
  <dcterms:created xsi:type="dcterms:W3CDTF">1997-07-24T16:24:24Z</dcterms:created>
  <dcterms:modified xsi:type="dcterms:W3CDTF">2026-05-07T21:10:31Z</dcterms:modified>
</cp:coreProperties>
</file>