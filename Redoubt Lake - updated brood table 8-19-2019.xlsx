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92f22008f4fcb9/Desktop/Forest Service/RedoubtModeling/data/"/>
    </mc:Choice>
  </mc:AlternateContent>
  <xr:revisionPtr revIDLastSave="0" documentId="8_{C4577729-E792-458D-932E-E22D67287930}" xr6:coauthVersionLast="47" xr6:coauthVersionMax="47" xr10:uidLastSave="{00000000-0000-0000-0000-000000000000}"/>
  <bookViews>
    <workbookView xWindow="-108" yWindow="-108" windowWidth="24792" windowHeight="14856" activeTab="5" xr2:uid="{00000000-000D-0000-FFFF-FFFF00000000}"/>
  </bookViews>
  <sheets>
    <sheet name="Summary Data" sheetId="20" r:id="rId1"/>
    <sheet name="Chart1" sheetId="19" r:id="rId2"/>
    <sheet name="S-R Summary" sheetId="40" r:id="rId3"/>
    <sheet name="Run Reconstruction 1" sheetId="24" r:id="rId4"/>
    <sheet name="Run Reconstruction 2" sheetId="35" r:id="rId5"/>
    <sheet name="Run Reconstruction 3" sheetId="38" r:id="rId6"/>
    <sheet name="Run Reconstruction 4" sheetId="39" r:id="rId7"/>
    <sheet name="Harvest" sheetId="29" r:id="rId8"/>
    <sheet name="Escapement Age" sheetId="22" r:id="rId9"/>
    <sheet name="Return Age" sheetId="37" r:id="rId10"/>
    <sheet name="Weir Count" sheetId="30" r:id="rId11"/>
    <sheet name="Weir - Filled" sheetId="31" r:id="rId12"/>
  </sheets>
  <definedNames>
    <definedName name="solver_adj" localSheetId="9" hidden="1">'Return Age'!#REF!</definedName>
    <definedName name="solver_adj" localSheetId="3" hidden="1">'Run Reconstruction 1'!$Z$61</definedName>
    <definedName name="solver_adj" localSheetId="4" hidden="1">'Run Reconstruction 2'!$Z$61</definedName>
    <definedName name="solver_adj" localSheetId="5" hidden="1">'Run Reconstruction 3'!$Z$64</definedName>
    <definedName name="solver_adj" localSheetId="6" hidden="1">'Run Reconstruction 4'!$Z$61</definedName>
    <definedName name="solver_cvg" localSheetId="9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9" hidden="1">2</definedName>
    <definedName name="solver_drv" localSheetId="3" hidden="1">2</definedName>
    <definedName name="solver_drv" localSheetId="4" hidden="1">2</definedName>
    <definedName name="solver_drv" localSheetId="5" hidden="1">2</definedName>
    <definedName name="solver_drv" localSheetId="6" hidden="1">2</definedName>
    <definedName name="solver_eng" localSheetId="9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st" localSheetId="9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9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mip" localSheetId="9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9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9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9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9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9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9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wt" localSheetId="9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9" hidden="1">'Return Age'!#REF!</definedName>
    <definedName name="solver_opt" localSheetId="3" hidden="1">'Run Reconstruction 1'!$AB$61</definedName>
    <definedName name="solver_opt" localSheetId="4" hidden="1">'Run Reconstruction 2'!$AB$61</definedName>
    <definedName name="solver_opt" localSheetId="5" hidden="1">'Run Reconstruction 3'!$AB$64</definedName>
    <definedName name="solver_opt" localSheetId="6" hidden="1">'Run Reconstruction 4'!$AB$61</definedName>
    <definedName name="solver_pre" localSheetId="9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9" hidden="1">2</definedName>
    <definedName name="solver_rbv" localSheetId="3" hidden="1">2</definedName>
    <definedName name="solver_rbv" localSheetId="4" hidden="1">2</definedName>
    <definedName name="solver_rbv" localSheetId="5" hidden="1">2</definedName>
    <definedName name="solver_rbv" localSheetId="6" hidden="1">2</definedName>
    <definedName name="solver_rlx" localSheetId="9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9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9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ho" localSheetId="9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9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9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9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yp" localSheetId="9" hidden="1">3</definedName>
    <definedName name="solver_typ" localSheetId="3" hidden="1">3</definedName>
    <definedName name="solver_typ" localSheetId="4" hidden="1">3</definedName>
    <definedName name="solver_typ" localSheetId="5" hidden="1">3</definedName>
    <definedName name="solver_typ" localSheetId="6" hidden="1">3</definedName>
    <definedName name="solver_val" localSheetId="9" hidden="1">51998</definedName>
    <definedName name="solver_val" localSheetId="3" hidden="1">52158</definedName>
    <definedName name="solver_val" localSheetId="4" hidden="1">52248</definedName>
    <definedName name="solver_val" localSheetId="5" hidden="1">79623</definedName>
    <definedName name="solver_val" localSheetId="6" hidden="1">72958</definedName>
    <definedName name="solver_ver" localSheetId="9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0" i="38" l="1"/>
  <c r="AE45" i="38"/>
  <c r="AE35" i="38"/>
  <c r="V20" i="38"/>
  <c r="AA32" i="38" l="1"/>
  <c r="AA32" i="39"/>
  <c r="AE32" i="38" l="1"/>
  <c r="AE34" i="38"/>
  <c r="AC64" i="38"/>
  <c r="AC63" i="38"/>
  <c r="AC62" i="38"/>
  <c r="AC61" i="38"/>
  <c r="AD40" i="38"/>
  <c r="AA65" i="38" s="1"/>
  <c r="AB40" i="38"/>
  <c r="AC40" i="38"/>
  <c r="AA40" i="38"/>
  <c r="AD38" i="38"/>
  <c r="AA64" i="38"/>
  <c r="AB64" i="38" s="1"/>
  <c r="AA63" i="38"/>
  <c r="AB63" i="38" s="1"/>
  <c r="AA62" i="38"/>
  <c r="AA61" i="38"/>
  <c r="AB61" i="38" s="1"/>
  <c r="AC39" i="38" l="1"/>
  <c r="AD39" i="38"/>
  <c r="AC38" i="38"/>
  <c r="AC37" i="38"/>
  <c r="AD37" i="38"/>
  <c r="AC36" i="38"/>
  <c r="AD36" i="38"/>
  <c r="AA40" i="39" l="1"/>
  <c r="AA41" i="39"/>
  <c r="I59" i="24" l="1"/>
  <c r="I19" i="24" s="1"/>
  <c r="I112" i="38"/>
  <c r="I19" i="38" s="1"/>
  <c r="AB62" i="38" l="1"/>
  <c r="AD62" i="24"/>
  <c r="AA62" i="24" s="1"/>
  <c r="AB62" i="24" s="1"/>
  <c r="AB37" i="24" l="1"/>
  <c r="D10" i="20" l="1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9" i="20"/>
  <c r="D6" i="20"/>
  <c r="G5" i="29"/>
  <c r="F9" i="20" s="1"/>
  <c r="G6" i="29"/>
  <c r="F10" i="20" s="1"/>
  <c r="G7" i="29"/>
  <c r="F11" i="20" s="1"/>
  <c r="G8" i="29"/>
  <c r="F12" i="20" s="1"/>
  <c r="G9" i="29"/>
  <c r="F13" i="20" s="1"/>
  <c r="G10" i="29"/>
  <c r="F14" i="20" s="1"/>
  <c r="G11" i="29"/>
  <c r="F15" i="20" s="1"/>
  <c r="G12" i="29"/>
  <c r="F16" i="20" s="1"/>
  <c r="G13" i="29"/>
  <c r="F17" i="20" s="1"/>
  <c r="G14" i="29"/>
  <c r="F18" i="20" s="1"/>
  <c r="G15" i="29"/>
  <c r="F19" i="20" s="1"/>
  <c r="G16" i="29"/>
  <c r="F20" i="20" s="1"/>
  <c r="G17" i="29"/>
  <c r="F21" i="20" s="1"/>
  <c r="G18" i="29"/>
  <c r="F22" i="20" s="1"/>
  <c r="G19" i="29"/>
  <c r="F23" i="20" s="1"/>
  <c r="G20" i="29"/>
  <c r="F24" i="20" s="1"/>
  <c r="G21" i="29"/>
  <c r="F25" i="20" s="1"/>
  <c r="G22" i="29"/>
  <c r="F26" i="20" s="1"/>
  <c r="E48" i="37" l="1"/>
  <c r="E49" i="37"/>
  <c r="E50" i="37"/>
  <c r="E51" i="37"/>
  <c r="E52" i="37"/>
  <c r="E53" i="37"/>
  <c r="E54" i="37"/>
  <c r="E55" i="37"/>
  <c r="E56" i="37"/>
  <c r="E57" i="37"/>
  <c r="E58" i="37"/>
  <c r="E59" i="37"/>
  <c r="E60" i="37"/>
  <c r="E61" i="37"/>
  <c r="E62" i="37"/>
  <c r="E63" i="37"/>
  <c r="E64" i="37"/>
  <c r="E65" i="37"/>
  <c r="E66" i="37"/>
  <c r="E67" i="37"/>
  <c r="E68" i="37"/>
  <c r="E69" i="37"/>
  <c r="E70" i="37"/>
  <c r="E71" i="37"/>
  <c r="E72" i="37"/>
  <c r="E73" i="37"/>
  <c r="E74" i="37"/>
  <c r="E75" i="37"/>
  <c r="E76" i="37"/>
  <c r="E77" i="37"/>
  <c r="E47" i="37"/>
  <c r="H15" i="40" l="1"/>
  <c r="H16" i="40"/>
  <c r="G6" i="40"/>
  <c r="G7" i="40"/>
  <c r="G8" i="40"/>
  <c r="F15" i="40"/>
  <c r="G15" i="40"/>
  <c r="F16" i="40"/>
  <c r="G16" i="40"/>
  <c r="G5" i="40"/>
  <c r="E15" i="40"/>
  <c r="E16" i="40"/>
  <c r="D5" i="40"/>
  <c r="B5" i="40"/>
  <c r="D6" i="40"/>
  <c r="B6" i="40"/>
  <c r="D7" i="40"/>
  <c r="B7" i="40"/>
  <c r="D8" i="40"/>
  <c r="D10" i="40"/>
  <c r="B11" i="40"/>
  <c r="B14" i="40"/>
  <c r="D15" i="40"/>
  <c r="B15" i="40"/>
  <c r="D16" i="40"/>
  <c r="B16" i="40"/>
  <c r="C15" i="40"/>
  <c r="C16" i="40"/>
  <c r="S77" i="39" l="1"/>
  <c r="R77" i="39"/>
  <c r="Q77" i="39"/>
  <c r="P77" i="39"/>
  <c r="N77" i="39"/>
  <c r="L77" i="39"/>
  <c r="J77" i="39"/>
  <c r="H77" i="39"/>
  <c r="S76" i="39"/>
  <c r="R76" i="39"/>
  <c r="Q76" i="39"/>
  <c r="P76" i="39"/>
  <c r="N76" i="39"/>
  <c r="L76" i="39"/>
  <c r="J76" i="39"/>
  <c r="H76" i="39"/>
  <c r="S75" i="39"/>
  <c r="R75" i="39"/>
  <c r="P75" i="39"/>
  <c r="N75" i="39"/>
  <c r="L75" i="39"/>
  <c r="J75" i="39"/>
  <c r="H75" i="39"/>
  <c r="R74" i="39"/>
  <c r="P74" i="39"/>
  <c r="N74" i="39"/>
  <c r="L74" i="39"/>
  <c r="J74" i="39"/>
  <c r="H74" i="39"/>
  <c r="R73" i="39"/>
  <c r="P73" i="39"/>
  <c r="N73" i="39"/>
  <c r="L73" i="39"/>
  <c r="J73" i="39"/>
  <c r="H73" i="39"/>
  <c r="R72" i="39"/>
  <c r="P72" i="39"/>
  <c r="N72" i="39"/>
  <c r="L72" i="39"/>
  <c r="J72" i="39"/>
  <c r="H72" i="39"/>
  <c r="R71" i="39"/>
  <c r="P71" i="39"/>
  <c r="N71" i="39"/>
  <c r="L71" i="39"/>
  <c r="J71" i="39"/>
  <c r="H71" i="39"/>
  <c r="R70" i="39"/>
  <c r="P70" i="39"/>
  <c r="N70" i="39"/>
  <c r="L70" i="39"/>
  <c r="J70" i="39"/>
  <c r="H70" i="39"/>
  <c r="R69" i="39"/>
  <c r="P69" i="39"/>
  <c r="N69" i="39"/>
  <c r="L69" i="39"/>
  <c r="J69" i="39"/>
  <c r="H69" i="39"/>
  <c r="R68" i="39"/>
  <c r="P68" i="39"/>
  <c r="N68" i="39"/>
  <c r="L68" i="39"/>
  <c r="J68" i="39"/>
  <c r="H68" i="39"/>
  <c r="R67" i="39"/>
  <c r="P67" i="39"/>
  <c r="N67" i="39"/>
  <c r="L67" i="39"/>
  <c r="J67" i="39"/>
  <c r="H67" i="39"/>
  <c r="R66" i="39"/>
  <c r="P66" i="39"/>
  <c r="N66" i="39"/>
  <c r="L66" i="39"/>
  <c r="J66" i="39"/>
  <c r="H66" i="39"/>
  <c r="R65" i="39"/>
  <c r="P65" i="39"/>
  <c r="N65" i="39"/>
  <c r="L65" i="39"/>
  <c r="J65" i="39"/>
  <c r="H65" i="39"/>
  <c r="R64" i="39"/>
  <c r="P64" i="39"/>
  <c r="N64" i="39"/>
  <c r="L64" i="39"/>
  <c r="J64" i="39"/>
  <c r="H64" i="39"/>
  <c r="R63" i="39"/>
  <c r="P63" i="39"/>
  <c r="N63" i="39"/>
  <c r="L63" i="39"/>
  <c r="J63" i="39"/>
  <c r="H63" i="39"/>
  <c r="R62" i="39"/>
  <c r="P62" i="39"/>
  <c r="N62" i="39"/>
  <c r="L62" i="39"/>
  <c r="J62" i="39"/>
  <c r="H62" i="39"/>
  <c r="R61" i="39"/>
  <c r="P61" i="39"/>
  <c r="N61" i="39"/>
  <c r="L61" i="39"/>
  <c r="J61" i="39"/>
  <c r="H61" i="39"/>
  <c r="R60" i="39"/>
  <c r="P60" i="39"/>
  <c r="N60" i="39"/>
  <c r="L60" i="39"/>
  <c r="J60" i="39"/>
  <c r="H60" i="39"/>
  <c r="R59" i="39"/>
  <c r="P59" i="39"/>
  <c r="N59" i="39"/>
  <c r="L59" i="39"/>
  <c r="J59" i="39"/>
  <c r="H59" i="39"/>
  <c r="R58" i="39"/>
  <c r="P58" i="39"/>
  <c r="N58" i="39"/>
  <c r="L58" i="39"/>
  <c r="J58" i="39"/>
  <c r="H58" i="39"/>
  <c r="R57" i="39"/>
  <c r="P57" i="39"/>
  <c r="N57" i="39"/>
  <c r="L57" i="39"/>
  <c r="J57" i="39"/>
  <c r="H57" i="39"/>
  <c r="R56" i="39"/>
  <c r="P56" i="39"/>
  <c r="N56" i="39"/>
  <c r="L56" i="39"/>
  <c r="J56" i="39"/>
  <c r="H56" i="39"/>
  <c r="R55" i="39"/>
  <c r="P55" i="39"/>
  <c r="N55" i="39"/>
  <c r="L55" i="39"/>
  <c r="J55" i="39"/>
  <c r="H55" i="39"/>
  <c r="S54" i="39"/>
  <c r="R54" i="39"/>
  <c r="P54" i="39"/>
  <c r="N54" i="39"/>
  <c r="L54" i="39"/>
  <c r="J54" i="39"/>
  <c r="H54" i="39"/>
  <c r="R53" i="39"/>
  <c r="P53" i="39"/>
  <c r="N53" i="39"/>
  <c r="L53" i="39"/>
  <c r="J53" i="39"/>
  <c r="H53" i="39"/>
  <c r="R52" i="39"/>
  <c r="P52" i="39"/>
  <c r="N52" i="39"/>
  <c r="L52" i="39"/>
  <c r="J52" i="39"/>
  <c r="H52" i="39"/>
  <c r="R51" i="39"/>
  <c r="P51" i="39"/>
  <c r="N51" i="39"/>
  <c r="L51" i="39"/>
  <c r="J51" i="39"/>
  <c r="H51" i="39"/>
  <c r="R50" i="39"/>
  <c r="P50" i="39"/>
  <c r="N50" i="39"/>
  <c r="L50" i="39"/>
  <c r="J50" i="39"/>
  <c r="H50" i="39"/>
  <c r="R49" i="39"/>
  <c r="P49" i="39"/>
  <c r="N49" i="39"/>
  <c r="L49" i="39"/>
  <c r="J49" i="39"/>
  <c r="H49" i="39"/>
  <c r="R48" i="39"/>
  <c r="P48" i="39"/>
  <c r="N48" i="39"/>
  <c r="L48" i="39"/>
  <c r="J48" i="39"/>
  <c r="H48" i="39"/>
  <c r="R47" i="39"/>
  <c r="P47" i="39"/>
  <c r="N47" i="39"/>
  <c r="L47" i="39"/>
  <c r="J47" i="39"/>
  <c r="H47" i="39"/>
  <c r="R46" i="39"/>
  <c r="P46" i="39"/>
  <c r="N46" i="39"/>
  <c r="L46" i="39"/>
  <c r="J46" i="39"/>
  <c r="H46" i="39"/>
  <c r="S45" i="39"/>
  <c r="Q45" i="39"/>
  <c r="O45" i="39"/>
  <c r="M45" i="39"/>
  <c r="K45" i="39"/>
  <c r="I45" i="39"/>
  <c r="B42" i="39"/>
  <c r="B41" i="39"/>
  <c r="B40" i="39"/>
  <c r="B39" i="39"/>
  <c r="B38" i="39"/>
  <c r="B37" i="39"/>
  <c r="U37" i="39" s="1"/>
  <c r="B36" i="39"/>
  <c r="U36" i="39" s="1"/>
  <c r="B35" i="39"/>
  <c r="B34" i="39"/>
  <c r="B33" i="39"/>
  <c r="B32" i="39"/>
  <c r="U32" i="39" s="1"/>
  <c r="B31" i="39"/>
  <c r="B30" i="39"/>
  <c r="U30" i="39" s="1"/>
  <c r="B29" i="39"/>
  <c r="U29" i="39" s="1"/>
  <c r="B28" i="39"/>
  <c r="U28" i="39" s="1"/>
  <c r="B27" i="39"/>
  <c r="B26" i="39"/>
  <c r="U26" i="39" s="1"/>
  <c r="B25" i="39"/>
  <c r="U25" i="39" s="1"/>
  <c r="B24" i="39"/>
  <c r="U24" i="39" s="1"/>
  <c r="B23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U34" i="39" l="1"/>
  <c r="U33" i="39"/>
  <c r="U23" i="39"/>
  <c r="U27" i="39"/>
  <c r="U31" i="39"/>
  <c r="U35" i="39"/>
  <c r="H14" i="40" l="1"/>
  <c r="AB36" i="24" l="1"/>
  <c r="D9" i="40" s="1"/>
  <c r="B83" i="38"/>
  <c r="C83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72" i="38"/>
  <c r="C73" i="38"/>
  <c r="C74" i="38"/>
  <c r="C75" i="38"/>
  <c r="C76" i="38"/>
  <c r="C77" i="38"/>
  <c r="C78" i="38"/>
  <c r="C79" i="38"/>
  <c r="C80" i="38"/>
  <c r="C81" i="38"/>
  <c r="C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46" i="38"/>
  <c r="B22" i="38" l="1"/>
  <c r="S77" i="38"/>
  <c r="R77" i="38"/>
  <c r="Q77" i="38"/>
  <c r="P77" i="38"/>
  <c r="N77" i="38"/>
  <c r="L77" i="38"/>
  <c r="J77" i="38"/>
  <c r="H77" i="38"/>
  <c r="S76" i="38"/>
  <c r="R76" i="38"/>
  <c r="Q76" i="38"/>
  <c r="P76" i="38"/>
  <c r="N76" i="38"/>
  <c r="L76" i="38"/>
  <c r="J76" i="38"/>
  <c r="H76" i="38"/>
  <c r="S75" i="38"/>
  <c r="R75" i="38"/>
  <c r="P75" i="38"/>
  <c r="N75" i="38"/>
  <c r="L75" i="38"/>
  <c r="J75" i="38"/>
  <c r="H75" i="38"/>
  <c r="R74" i="38"/>
  <c r="P74" i="38"/>
  <c r="N74" i="38"/>
  <c r="L74" i="38"/>
  <c r="J74" i="38"/>
  <c r="H74" i="38"/>
  <c r="R73" i="38"/>
  <c r="P73" i="38"/>
  <c r="N73" i="38"/>
  <c r="L73" i="38"/>
  <c r="J73" i="38"/>
  <c r="H73" i="38"/>
  <c r="R72" i="38"/>
  <c r="P72" i="38"/>
  <c r="N72" i="38"/>
  <c r="L72" i="38"/>
  <c r="J72" i="38"/>
  <c r="H72" i="38"/>
  <c r="R71" i="38"/>
  <c r="P71" i="38"/>
  <c r="N71" i="38"/>
  <c r="L71" i="38"/>
  <c r="J71" i="38"/>
  <c r="H71" i="38"/>
  <c r="R70" i="38"/>
  <c r="P70" i="38"/>
  <c r="N70" i="38"/>
  <c r="L70" i="38"/>
  <c r="J70" i="38"/>
  <c r="H70" i="38"/>
  <c r="R69" i="38"/>
  <c r="P69" i="38"/>
  <c r="N69" i="38"/>
  <c r="L69" i="38"/>
  <c r="J69" i="38"/>
  <c r="H69" i="38"/>
  <c r="R68" i="38"/>
  <c r="P68" i="38"/>
  <c r="N68" i="38"/>
  <c r="L68" i="38"/>
  <c r="J68" i="38"/>
  <c r="H68" i="38"/>
  <c r="R67" i="38"/>
  <c r="P67" i="38"/>
  <c r="N67" i="38"/>
  <c r="L67" i="38"/>
  <c r="J67" i="38"/>
  <c r="H67" i="38"/>
  <c r="R66" i="38"/>
  <c r="P66" i="38"/>
  <c r="N66" i="38"/>
  <c r="L66" i="38"/>
  <c r="J66" i="38"/>
  <c r="H66" i="38"/>
  <c r="R65" i="38"/>
  <c r="P65" i="38"/>
  <c r="N65" i="38"/>
  <c r="L65" i="38"/>
  <c r="J65" i="38"/>
  <c r="H65" i="38"/>
  <c r="R64" i="38"/>
  <c r="P64" i="38"/>
  <c r="N64" i="38"/>
  <c r="L64" i="38"/>
  <c r="J64" i="38"/>
  <c r="H64" i="38"/>
  <c r="R63" i="38"/>
  <c r="P63" i="38"/>
  <c r="N63" i="38"/>
  <c r="L63" i="38"/>
  <c r="J63" i="38"/>
  <c r="H63" i="38"/>
  <c r="R62" i="38"/>
  <c r="P62" i="38"/>
  <c r="N62" i="38"/>
  <c r="L62" i="38"/>
  <c r="J62" i="38"/>
  <c r="H62" i="38"/>
  <c r="R61" i="38"/>
  <c r="P61" i="38"/>
  <c r="N61" i="38"/>
  <c r="L61" i="38"/>
  <c r="J61" i="38"/>
  <c r="H61" i="38"/>
  <c r="R60" i="38"/>
  <c r="P60" i="38"/>
  <c r="N60" i="38"/>
  <c r="L60" i="38"/>
  <c r="J60" i="38"/>
  <c r="H60" i="38"/>
  <c r="R59" i="38"/>
  <c r="P59" i="38"/>
  <c r="N59" i="38"/>
  <c r="L59" i="38"/>
  <c r="J59" i="38"/>
  <c r="H59" i="38"/>
  <c r="R58" i="38"/>
  <c r="P58" i="38"/>
  <c r="N58" i="38"/>
  <c r="L58" i="38"/>
  <c r="J58" i="38"/>
  <c r="H58" i="38"/>
  <c r="R57" i="38"/>
  <c r="P57" i="38"/>
  <c r="N57" i="38"/>
  <c r="L57" i="38"/>
  <c r="J57" i="38"/>
  <c r="H57" i="38"/>
  <c r="R56" i="38"/>
  <c r="P56" i="38"/>
  <c r="N56" i="38"/>
  <c r="L56" i="38"/>
  <c r="J56" i="38"/>
  <c r="H56" i="38"/>
  <c r="R55" i="38"/>
  <c r="P55" i="38"/>
  <c r="N55" i="38"/>
  <c r="L55" i="38"/>
  <c r="J55" i="38"/>
  <c r="H55" i="38"/>
  <c r="S54" i="38"/>
  <c r="R54" i="38"/>
  <c r="P54" i="38"/>
  <c r="N54" i="38"/>
  <c r="L54" i="38"/>
  <c r="J54" i="38"/>
  <c r="H54" i="38"/>
  <c r="R53" i="38"/>
  <c r="P53" i="38"/>
  <c r="N53" i="38"/>
  <c r="L53" i="38"/>
  <c r="J53" i="38"/>
  <c r="H53" i="38"/>
  <c r="R52" i="38"/>
  <c r="P52" i="38"/>
  <c r="N52" i="38"/>
  <c r="L52" i="38"/>
  <c r="J52" i="38"/>
  <c r="H52" i="38"/>
  <c r="R51" i="38"/>
  <c r="P51" i="38"/>
  <c r="N51" i="38"/>
  <c r="L51" i="38"/>
  <c r="J51" i="38"/>
  <c r="H51" i="38"/>
  <c r="R50" i="38"/>
  <c r="P50" i="38"/>
  <c r="N50" i="38"/>
  <c r="L50" i="38"/>
  <c r="J50" i="38"/>
  <c r="H50" i="38"/>
  <c r="R49" i="38"/>
  <c r="P49" i="38"/>
  <c r="N49" i="38"/>
  <c r="L49" i="38"/>
  <c r="J49" i="38"/>
  <c r="H49" i="38"/>
  <c r="R48" i="38"/>
  <c r="P48" i="38"/>
  <c r="N48" i="38"/>
  <c r="L48" i="38"/>
  <c r="J48" i="38"/>
  <c r="H48" i="38"/>
  <c r="R47" i="38"/>
  <c r="P47" i="38"/>
  <c r="N47" i="38"/>
  <c r="L47" i="38"/>
  <c r="J47" i="38"/>
  <c r="H47" i="38"/>
  <c r="R46" i="38"/>
  <c r="P46" i="38"/>
  <c r="N46" i="38"/>
  <c r="L46" i="38"/>
  <c r="J46" i="38"/>
  <c r="H46" i="38"/>
  <c r="S45" i="38"/>
  <c r="Q45" i="38"/>
  <c r="O45" i="38"/>
  <c r="M45" i="38"/>
  <c r="K45" i="38"/>
  <c r="I45" i="38"/>
  <c r="B42" i="38"/>
  <c r="B41" i="38"/>
  <c r="B40" i="38"/>
  <c r="B39" i="38"/>
  <c r="B38" i="38"/>
  <c r="B37" i="38"/>
  <c r="AE36" i="38"/>
  <c r="AB36" i="38"/>
  <c r="G9" i="40" s="1"/>
  <c r="B36" i="38"/>
  <c r="U36" i="38" s="1"/>
  <c r="AE39" i="38"/>
  <c r="B35" i="38"/>
  <c r="B34" i="38"/>
  <c r="B33" i="38"/>
  <c r="U33" i="38" s="1"/>
  <c r="B32" i="38"/>
  <c r="B31" i="38"/>
  <c r="B30" i="38"/>
  <c r="U30" i="38" s="1"/>
  <c r="B29" i="38"/>
  <c r="B28" i="38"/>
  <c r="B27" i="38"/>
  <c r="U27" i="38" s="1"/>
  <c r="B26" i="38"/>
  <c r="U26" i="38" s="1"/>
  <c r="B25" i="38"/>
  <c r="B24" i="38"/>
  <c r="B23" i="38"/>
  <c r="B21" i="38"/>
  <c r="B20" i="38"/>
  <c r="B19" i="38"/>
  <c r="U19" i="38" s="1"/>
  <c r="B18" i="38"/>
  <c r="B17" i="38"/>
  <c r="B16" i="38"/>
  <c r="U16" i="38" s="1"/>
  <c r="B15" i="38"/>
  <c r="B14" i="38"/>
  <c r="U14" i="38" s="1"/>
  <c r="B13" i="38"/>
  <c r="U13" i="38" s="1"/>
  <c r="B12" i="38"/>
  <c r="B11" i="38"/>
  <c r="U11" i="38" s="1"/>
  <c r="B10" i="38"/>
  <c r="U10" i="38" s="1"/>
  <c r="B9" i="38"/>
  <c r="U9" i="38" s="1"/>
  <c r="B8" i="38"/>
  <c r="U8" i="38" s="1"/>
  <c r="B7" i="38"/>
  <c r="U7" i="38" s="1"/>
  <c r="B6" i="38"/>
  <c r="B43" i="37"/>
  <c r="B42" i="37"/>
  <c r="B41" i="37"/>
  <c r="B40" i="37"/>
  <c r="B39" i="37"/>
  <c r="B38" i="37"/>
  <c r="B37" i="37"/>
  <c r="B36" i="37"/>
  <c r="B35" i="37"/>
  <c r="B34" i="37"/>
  <c r="B33" i="37"/>
  <c r="B32" i="37"/>
  <c r="B31" i="37"/>
  <c r="B30" i="37"/>
  <c r="B29" i="37"/>
  <c r="B28" i="37"/>
  <c r="B27" i="37"/>
  <c r="B26" i="37"/>
  <c r="B25" i="37"/>
  <c r="B24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  <c r="B7" i="37"/>
  <c r="S77" i="35"/>
  <c r="R77" i="35"/>
  <c r="Q77" i="35"/>
  <c r="P77" i="35"/>
  <c r="N77" i="35"/>
  <c r="L77" i="35"/>
  <c r="J77" i="35"/>
  <c r="H77" i="35"/>
  <c r="S76" i="35"/>
  <c r="R76" i="35"/>
  <c r="Q76" i="35"/>
  <c r="P76" i="35"/>
  <c r="N76" i="35"/>
  <c r="L76" i="35"/>
  <c r="J76" i="35"/>
  <c r="H76" i="35"/>
  <c r="S75" i="35"/>
  <c r="R75" i="35"/>
  <c r="P75" i="35"/>
  <c r="N75" i="35"/>
  <c r="L75" i="35"/>
  <c r="J75" i="35"/>
  <c r="H75" i="35"/>
  <c r="R74" i="35"/>
  <c r="P74" i="35"/>
  <c r="N74" i="35"/>
  <c r="L74" i="35"/>
  <c r="J74" i="35"/>
  <c r="H74" i="35"/>
  <c r="R73" i="35"/>
  <c r="P73" i="35"/>
  <c r="N73" i="35"/>
  <c r="L73" i="35"/>
  <c r="J73" i="35"/>
  <c r="H73" i="35"/>
  <c r="R72" i="35"/>
  <c r="P72" i="35"/>
  <c r="N72" i="35"/>
  <c r="L72" i="35"/>
  <c r="J72" i="35"/>
  <c r="H72" i="35"/>
  <c r="R71" i="35"/>
  <c r="P71" i="35"/>
  <c r="N71" i="35"/>
  <c r="L71" i="35"/>
  <c r="J71" i="35"/>
  <c r="H71" i="35"/>
  <c r="R70" i="35"/>
  <c r="P70" i="35"/>
  <c r="N70" i="35"/>
  <c r="L70" i="35"/>
  <c r="J70" i="35"/>
  <c r="H70" i="35"/>
  <c r="R69" i="35"/>
  <c r="P69" i="35"/>
  <c r="N69" i="35"/>
  <c r="L69" i="35"/>
  <c r="J69" i="35"/>
  <c r="H69" i="35"/>
  <c r="R68" i="35"/>
  <c r="P68" i="35"/>
  <c r="N68" i="35"/>
  <c r="L68" i="35"/>
  <c r="J68" i="35"/>
  <c r="H68" i="35"/>
  <c r="R67" i="35"/>
  <c r="P67" i="35"/>
  <c r="N67" i="35"/>
  <c r="L67" i="35"/>
  <c r="J67" i="35"/>
  <c r="H67" i="35"/>
  <c r="R66" i="35"/>
  <c r="P66" i="35"/>
  <c r="N66" i="35"/>
  <c r="L66" i="35"/>
  <c r="J66" i="35"/>
  <c r="H66" i="35"/>
  <c r="R65" i="35"/>
  <c r="P65" i="35"/>
  <c r="N65" i="35"/>
  <c r="L65" i="35"/>
  <c r="J65" i="35"/>
  <c r="H65" i="35"/>
  <c r="R64" i="35"/>
  <c r="P64" i="35"/>
  <c r="N64" i="35"/>
  <c r="L64" i="35"/>
  <c r="J64" i="35"/>
  <c r="H64" i="35"/>
  <c r="R63" i="35"/>
  <c r="P63" i="35"/>
  <c r="N63" i="35"/>
  <c r="L63" i="35"/>
  <c r="J63" i="35"/>
  <c r="H63" i="35"/>
  <c r="R62" i="35"/>
  <c r="P62" i="35"/>
  <c r="N62" i="35"/>
  <c r="L62" i="35"/>
  <c r="J62" i="35"/>
  <c r="H62" i="35"/>
  <c r="R61" i="35"/>
  <c r="P61" i="35"/>
  <c r="N61" i="35"/>
  <c r="L61" i="35"/>
  <c r="J61" i="35"/>
  <c r="H61" i="35"/>
  <c r="R60" i="35"/>
  <c r="P60" i="35"/>
  <c r="N60" i="35"/>
  <c r="L60" i="35"/>
  <c r="J60" i="35"/>
  <c r="H60" i="35"/>
  <c r="R59" i="35"/>
  <c r="P59" i="35"/>
  <c r="N59" i="35"/>
  <c r="L59" i="35"/>
  <c r="J59" i="35"/>
  <c r="H59" i="35"/>
  <c r="R58" i="35"/>
  <c r="P58" i="35"/>
  <c r="N58" i="35"/>
  <c r="L58" i="35"/>
  <c r="J58" i="35"/>
  <c r="H58" i="35"/>
  <c r="R57" i="35"/>
  <c r="P57" i="35"/>
  <c r="N57" i="35"/>
  <c r="L57" i="35"/>
  <c r="J57" i="35"/>
  <c r="H57" i="35"/>
  <c r="R56" i="35"/>
  <c r="P56" i="35"/>
  <c r="N56" i="35"/>
  <c r="L56" i="35"/>
  <c r="J56" i="35"/>
  <c r="H56" i="35"/>
  <c r="R55" i="35"/>
  <c r="P55" i="35"/>
  <c r="N55" i="35"/>
  <c r="L55" i="35"/>
  <c r="J55" i="35"/>
  <c r="H55" i="35"/>
  <c r="S54" i="35"/>
  <c r="R54" i="35"/>
  <c r="P54" i="35"/>
  <c r="N54" i="35"/>
  <c r="L54" i="35"/>
  <c r="J54" i="35"/>
  <c r="H54" i="35"/>
  <c r="R53" i="35"/>
  <c r="P53" i="35"/>
  <c r="N53" i="35"/>
  <c r="L53" i="35"/>
  <c r="J53" i="35"/>
  <c r="H53" i="35"/>
  <c r="R52" i="35"/>
  <c r="P52" i="35"/>
  <c r="N52" i="35"/>
  <c r="L52" i="35"/>
  <c r="J52" i="35"/>
  <c r="H52" i="35"/>
  <c r="R51" i="35"/>
  <c r="P51" i="35"/>
  <c r="N51" i="35"/>
  <c r="L51" i="35"/>
  <c r="J51" i="35"/>
  <c r="H51" i="35"/>
  <c r="R50" i="35"/>
  <c r="P50" i="35"/>
  <c r="N50" i="35"/>
  <c r="L50" i="35"/>
  <c r="J50" i="35"/>
  <c r="H50" i="35"/>
  <c r="R49" i="35"/>
  <c r="P49" i="35"/>
  <c r="N49" i="35"/>
  <c r="L49" i="35"/>
  <c r="J49" i="35"/>
  <c r="H49" i="35"/>
  <c r="R48" i="35"/>
  <c r="P48" i="35"/>
  <c r="N48" i="35"/>
  <c r="L48" i="35"/>
  <c r="J48" i="35"/>
  <c r="H48" i="35"/>
  <c r="R47" i="35"/>
  <c r="P47" i="35"/>
  <c r="N47" i="35"/>
  <c r="L47" i="35"/>
  <c r="J47" i="35"/>
  <c r="H47" i="35"/>
  <c r="R46" i="35"/>
  <c r="P46" i="35"/>
  <c r="N46" i="35"/>
  <c r="L46" i="35"/>
  <c r="J46" i="35"/>
  <c r="H46" i="35"/>
  <c r="S45" i="35"/>
  <c r="Q45" i="35"/>
  <c r="O45" i="35"/>
  <c r="M45" i="35"/>
  <c r="K45" i="35"/>
  <c r="I45" i="35"/>
  <c r="B42" i="35"/>
  <c r="B41" i="35"/>
  <c r="B40" i="35"/>
  <c r="B39" i="35"/>
  <c r="B38" i="35"/>
  <c r="B37" i="35"/>
  <c r="U37" i="35" s="1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1" i="35"/>
  <c r="B20" i="35"/>
  <c r="B19" i="35"/>
  <c r="U19" i="35" s="1"/>
  <c r="B18" i="35"/>
  <c r="U18" i="35" s="1"/>
  <c r="B17" i="35"/>
  <c r="B16" i="35"/>
  <c r="B15" i="35"/>
  <c r="B14" i="35"/>
  <c r="U14" i="35" s="1"/>
  <c r="B13" i="35"/>
  <c r="U13" i="35" s="1"/>
  <c r="B12" i="35"/>
  <c r="B11" i="35"/>
  <c r="U11" i="35" s="1"/>
  <c r="B10" i="35"/>
  <c r="U10" i="35" s="1"/>
  <c r="B9" i="35"/>
  <c r="U9" i="35" s="1"/>
  <c r="B8" i="35"/>
  <c r="B7" i="35"/>
  <c r="U7" i="35" s="1"/>
  <c r="B6" i="35"/>
  <c r="U6" i="35" l="1"/>
  <c r="U23" i="38"/>
  <c r="U28" i="38"/>
  <c r="U20" i="38"/>
  <c r="U32" i="38"/>
  <c r="U17" i="38"/>
  <c r="U31" i="38"/>
  <c r="U37" i="38"/>
  <c r="U21" i="38"/>
  <c r="U6" i="38"/>
  <c r="U29" i="38"/>
  <c r="U12" i="38"/>
  <c r="U15" i="38"/>
  <c r="U34" i="38"/>
  <c r="U24" i="38"/>
  <c r="U18" i="38"/>
  <c r="AB39" i="38"/>
  <c r="G12" i="40" s="1"/>
  <c r="AB37" i="38"/>
  <c r="U25" i="38"/>
  <c r="U35" i="38"/>
  <c r="AE37" i="38"/>
  <c r="U36" i="35"/>
  <c r="U31" i="35"/>
  <c r="U25" i="35"/>
  <c r="U12" i="35"/>
  <c r="U8" i="35"/>
  <c r="U15" i="35"/>
  <c r="U21" i="35"/>
  <c r="U32" i="35"/>
  <c r="U20" i="35"/>
  <c r="U28" i="35"/>
  <c r="U17" i="35"/>
  <c r="U30" i="35"/>
  <c r="U24" i="35"/>
  <c r="U26" i="35"/>
  <c r="U29" i="35"/>
  <c r="U16" i="35"/>
  <c r="U23" i="35"/>
  <c r="U33" i="35"/>
  <c r="U27" i="35"/>
  <c r="U35" i="35"/>
  <c r="U34" i="35"/>
  <c r="AB38" i="38" l="1"/>
  <c r="G10" i="40"/>
  <c r="AC38" i="37"/>
  <c r="G13" i="40" l="1"/>
  <c r="G11" i="40"/>
  <c r="U22" i="38"/>
  <c r="AA41" i="38"/>
  <c r="F14" i="40" s="1"/>
  <c r="X32" i="20" l="1"/>
  <c r="B8" i="40"/>
  <c r="B9" i="40"/>
  <c r="AB38" i="24"/>
  <c r="AB40" i="24" l="1"/>
  <c r="D13" i="40" s="1"/>
  <c r="D11" i="40"/>
  <c r="B13" i="40"/>
  <c r="B12" i="40"/>
  <c r="B10" i="40"/>
  <c r="AB39" i="24"/>
  <c r="D12" i="40" s="1"/>
  <c r="S54" i="24" l="1"/>
  <c r="X22" i="20" l="1"/>
  <c r="X25" i="20" s="1"/>
  <c r="X26" i="20"/>
  <c r="Z7" i="20"/>
  <c r="AA7" i="20" s="1"/>
  <c r="Z8" i="20"/>
  <c r="AA8" i="20" s="1"/>
  <c r="Z9" i="20"/>
  <c r="AA9" i="20" s="1"/>
  <c r="Z10" i="20"/>
  <c r="AA10" i="20" s="1"/>
  <c r="Z11" i="20"/>
  <c r="AA11" i="20" s="1"/>
  <c r="Z12" i="20"/>
  <c r="AA12" i="20" s="1"/>
  <c r="Z13" i="20"/>
  <c r="AA13" i="20" s="1"/>
  <c r="Z14" i="20"/>
  <c r="AA14" i="20" s="1"/>
  <c r="Z15" i="20"/>
  <c r="AA15" i="20" s="1"/>
  <c r="Z16" i="20"/>
  <c r="AA16" i="20" s="1"/>
  <c r="Z17" i="20"/>
  <c r="AA17" i="20" s="1"/>
  <c r="Z18" i="20"/>
  <c r="AA18" i="20" s="1"/>
  <c r="Z19" i="20"/>
  <c r="AA19" i="20" s="1"/>
  <c r="Z20" i="20"/>
  <c r="AA20" i="20" s="1"/>
  <c r="Z6" i="20"/>
  <c r="AA6" i="20" s="1"/>
  <c r="X30" i="20" l="1"/>
  <c r="X29" i="20"/>
  <c r="X27" i="20"/>
  <c r="AN125" i="31" l="1"/>
  <c r="AM125" i="31"/>
  <c r="AM126" i="31" s="1"/>
  <c r="AL125" i="31"/>
  <c r="AL126" i="31" s="1"/>
  <c r="AK125" i="31"/>
  <c r="AK126" i="31" s="1"/>
  <c r="AJ125" i="31"/>
  <c r="AJ126" i="31" s="1"/>
  <c r="AI125" i="31"/>
  <c r="AI126" i="31" s="1"/>
  <c r="AH125" i="31"/>
  <c r="AH126" i="31" s="1"/>
  <c r="AG125" i="31"/>
  <c r="AG126" i="31" s="1"/>
  <c r="AF125" i="31"/>
  <c r="AF126" i="31" s="1"/>
  <c r="AE125" i="31"/>
  <c r="AE126" i="31" s="1"/>
  <c r="AD125" i="31"/>
  <c r="AD126" i="31" s="1"/>
  <c r="AC125" i="31"/>
  <c r="AC126" i="31" s="1"/>
  <c r="AB125" i="31"/>
  <c r="AB126" i="31" s="1"/>
  <c r="AA125" i="31"/>
  <c r="AA126" i="31" s="1"/>
  <c r="Z125" i="31"/>
  <c r="Z126" i="31" s="1"/>
  <c r="Y125" i="31"/>
  <c r="Y126" i="31" s="1"/>
  <c r="X125" i="31"/>
  <c r="X126" i="31" s="1"/>
  <c r="W125" i="31"/>
  <c r="W126" i="31" s="1"/>
  <c r="V125" i="31"/>
  <c r="V126" i="31" s="1"/>
  <c r="U125" i="31"/>
  <c r="U126" i="31" s="1"/>
  <c r="T125" i="31"/>
  <c r="T126" i="31" s="1"/>
  <c r="S125" i="31"/>
  <c r="S126" i="31" s="1"/>
  <c r="R125" i="31"/>
  <c r="R126" i="31" s="1"/>
  <c r="Q125" i="31"/>
  <c r="Q126" i="31" s="1"/>
  <c r="P125" i="31"/>
  <c r="P126" i="31" s="1"/>
  <c r="O125" i="31"/>
  <c r="O126" i="31" s="1"/>
  <c r="N125" i="31"/>
  <c r="N126" i="31" s="1"/>
  <c r="M125" i="31"/>
  <c r="M126" i="31" s="1"/>
  <c r="L125" i="31"/>
  <c r="L126" i="31" s="1"/>
  <c r="K125" i="31"/>
  <c r="K126" i="31" s="1"/>
  <c r="J125" i="31"/>
  <c r="J126" i="31" s="1"/>
  <c r="I125" i="31"/>
  <c r="I126" i="31" s="1"/>
  <c r="H125" i="31"/>
  <c r="H126" i="31" s="1"/>
  <c r="G125" i="31"/>
  <c r="G126" i="31" s="1"/>
  <c r="F125" i="31"/>
  <c r="F126" i="31" s="1"/>
  <c r="E125" i="31"/>
  <c r="E126" i="31" s="1"/>
  <c r="D125" i="31"/>
  <c r="D126" i="31" s="1"/>
  <c r="C125" i="31"/>
  <c r="C126" i="31" s="1"/>
  <c r="B125" i="31"/>
  <c r="B126" i="31" s="1"/>
  <c r="H77" i="24"/>
  <c r="J77" i="24"/>
  <c r="L77" i="24"/>
  <c r="N77" i="24"/>
  <c r="P77" i="24"/>
  <c r="Q77" i="24"/>
  <c r="R77" i="24"/>
  <c r="S77" i="24"/>
  <c r="S75" i="24"/>
  <c r="S76" i="24"/>
  <c r="Q76" i="24"/>
  <c r="R69" i="24"/>
  <c r="R70" i="24"/>
  <c r="R71" i="24"/>
  <c r="R72" i="24"/>
  <c r="R73" i="24"/>
  <c r="R74" i="24"/>
  <c r="R75" i="24"/>
  <c r="R76" i="24"/>
  <c r="P69" i="24"/>
  <c r="P70" i="24"/>
  <c r="P71" i="24"/>
  <c r="P72" i="24"/>
  <c r="P73" i="24"/>
  <c r="P74" i="24"/>
  <c r="P75" i="24"/>
  <c r="P76" i="24"/>
  <c r="N69" i="24"/>
  <c r="N70" i="24"/>
  <c r="N71" i="24"/>
  <c r="N72" i="24"/>
  <c r="N73" i="24"/>
  <c r="N74" i="24"/>
  <c r="N75" i="24"/>
  <c r="N76" i="24"/>
  <c r="L69" i="24"/>
  <c r="L70" i="24"/>
  <c r="L71" i="24"/>
  <c r="L72" i="24"/>
  <c r="L73" i="24"/>
  <c r="L74" i="24"/>
  <c r="L75" i="24"/>
  <c r="L76" i="24"/>
  <c r="J69" i="24"/>
  <c r="J70" i="24"/>
  <c r="J71" i="24"/>
  <c r="J72" i="24"/>
  <c r="J73" i="24"/>
  <c r="J74" i="24"/>
  <c r="J75" i="24"/>
  <c r="J76" i="24"/>
  <c r="H74" i="24"/>
  <c r="H75" i="24"/>
  <c r="H76" i="24"/>
  <c r="H73" i="24"/>
  <c r="H69" i="24"/>
  <c r="H70" i="24"/>
  <c r="H71" i="24"/>
  <c r="H72" i="24"/>
  <c r="B41" i="24"/>
  <c r="B42" i="24"/>
  <c r="AN124" i="31" l="1"/>
  <c r="AN126" i="31" s="1"/>
  <c r="C43" i="37" l="1"/>
  <c r="R42" i="22"/>
  <c r="R41" i="22"/>
  <c r="R40" i="22"/>
  <c r="R39" i="22"/>
  <c r="R38" i="22"/>
  <c r="R37" i="22"/>
  <c r="R36" i="22"/>
  <c r="R35" i="22"/>
  <c r="R34" i="22"/>
  <c r="R33" i="22"/>
  <c r="R32" i="22"/>
  <c r="R31" i="22"/>
  <c r="R30" i="22"/>
  <c r="R29" i="22"/>
  <c r="R28" i="22"/>
  <c r="R27" i="22"/>
  <c r="R26" i="22"/>
  <c r="R25" i="22"/>
  <c r="R24" i="22"/>
  <c r="R23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R7" i="22"/>
  <c r="R6" i="22"/>
  <c r="G38" i="29"/>
  <c r="F42" i="20" s="1"/>
  <c r="H42" i="20" s="1"/>
  <c r="C42" i="39" s="1"/>
  <c r="G37" i="29"/>
  <c r="F41" i="20" s="1"/>
  <c r="G36" i="29"/>
  <c r="F40" i="20" s="1"/>
  <c r="G35" i="29"/>
  <c r="F39" i="20" s="1"/>
  <c r="G34" i="29"/>
  <c r="F38" i="20" s="1"/>
  <c r="G33" i="29"/>
  <c r="F37" i="20" s="1"/>
  <c r="G32" i="29"/>
  <c r="F36" i="20" s="1"/>
  <c r="G31" i="29"/>
  <c r="F35" i="20" s="1"/>
  <c r="G30" i="29"/>
  <c r="F34" i="20" s="1"/>
  <c r="G29" i="29"/>
  <c r="F33" i="20" s="1"/>
  <c r="G28" i="29"/>
  <c r="F32" i="20" s="1"/>
  <c r="G27" i="29"/>
  <c r="F31" i="20" s="1"/>
  <c r="G26" i="29"/>
  <c r="F30" i="20" s="1"/>
  <c r="G25" i="29"/>
  <c r="F29" i="20" s="1"/>
  <c r="G24" i="29"/>
  <c r="F28" i="20" s="1"/>
  <c r="G23" i="29"/>
  <c r="F27" i="20" s="1"/>
  <c r="AE12" i="22" l="1"/>
  <c r="AB12" i="22"/>
  <c r="Y12" i="22"/>
  <c r="AG12" i="22"/>
  <c r="AF12" i="22"/>
  <c r="AC12" i="22"/>
  <c r="Z12" i="22"/>
  <c r="P8" i="37" s="1"/>
  <c r="S12" i="22"/>
  <c r="AD12" i="22"/>
  <c r="AA12" i="22"/>
  <c r="U12" i="22"/>
  <c r="V12" i="22"/>
  <c r="T12" i="22"/>
  <c r="W12" i="22"/>
  <c r="L9" i="37" s="1"/>
  <c r="X12" i="22"/>
  <c r="AE25" i="22"/>
  <c r="AB25" i="22"/>
  <c r="AG25" i="22"/>
  <c r="AF25" i="22"/>
  <c r="AC25" i="22"/>
  <c r="S25" i="22"/>
  <c r="X25" i="22"/>
  <c r="AD25" i="22"/>
  <c r="Y25" i="22"/>
  <c r="V25" i="22"/>
  <c r="T25" i="22"/>
  <c r="AA25" i="22"/>
  <c r="Z25" i="22"/>
  <c r="P21" i="37" s="1"/>
  <c r="U25" i="22"/>
  <c r="W25" i="22"/>
  <c r="L22" i="37" s="1"/>
  <c r="AE37" i="22"/>
  <c r="AB37" i="22"/>
  <c r="AG37" i="22"/>
  <c r="AF37" i="22"/>
  <c r="AC37" i="22"/>
  <c r="AA37" i="22"/>
  <c r="X37" i="22"/>
  <c r="Y37" i="22"/>
  <c r="V37" i="22"/>
  <c r="Z37" i="22"/>
  <c r="P33" i="37" s="1"/>
  <c r="U37" i="22"/>
  <c r="T37" i="22"/>
  <c r="S37" i="22"/>
  <c r="AD37" i="22"/>
  <c r="W37" i="22"/>
  <c r="L34" i="37" s="1"/>
  <c r="AE8" i="22"/>
  <c r="AB8" i="22"/>
  <c r="Y8" i="22"/>
  <c r="AG8" i="22"/>
  <c r="AF8" i="22"/>
  <c r="AC8" i="22"/>
  <c r="Z8" i="22"/>
  <c r="S8" i="22"/>
  <c r="X8" i="22"/>
  <c r="U8" i="22"/>
  <c r="AD8" i="22"/>
  <c r="V8" i="22"/>
  <c r="T8" i="22"/>
  <c r="W8" i="22"/>
  <c r="AA8" i="22"/>
  <c r="AE16" i="22"/>
  <c r="AB16" i="22"/>
  <c r="Y16" i="22"/>
  <c r="AG16" i="22"/>
  <c r="AF16" i="22"/>
  <c r="AC16" i="22"/>
  <c r="Z16" i="22"/>
  <c r="P12" i="37" s="1"/>
  <c r="AD16" i="22"/>
  <c r="S16" i="22"/>
  <c r="X16" i="22"/>
  <c r="U16" i="22"/>
  <c r="V16" i="22"/>
  <c r="W16" i="22"/>
  <c r="L13" i="37" s="1"/>
  <c r="T16" i="22"/>
  <c r="AA16" i="22"/>
  <c r="AE20" i="22"/>
  <c r="AB20" i="22"/>
  <c r="Y20" i="22"/>
  <c r="AG20" i="22"/>
  <c r="AF20" i="22"/>
  <c r="AC20" i="22"/>
  <c r="Z20" i="22"/>
  <c r="S20" i="22"/>
  <c r="AA20" i="22"/>
  <c r="U20" i="22"/>
  <c r="V20" i="22"/>
  <c r="T20" i="22"/>
  <c r="X20" i="22"/>
  <c r="W20" i="22"/>
  <c r="AD20" i="22"/>
  <c r="AE29" i="22"/>
  <c r="AB29" i="22"/>
  <c r="AG29" i="22"/>
  <c r="AF29" i="22"/>
  <c r="AC29" i="22"/>
  <c r="S29" i="22"/>
  <c r="AD29" i="22"/>
  <c r="AA29" i="22"/>
  <c r="X29" i="22"/>
  <c r="Y29" i="22"/>
  <c r="V29" i="22"/>
  <c r="U29" i="22"/>
  <c r="T29" i="22"/>
  <c r="W29" i="22"/>
  <c r="L26" i="37" s="1"/>
  <c r="Z29" i="22"/>
  <c r="P25" i="37" s="1"/>
  <c r="AE33" i="22"/>
  <c r="AB33" i="22"/>
  <c r="AG33" i="22"/>
  <c r="AF33" i="22"/>
  <c r="AC33" i="22"/>
  <c r="AD33" i="22"/>
  <c r="S33" i="22"/>
  <c r="X33" i="22"/>
  <c r="Y33" i="22"/>
  <c r="V33" i="22"/>
  <c r="AA33" i="22"/>
  <c r="T33" i="22"/>
  <c r="W33" i="22"/>
  <c r="L30" i="37" s="1"/>
  <c r="Z33" i="22"/>
  <c r="P29" i="37" s="1"/>
  <c r="U33" i="22"/>
  <c r="AE41" i="22"/>
  <c r="AB41" i="22"/>
  <c r="AG41" i="22"/>
  <c r="AF41" i="22"/>
  <c r="AC41" i="22"/>
  <c r="X41" i="22"/>
  <c r="AD41" i="22"/>
  <c r="Y41" i="22"/>
  <c r="V41" i="22"/>
  <c r="T41" i="22"/>
  <c r="AA41" i="22"/>
  <c r="W41" i="22"/>
  <c r="U41" i="22"/>
  <c r="Z41" i="22"/>
  <c r="P37" i="37" s="1"/>
  <c r="S41" i="22"/>
  <c r="AF9" i="22"/>
  <c r="AC9" i="22"/>
  <c r="Z9" i="22"/>
  <c r="AG9" i="22"/>
  <c r="AD9" i="22"/>
  <c r="AA9" i="22"/>
  <c r="U9" i="22"/>
  <c r="AB9" i="22"/>
  <c r="V9" i="22"/>
  <c r="X9" i="22"/>
  <c r="W9" i="22"/>
  <c r="S9" i="22"/>
  <c r="AE9" i="22"/>
  <c r="Y9" i="22"/>
  <c r="T9" i="22"/>
  <c r="AF13" i="22"/>
  <c r="AC13" i="22"/>
  <c r="Z13" i="22"/>
  <c r="P9" i="37" s="1"/>
  <c r="AG13" i="22"/>
  <c r="AD13" i="22"/>
  <c r="X13" i="22"/>
  <c r="U13" i="22"/>
  <c r="Y13" i="22"/>
  <c r="V13" i="22"/>
  <c r="AE13" i="22"/>
  <c r="AA13" i="22"/>
  <c r="W13" i="22"/>
  <c r="L10" i="37" s="1"/>
  <c r="S13" i="22"/>
  <c r="AB13" i="22"/>
  <c r="T13" i="22"/>
  <c r="AF17" i="22"/>
  <c r="AC17" i="22"/>
  <c r="Z17" i="22"/>
  <c r="P13" i="37" s="1"/>
  <c r="AG17" i="22"/>
  <c r="AD17" i="22"/>
  <c r="AA17" i="22"/>
  <c r="U17" i="22"/>
  <c r="AE17" i="22"/>
  <c r="AB17" i="22"/>
  <c r="V17" i="22"/>
  <c r="X17" i="22"/>
  <c r="W17" i="22"/>
  <c r="L14" i="37" s="1"/>
  <c r="S17" i="22"/>
  <c r="Y17" i="22"/>
  <c r="T17" i="22"/>
  <c r="AF21" i="22"/>
  <c r="AC21" i="22"/>
  <c r="Z21" i="22"/>
  <c r="AG21" i="22"/>
  <c r="AD21" i="22"/>
  <c r="AE21" i="22"/>
  <c r="X21" i="22"/>
  <c r="U21" i="22"/>
  <c r="Y21" i="22"/>
  <c r="V21" i="22"/>
  <c r="AA21" i="22"/>
  <c r="W21" i="22"/>
  <c r="S21" i="22"/>
  <c r="AB21" i="22"/>
  <c r="T21" i="22"/>
  <c r="AJ21" i="22" s="1"/>
  <c r="AF26" i="22"/>
  <c r="AC26" i="22"/>
  <c r="AG26" i="22"/>
  <c r="AD26" i="22"/>
  <c r="AA26" i="22"/>
  <c r="X26" i="22"/>
  <c r="U26" i="22"/>
  <c r="AB26" i="22"/>
  <c r="Y26" i="22"/>
  <c r="Z26" i="22"/>
  <c r="P22" i="37" s="1"/>
  <c r="W26" i="22"/>
  <c r="L23" i="37" s="1"/>
  <c r="S26" i="22"/>
  <c r="V26" i="22"/>
  <c r="T26" i="22"/>
  <c r="AE26" i="22"/>
  <c r="AF30" i="22"/>
  <c r="AC30" i="22"/>
  <c r="AG30" i="22"/>
  <c r="AD30" i="22"/>
  <c r="X30" i="22"/>
  <c r="U30" i="22"/>
  <c r="Y30" i="22"/>
  <c r="AE30" i="22"/>
  <c r="AA30" i="22"/>
  <c r="Z30" i="22"/>
  <c r="P26" i="37" s="1"/>
  <c r="W30" i="22"/>
  <c r="L27" i="37" s="1"/>
  <c r="S30" i="22"/>
  <c r="AB30" i="22"/>
  <c r="T30" i="22"/>
  <c r="V30" i="22"/>
  <c r="AF34" i="22"/>
  <c r="AC34" i="22"/>
  <c r="AG34" i="22"/>
  <c r="AD34" i="22"/>
  <c r="AA34" i="22"/>
  <c r="X34" i="22"/>
  <c r="U34" i="22"/>
  <c r="AE34" i="22"/>
  <c r="AB34" i="22"/>
  <c r="Y34" i="22"/>
  <c r="Z34" i="22"/>
  <c r="P30" i="37" s="1"/>
  <c r="W34" i="22"/>
  <c r="L31" i="37" s="1"/>
  <c r="V34" i="22"/>
  <c r="S34" i="22"/>
  <c r="T34" i="22"/>
  <c r="AF38" i="22"/>
  <c r="AC38" i="22"/>
  <c r="AG38" i="22"/>
  <c r="AD38" i="22"/>
  <c r="AE38" i="22"/>
  <c r="X38" i="22"/>
  <c r="U38" i="22"/>
  <c r="Y38" i="22"/>
  <c r="AA38" i="22"/>
  <c r="Z38" i="22"/>
  <c r="P34" i="37" s="1"/>
  <c r="W38" i="22"/>
  <c r="L35" i="37" s="1"/>
  <c r="S38" i="22"/>
  <c r="AH38" i="22" s="1"/>
  <c r="AB38" i="22"/>
  <c r="V38" i="22"/>
  <c r="T38" i="22"/>
  <c r="AF42" i="22"/>
  <c r="AC42" i="22"/>
  <c r="AG42" i="22"/>
  <c r="AD42" i="22"/>
  <c r="AA42" i="22"/>
  <c r="X42" i="22"/>
  <c r="U42" i="22"/>
  <c r="AB42" i="22"/>
  <c r="Y42" i="22"/>
  <c r="Z42" i="22"/>
  <c r="W42" i="22"/>
  <c r="L39" i="37" s="1"/>
  <c r="V42" i="22"/>
  <c r="S42" i="22"/>
  <c r="AH42" i="22" s="1"/>
  <c r="AE42" i="22"/>
  <c r="T42" i="22"/>
  <c r="C42" i="35"/>
  <c r="AE6" i="22"/>
  <c r="AB6" i="22"/>
  <c r="AF6" i="22"/>
  <c r="Z6" i="22"/>
  <c r="W6" i="22"/>
  <c r="AG6" i="22"/>
  <c r="AD6" i="22"/>
  <c r="X6" i="22"/>
  <c r="AC6" i="22"/>
  <c r="AA6" i="22"/>
  <c r="Y6" i="22"/>
  <c r="V6" i="22"/>
  <c r="S6" i="22"/>
  <c r="U6" i="22"/>
  <c r="AD10" i="22"/>
  <c r="AA10" i="22"/>
  <c r="X10" i="22"/>
  <c r="AE10" i="22"/>
  <c r="AF10" i="22"/>
  <c r="Y10" i="22"/>
  <c r="V10" i="22"/>
  <c r="S10" i="22"/>
  <c r="AG10" i="22"/>
  <c r="Z10" i="22"/>
  <c r="W10" i="22"/>
  <c r="L7" i="37" s="1"/>
  <c r="AB10" i="22"/>
  <c r="AC10" i="22"/>
  <c r="U10" i="22"/>
  <c r="T10" i="22"/>
  <c r="AD14" i="22"/>
  <c r="AA14" i="22"/>
  <c r="X14" i="22"/>
  <c r="AE14" i="22"/>
  <c r="AB14" i="22"/>
  <c r="V14" i="22"/>
  <c r="S14" i="22"/>
  <c r="AC14" i="22"/>
  <c r="W14" i="22"/>
  <c r="L11" i="37" s="1"/>
  <c r="AG14" i="22"/>
  <c r="Y14" i="22"/>
  <c r="AF14" i="22"/>
  <c r="U14" i="22"/>
  <c r="T14" i="22"/>
  <c r="Z14" i="22"/>
  <c r="P10" i="37" s="1"/>
  <c r="AD18" i="22"/>
  <c r="AA18" i="22"/>
  <c r="X18" i="22"/>
  <c r="AE18" i="22"/>
  <c r="Y18" i="22"/>
  <c r="V18" i="22"/>
  <c r="S18" i="22"/>
  <c r="Z18" i="22"/>
  <c r="P14" i="37" s="1"/>
  <c r="W18" i="22"/>
  <c r="L15" i="37" s="1"/>
  <c r="AF18" i="22"/>
  <c r="AB18" i="22"/>
  <c r="U18" i="22"/>
  <c r="AC18" i="22"/>
  <c r="AG18" i="22"/>
  <c r="T18" i="22"/>
  <c r="AJ18" i="22" s="1"/>
  <c r="AD23" i="22"/>
  <c r="AA23" i="22"/>
  <c r="X23" i="22"/>
  <c r="AE23" i="22"/>
  <c r="AG23" i="22"/>
  <c r="AB23" i="22"/>
  <c r="V23" i="22"/>
  <c r="S23" i="22"/>
  <c r="AF23" i="22"/>
  <c r="AC23" i="22"/>
  <c r="W23" i="22"/>
  <c r="Y23" i="22"/>
  <c r="U23" i="22"/>
  <c r="Z23" i="22"/>
  <c r="T23" i="22"/>
  <c r="AD27" i="22"/>
  <c r="AA27" i="22"/>
  <c r="AE27" i="22"/>
  <c r="AF27" i="22"/>
  <c r="Y27" i="22"/>
  <c r="V27" i="22"/>
  <c r="S27" i="22"/>
  <c r="AG27" i="22"/>
  <c r="Z27" i="22"/>
  <c r="P23" i="37" s="1"/>
  <c r="AB27" i="22"/>
  <c r="X27" i="22"/>
  <c r="U27" i="22"/>
  <c r="AC27" i="22"/>
  <c r="W27" i="22"/>
  <c r="L24" i="37" s="1"/>
  <c r="T27" i="22"/>
  <c r="AD31" i="22"/>
  <c r="AA31" i="22"/>
  <c r="AE31" i="22"/>
  <c r="AB31" i="22"/>
  <c r="Y31" i="22"/>
  <c r="V31" i="22"/>
  <c r="S31" i="22"/>
  <c r="AC31" i="22"/>
  <c r="Z31" i="22"/>
  <c r="P27" i="37" s="1"/>
  <c r="AG31" i="22"/>
  <c r="AF31" i="22"/>
  <c r="W31" i="22"/>
  <c r="L28" i="37" s="1"/>
  <c r="T31" i="22"/>
  <c r="X31" i="22"/>
  <c r="U31" i="22"/>
  <c r="AD35" i="22"/>
  <c r="AA35" i="22"/>
  <c r="AE35" i="22"/>
  <c r="Y35" i="22"/>
  <c r="V35" i="22"/>
  <c r="Z35" i="22"/>
  <c r="P31" i="37" s="1"/>
  <c r="AF35" i="22"/>
  <c r="AB35" i="22"/>
  <c r="T35" i="22"/>
  <c r="AC35" i="22"/>
  <c r="U35" i="22"/>
  <c r="X35" i="22"/>
  <c r="W35" i="22"/>
  <c r="L32" i="37" s="1"/>
  <c r="AG35" i="22"/>
  <c r="S35" i="22"/>
  <c r="AD39" i="22"/>
  <c r="AA39" i="22"/>
  <c r="AE39" i="22"/>
  <c r="AG39" i="22"/>
  <c r="AB39" i="22"/>
  <c r="Y39" i="22"/>
  <c r="V39" i="22"/>
  <c r="AF39" i="22"/>
  <c r="AC39" i="22"/>
  <c r="Z39" i="22"/>
  <c r="P35" i="37" s="1"/>
  <c r="W39" i="22"/>
  <c r="L36" i="37" s="1"/>
  <c r="T39" i="22"/>
  <c r="X39" i="22"/>
  <c r="S39" i="22"/>
  <c r="AH39" i="22" s="1"/>
  <c r="U39" i="22"/>
  <c r="I42" i="20"/>
  <c r="J42" i="20" s="1"/>
  <c r="C42" i="38"/>
  <c r="AG7" i="22"/>
  <c r="AD7" i="22"/>
  <c r="AA7" i="22"/>
  <c r="X7" i="22"/>
  <c r="AE7" i="22"/>
  <c r="AB7" i="22"/>
  <c r="Y7" i="22"/>
  <c r="AF7" i="22"/>
  <c r="Z7" i="22"/>
  <c r="W7" i="22"/>
  <c r="AC7" i="22"/>
  <c r="U7" i="22"/>
  <c r="S7" i="22"/>
  <c r="AH7" i="22" s="1"/>
  <c r="V7" i="22"/>
  <c r="T7" i="22"/>
  <c r="AJ7" i="22" s="1"/>
  <c r="AG11" i="22"/>
  <c r="AD11" i="22"/>
  <c r="AA11" i="22"/>
  <c r="X11" i="22"/>
  <c r="AE11" i="22"/>
  <c r="AB11" i="22"/>
  <c r="Y11" i="22"/>
  <c r="AF11" i="22"/>
  <c r="AC11" i="22"/>
  <c r="W11" i="22"/>
  <c r="L8" i="37" s="1"/>
  <c r="Z11" i="22"/>
  <c r="P7" i="37" s="1"/>
  <c r="U11" i="22"/>
  <c r="S11" i="22"/>
  <c r="V11" i="22"/>
  <c r="T11" i="22"/>
  <c r="AG15" i="22"/>
  <c r="AD15" i="22"/>
  <c r="AA15" i="22"/>
  <c r="X15" i="22"/>
  <c r="AE15" i="22"/>
  <c r="AB15" i="22"/>
  <c r="Y15" i="22"/>
  <c r="AF15" i="22"/>
  <c r="Z15" i="22"/>
  <c r="P11" i="37" s="1"/>
  <c r="W15" i="22"/>
  <c r="L12" i="37" s="1"/>
  <c r="AC15" i="22"/>
  <c r="U15" i="22"/>
  <c r="S15" i="22"/>
  <c r="T15" i="22"/>
  <c r="V15" i="22"/>
  <c r="AG19" i="22"/>
  <c r="AD19" i="22"/>
  <c r="AA19" i="22"/>
  <c r="X19" i="22"/>
  <c r="AE19" i="22"/>
  <c r="AB19" i="22"/>
  <c r="Y19" i="22"/>
  <c r="AF19" i="22"/>
  <c r="AC19" i="22"/>
  <c r="W19" i="22"/>
  <c r="Z19" i="22"/>
  <c r="P15" i="37" s="1"/>
  <c r="U19" i="22"/>
  <c r="S19" i="22"/>
  <c r="V19" i="22"/>
  <c r="T19" i="22"/>
  <c r="AG24" i="22"/>
  <c r="AD24" i="22"/>
  <c r="AA24" i="22"/>
  <c r="X24" i="22"/>
  <c r="AE24" i="22"/>
  <c r="AB24" i="22"/>
  <c r="Y24" i="22"/>
  <c r="AF24" i="22"/>
  <c r="Z24" i="22"/>
  <c r="W24" i="22"/>
  <c r="L21" i="37" s="1"/>
  <c r="AC24" i="22"/>
  <c r="U24" i="22"/>
  <c r="S24" i="22"/>
  <c r="AH24" i="22" s="1"/>
  <c r="V24" i="22"/>
  <c r="T24" i="22"/>
  <c r="AG28" i="22"/>
  <c r="AD28" i="22"/>
  <c r="AA28" i="22"/>
  <c r="AE28" i="22"/>
  <c r="AB28" i="22"/>
  <c r="AF28" i="22"/>
  <c r="AC28" i="22"/>
  <c r="Z28" i="22"/>
  <c r="P24" i="37" s="1"/>
  <c r="W28" i="22"/>
  <c r="L25" i="37" s="1"/>
  <c r="X28" i="22"/>
  <c r="U28" i="22"/>
  <c r="S28" i="22"/>
  <c r="Y28" i="22"/>
  <c r="V28" i="22"/>
  <c r="T28" i="22"/>
  <c r="AG32" i="22"/>
  <c r="AD32" i="22"/>
  <c r="AA32" i="22"/>
  <c r="AE32" i="22"/>
  <c r="AB32" i="22"/>
  <c r="AF32" i="22"/>
  <c r="Z32" i="22"/>
  <c r="P28" i="37" s="1"/>
  <c r="W32" i="22"/>
  <c r="L29" i="37" s="1"/>
  <c r="AC32" i="22"/>
  <c r="X32" i="22"/>
  <c r="U32" i="22"/>
  <c r="S32" i="22"/>
  <c r="Y32" i="22"/>
  <c r="V32" i="22"/>
  <c r="T32" i="22"/>
  <c r="AG36" i="22"/>
  <c r="AD36" i="22"/>
  <c r="AA36" i="22"/>
  <c r="AE36" i="22"/>
  <c r="AB36" i="22"/>
  <c r="AF36" i="22"/>
  <c r="AC36" i="22"/>
  <c r="Z36" i="22"/>
  <c r="P32" i="37" s="1"/>
  <c r="W36" i="22"/>
  <c r="L33" i="37" s="1"/>
  <c r="X36" i="22"/>
  <c r="U36" i="22"/>
  <c r="S36" i="22"/>
  <c r="AH36" i="22" s="1"/>
  <c r="Y36" i="22"/>
  <c r="V36" i="22"/>
  <c r="T36" i="22"/>
  <c r="AG40" i="22"/>
  <c r="AD40" i="22"/>
  <c r="AA40" i="22"/>
  <c r="AE40" i="22"/>
  <c r="AB40" i="22"/>
  <c r="AF40" i="22"/>
  <c r="Z40" i="22"/>
  <c r="P36" i="37" s="1"/>
  <c r="W40" i="22"/>
  <c r="L37" i="37" s="1"/>
  <c r="AC40" i="22"/>
  <c r="X40" i="22"/>
  <c r="U40" i="22"/>
  <c r="V40" i="22"/>
  <c r="S40" i="22"/>
  <c r="AH40" i="22" s="1"/>
  <c r="Y40" i="22"/>
  <c r="T40" i="22"/>
  <c r="AJ40" i="22" s="1"/>
  <c r="C42" i="24"/>
  <c r="D43" i="37"/>
  <c r="K39" i="37"/>
  <c r="G40" i="37"/>
  <c r="J39" i="37"/>
  <c r="I39" i="35"/>
  <c r="E39" i="35" s="1"/>
  <c r="Q35" i="35"/>
  <c r="Q75" i="35" s="1"/>
  <c r="D42" i="35"/>
  <c r="O36" i="35"/>
  <c r="O76" i="35" s="1"/>
  <c r="K38" i="35"/>
  <c r="S34" i="35"/>
  <c r="S74" i="35" s="1"/>
  <c r="M37" i="35"/>
  <c r="M77" i="35" s="1"/>
  <c r="S34" i="38"/>
  <c r="S74" i="38" s="1"/>
  <c r="D42" i="38"/>
  <c r="O36" i="38"/>
  <c r="O76" i="38" s="1"/>
  <c r="M37" i="38"/>
  <c r="M77" i="38" s="1"/>
  <c r="K38" i="38"/>
  <c r="I39" i="38"/>
  <c r="E39" i="38" s="1"/>
  <c r="Q35" i="38"/>
  <c r="Q75" i="38" s="1"/>
  <c r="S34" i="39"/>
  <c r="S74" i="39" s="1"/>
  <c r="M37" i="39"/>
  <c r="M77" i="39" s="1"/>
  <c r="Q35" i="39"/>
  <c r="Q75" i="39" s="1"/>
  <c r="K38" i="39"/>
  <c r="D42" i="39"/>
  <c r="I39" i="39"/>
  <c r="E39" i="39" s="1"/>
  <c r="O36" i="39"/>
  <c r="O76" i="39" s="1"/>
  <c r="S34" i="24"/>
  <c r="S74" i="24" s="1"/>
  <c r="Q35" i="24"/>
  <c r="O36" i="24"/>
  <c r="M37" i="24"/>
  <c r="D42" i="24"/>
  <c r="K38" i="24"/>
  <c r="I39" i="24"/>
  <c r="T6" i="22"/>
  <c r="AJ32" i="22" l="1"/>
  <c r="H30" i="37"/>
  <c r="AJ35" i="22"/>
  <c r="H33" i="37"/>
  <c r="AJ27" i="22"/>
  <c r="H25" i="37"/>
  <c r="AH27" i="22"/>
  <c r="AJ10" i="22"/>
  <c r="H8" i="37"/>
  <c r="S44" i="22"/>
  <c r="AH6" i="22"/>
  <c r="AC44" i="22"/>
  <c r="W44" i="22"/>
  <c r="AE44" i="22"/>
  <c r="AJ34" i="22"/>
  <c r="H32" i="37"/>
  <c r="AJ30" i="22"/>
  <c r="H28" i="37"/>
  <c r="AJ17" i="22"/>
  <c r="H15" i="37"/>
  <c r="AH33" i="22"/>
  <c r="AH29" i="22"/>
  <c r="AH12" i="22"/>
  <c r="AJ36" i="22"/>
  <c r="H34" i="37"/>
  <c r="AJ19" i="22"/>
  <c r="AJ15" i="22"/>
  <c r="H13" i="37"/>
  <c r="AH11" i="22"/>
  <c r="AH31" i="22"/>
  <c r="AH14" i="22"/>
  <c r="V44" i="22"/>
  <c r="X44" i="22"/>
  <c r="Z44" i="22"/>
  <c r="AJ38" i="22"/>
  <c r="H36" i="37"/>
  <c r="AH34" i="22"/>
  <c r="AH26" i="22"/>
  <c r="AH13" i="22"/>
  <c r="AH9" i="22"/>
  <c r="AH41" i="22"/>
  <c r="AJ29" i="22"/>
  <c r="H27" i="37"/>
  <c r="AJ20" i="22"/>
  <c r="AH20" i="22"/>
  <c r="AH37" i="22"/>
  <c r="AJ6" i="22"/>
  <c r="T44" i="22"/>
  <c r="AH28" i="22"/>
  <c r="AJ24" i="22"/>
  <c r="H22" i="37"/>
  <c r="AH15" i="22"/>
  <c r="AJ39" i="22"/>
  <c r="H37" i="37"/>
  <c r="AH35" i="22"/>
  <c r="AH23" i="22"/>
  <c r="AH18" i="22"/>
  <c r="AJ14" i="22"/>
  <c r="H12" i="37"/>
  <c r="Y44" i="22"/>
  <c r="AD44" i="22"/>
  <c r="AF44" i="22"/>
  <c r="AJ42" i="22"/>
  <c r="H40" i="37"/>
  <c r="AH30" i="22"/>
  <c r="AH17" i="22"/>
  <c r="AJ9" i="22"/>
  <c r="H7" i="37"/>
  <c r="AJ41" i="22"/>
  <c r="H39" i="37"/>
  <c r="AJ16" i="22"/>
  <c r="H14" i="37"/>
  <c r="AJ8" i="22"/>
  <c r="AJ37" i="22"/>
  <c r="H35" i="37"/>
  <c r="AJ25" i="22"/>
  <c r="H23" i="37"/>
  <c r="AH32" i="22"/>
  <c r="AJ28" i="22"/>
  <c r="H26" i="37"/>
  <c r="AH19" i="22"/>
  <c r="AJ11" i="22"/>
  <c r="H9" i="37"/>
  <c r="AJ31" i="22"/>
  <c r="H29" i="37"/>
  <c r="AJ23" i="22"/>
  <c r="H21" i="37"/>
  <c r="AH10" i="22"/>
  <c r="U44" i="22"/>
  <c r="AA44" i="22"/>
  <c r="AG44" i="22"/>
  <c r="AB44" i="22"/>
  <c r="AJ26" i="22"/>
  <c r="H24" i="37"/>
  <c r="AH21" i="22"/>
  <c r="AJ13" i="22"/>
  <c r="H11" i="37"/>
  <c r="AJ33" i="22"/>
  <c r="H31" i="37"/>
  <c r="AH16" i="22"/>
  <c r="AH8" i="22"/>
  <c r="AH25" i="22"/>
  <c r="AJ12" i="22"/>
  <c r="H10" i="37"/>
  <c r="R37" i="37"/>
  <c r="S37" i="37"/>
  <c r="V36" i="37"/>
  <c r="T37" i="37"/>
  <c r="W36" i="37"/>
  <c r="Z35" i="37"/>
  <c r="X36" i="37"/>
  <c r="M77" i="24"/>
  <c r="O76" i="24"/>
  <c r="Q75" i="24"/>
  <c r="E39" i="24"/>
  <c r="AH44" i="22" l="1"/>
  <c r="H41" i="20"/>
  <c r="C41" i="39" l="1"/>
  <c r="C42" i="37"/>
  <c r="C41" i="38"/>
  <c r="C41" i="35"/>
  <c r="I41" i="20"/>
  <c r="J41" i="20" s="1"/>
  <c r="C41" i="24"/>
  <c r="AB7" i="20"/>
  <c r="AC7" i="20"/>
  <c r="AB8" i="20"/>
  <c r="AC8" i="20"/>
  <c r="AB9" i="20"/>
  <c r="AC9" i="20"/>
  <c r="AB10" i="20"/>
  <c r="AC10" i="20"/>
  <c r="AB11" i="20"/>
  <c r="AC11" i="20"/>
  <c r="AB12" i="20"/>
  <c r="AC12" i="20"/>
  <c r="AB13" i="20"/>
  <c r="AC13" i="20"/>
  <c r="AB14" i="20"/>
  <c r="AC14" i="20"/>
  <c r="AB15" i="20"/>
  <c r="AC15" i="20"/>
  <c r="AB16" i="20"/>
  <c r="AC16" i="20"/>
  <c r="AB17" i="20"/>
  <c r="AC17" i="20"/>
  <c r="AB18" i="20"/>
  <c r="AC18" i="20"/>
  <c r="AB19" i="20"/>
  <c r="AC19" i="20"/>
  <c r="AB20" i="20"/>
  <c r="AC20" i="20"/>
  <c r="AC6" i="20"/>
  <c r="AB6" i="20"/>
  <c r="M36" i="35" l="1"/>
  <c r="M76" i="35" s="1"/>
  <c r="D41" i="35"/>
  <c r="Q34" i="35"/>
  <c r="Q74" i="35" s="1"/>
  <c r="I38" i="35"/>
  <c r="E38" i="35" s="1"/>
  <c r="O35" i="35"/>
  <c r="O75" i="35" s="1"/>
  <c r="S33" i="35"/>
  <c r="S73" i="35" s="1"/>
  <c r="K37" i="35"/>
  <c r="K77" i="35" s="1"/>
  <c r="D41" i="38"/>
  <c r="M36" i="38"/>
  <c r="M76" i="38" s="1"/>
  <c r="Q34" i="38"/>
  <c r="Q74" i="38" s="1"/>
  <c r="S33" i="38"/>
  <c r="S73" i="38" s="1"/>
  <c r="O35" i="38"/>
  <c r="O75" i="38" s="1"/>
  <c r="I38" i="38"/>
  <c r="E38" i="38" s="1"/>
  <c r="K37" i="38"/>
  <c r="K77" i="38" s="1"/>
  <c r="N37" i="37"/>
  <c r="G39" i="37"/>
  <c r="D42" i="37"/>
  <c r="O37" i="37"/>
  <c r="M36" i="39"/>
  <c r="M76" i="39" s="1"/>
  <c r="I38" i="39"/>
  <c r="E38" i="39" s="1"/>
  <c r="O35" i="39"/>
  <c r="O75" i="39" s="1"/>
  <c r="D41" i="39"/>
  <c r="Q34" i="39"/>
  <c r="Q74" i="39" s="1"/>
  <c r="K37" i="39"/>
  <c r="K77" i="39" s="1"/>
  <c r="S33" i="39"/>
  <c r="S73" i="39" s="1"/>
  <c r="S33" i="24"/>
  <c r="S73" i="24" s="1"/>
  <c r="O35" i="24"/>
  <c r="O75" i="24" s="1"/>
  <c r="M36" i="24"/>
  <c r="M76" i="24" s="1"/>
  <c r="Q34" i="24"/>
  <c r="Q74" i="24" s="1"/>
  <c r="D41" i="24"/>
  <c r="I38" i="24"/>
  <c r="E38" i="24" s="1"/>
  <c r="K37" i="24"/>
  <c r="K77" i="24" s="1"/>
  <c r="B40" i="24"/>
  <c r="H40" i="20"/>
  <c r="C40" i="39" l="1"/>
  <c r="C41" i="37"/>
  <c r="C40" i="35"/>
  <c r="C40" i="38"/>
  <c r="R36" i="37"/>
  <c r="S36" i="37"/>
  <c r="Z34" i="37"/>
  <c r="V35" i="37"/>
  <c r="T36" i="37"/>
  <c r="W35" i="37"/>
  <c r="X35" i="37"/>
  <c r="C40" i="24"/>
  <c r="D40" i="24" s="1"/>
  <c r="I40" i="20"/>
  <c r="J40" i="20" s="1"/>
  <c r="B37" i="24"/>
  <c r="B38" i="24"/>
  <c r="B39" i="24"/>
  <c r="M35" i="35" l="1"/>
  <c r="M75" i="35" s="1"/>
  <c r="O34" i="35"/>
  <c r="O74" i="35" s="1"/>
  <c r="Q33" i="35"/>
  <c r="Q73" i="35" s="1"/>
  <c r="K36" i="35"/>
  <c r="K76" i="35" s="1"/>
  <c r="I37" i="35"/>
  <c r="I77" i="35" s="1"/>
  <c r="S32" i="35"/>
  <c r="S72" i="35" s="1"/>
  <c r="D40" i="35"/>
  <c r="J37" i="37"/>
  <c r="N36" i="37"/>
  <c r="O36" i="37"/>
  <c r="D41" i="37"/>
  <c r="K37" i="37"/>
  <c r="I37" i="39"/>
  <c r="I77" i="39" s="1"/>
  <c r="Q33" i="39"/>
  <c r="Q73" i="39" s="1"/>
  <c r="M35" i="39"/>
  <c r="M75" i="39" s="1"/>
  <c r="O34" i="39"/>
  <c r="O74" i="39" s="1"/>
  <c r="S32" i="39"/>
  <c r="S72" i="39" s="1"/>
  <c r="K36" i="39"/>
  <c r="K76" i="39" s="1"/>
  <c r="D40" i="39"/>
  <c r="S32" i="38"/>
  <c r="S72" i="38" s="1"/>
  <c r="I37" i="38"/>
  <c r="I77" i="38" s="1"/>
  <c r="Q33" i="38"/>
  <c r="Q73" i="38" s="1"/>
  <c r="O34" i="38"/>
  <c r="O74" i="38" s="1"/>
  <c r="D40" i="38"/>
  <c r="M35" i="38"/>
  <c r="M75" i="38" s="1"/>
  <c r="K36" i="38"/>
  <c r="K76" i="38" s="1"/>
  <c r="K36" i="24"/>
  <c r="K76" i="24" s="1"/>
  <c r="S32" i="24"/>
  <c r="S72" i="24" s="1"/>
  <c r="Q33" i="24"/>
  <c r="Q73" i="24" s="1"/>
  <c r="O34" i="24"/>
  <c r="O74" i="24" s="1"/>
  <c r="M35" i="24"/>
  <c r="M75" i="24" s="1"/>
  <c r="U37" i="24"/>
  <c r="I37" i="24"/>
  <c r="I77" i="24" s="1"/>
  <c r="Z33" i="37" l="1"/>
  <c r="V34" i="37"/>
  <c r="S35" i="37"/>
  <c r="W34" i="37"/>
  <c r="X34" i="37"/>
  <c r="T35" i="37"/>
  <c r="R35" i="37"/>
  <c r="H38" i="20"/>
  <c r="H39" i="20"/>
  <c r="I39" i="20" s="1"/>
  <c r="J39" i="20" s="1"/>
  <c r="H37" i="20"/>
  <c r="C37" i="39" l="1"/>
  <c r="C38" i="37"/>
  <c r="C37" i="38"/>
  <c r="C37" i="35"/>
  <c r="C39" i="39"/>
  <c r="C40" i="37"/>
  <c r="C39" i="38"/>
  <c r="C39" i="35"/>
  <c r="C38" i="39"/>
  <c r="C38" i="38"/>
  <c r="C39" i="37"/>
  <c r="C38" i="35"/>
  <c r="I38" i="20"/>
  <c r="J38" i="20" s="1"/>
  <c r="C38" i="24"/>
  <c r="C37" i="24"/>
  <c r="C39" i="24"/>
  <c r="I37" i="20"/>
  <c r="J37" i="20" s="1"/>
  <c r="H35" i="20"/>
  <c r="H36" i="20"/>
  <c r="B35" i="24"/>
  <c r="B36" i="24"/>
  <c r="H22" i="20"/>
  <c r="C35" i="39" l="1"/>
  <c r="C36" i="37"/>
  <c r="C35" i="35"/>
  <c r="C35" i="38"/>
  <c r="Q31" i="39"/>
  <c r="Q71" i="39" s="1"/>
  <c r="S30" i="39"/>
  <c r="S70" i="39" s="1"/>
  <c r="K34" i="39"/>
  <c r="K74" i="39" s="1"/>
  <c r="M33" i="39"/>
  <c r="M73" i="39" s="1"/>
  <c r="D38" i="39"/>
  <c r="I35" i="39"/>
  <c r="O32" i="39"/>
  <c r="O72" i="39" s="1"/>
  <c r="S31" i="35"/>
  <c r="S71" i="35" s="1"/>
  <c r="K35" i="35"/>
  <c r="K75" i="35" s="1"/>
  <c r="I36" i="35"/>
  <c r="D39" i="35"/>
  <c r="O33" i="35"/>
  <c r="O73" i="35" s="1"/>
  <c r="M34" i="35"/>
  <c r="M74" i="35" s="1"/>
  <c r="Q32" i="35"/>
  <c r="Q72" i="35" s="1"/>
  <c r="G35" i="37"/>
  <c r="K34" i="37"/>
  <c r="O33" i="37"/>
  <c r="J34" i="37"/>
  <c r="N33" i="37"/>
  <c r="D38" i="37"/>
  <c r="C36" i="39"/>
  <c r="C36" i="35"/>
  <c r="C36" i="38"/>
  <c r="C37" i="37"/>
  <c r="M33" i="35"/>
  <c r="M73" i="35" s="1"/>
  <c r="S30" i="35"/>
  <c r="S70" i="35" s="1"/>
  <c r="Q31" i="35"/>
  <c r="Q71" i="35" s="1"/>
  <c r="K34" i="35"/>
  <c r="K74" i="35" s="1"/>
  <c r="D38" i="35"/>
  <c r="O32" i="35"/>
  <c r="O72" i="35" s="1"/>
  <c r="I35" i="35"/>
  <c r="J35" i="37"/>
  <c r="N34" i="37"/>
  <c r="O34" i="37"/>
  <c r="K35" i="37"/>
  <c r="G36" i="37"/>
  <c r="D39" i="37"/>
  <c r="K34" i="38"/>
  <c r="K74" i="38" s="1"/>
  <c r="O32" i="38"/>
  <c r="O72" i="38" s="1"/>
  <c r="I35" i="38"/>
  <c r="S30" i="38"/>
  <c r="S70" i="38" s="1"/>
  <c r="D38" i="38"/>
  <c r="M33" i="38"/>
  <c r="M73" i="38" s="1"/>
  <c r="Q31" i="38"/>
  <c r="Q71" i="38" s="1"/>
  <c r="S29" i="35"/>
  <c r="S69" i="35" s="1"/>
  <c r="D37" i="35"/>
  <c r="M32" i="35"/>
  <c r="M72" i="35" s="1"/>
  <c r="O31" i="35"/>
  <c r="O71" i="35" s="1"/>
  <c r="I34" i="35"/>
  <c r="Q30" i="35"/>
  <c r="Q70" i="35" s="1"/>
  <c r="K33" i="35"/>
  <c r="K73" i="35" s="1"/>
  <c r="C22" i="39"/>
  <c r="C22" i="35"/>
  <c r="C22" i="38"/>
  <c r="D22" i="38" s="1"/>
  <c r="C23" i="37"/>
  <c r="Q32" i="38"/>
  <c r="Q72" i="38" s="1"/>
  <c r="I36" i="38"/>
  <c r="M34" i="38"/>
  <c r="M74" i="38" s="1"/>
  <c r="S31" i="38"/>
  <c r="S71" i="38" s="1"/>
  <c r="K35" i="38"/>
  <c r="K75" i="38" s="1"/>
  <c r="D39" i="38"/>
  <c r="O33" i="38"/>
  <c r="O73" i="38" s="1"/>
  <c r="K33" i="38"/>
  <c r="K73" i="38" s="1"/>
  <c r="S29" i="38"/>
  <c r="S69" i="38" s="1"/>
  <c r="Q30" i="38"/>
  <c r="Q70" i="38" s="1"/>
  <c r="M32" i="38"/>
  <c r="M72" i="38" s="1"/>
  <c r="I34" i="38"/>
  <c r="D37" i="38"/>
  <c r="O31" i="38"/>
  <c r="O71" i="38" s="1"/>
  <c r="K36" i="37"/>
  <c r="N35" i="37"/>
  <c r="G37" i="37"/>
  <c r="O35" i="37"/>
  <c r="J36" i="37"/>
  <c r="D40" i="37"/>
  <c r="Q32" i="39"/>
  <c r="Q72" i="39" s="1"/>
  <c r="K35" i="39"/>
  <c r="K75" i="39" s="1"/>
  <c r="I36" i="39"/>
  <c r="D39" i="39"/>
  <c r="S31" i="39"/>
  <c r="S71" i="39" s="1"/>
  <c r="M34" i="39"/>
  <c r="M74" i="39" s="1"/>
  <c r="O33" i="39"/>
  <c r="O73" i="39" s="1"/>
  <c r="O31" i="39"/>
  <c r="O71" i="39" s="1"/>
  <c r="I34" i="39"/>
  <c r="Q30" i="39"/>
  <c r="Q70" i="39" s="1"/>
  <c r="D37" i="39"/>
  <c r="S29" i="39"/>
  <c r="S69" i="39" s="1"/>
  <c r="K33" i="39"/>
  <c r="K73" i="39" s="1"/>
  <c r="M32" i="39"/>
  <c r="M72" i="39" s="1"/>
  <c r="O33" i="24"/>
  <c r="M34" i="24"/>
  <c r="S31" i="24"/>
  <c r="Q32" i="24"/>
  <c r="Q30" i="24"/>
  <c r="O31" i="24"/>
  <c r="S29" i="24"/>
  <c r="M32" i="24"/>
  <c r="M72" i="24" s="1"/>
  <c r="Q31" i="24"/>
  <c r="Q71" i="24" s="1"/>
  <c r="M33" i="24"/>
  <c r="M73" i="24" s="1"/>
  <c r="S30" i="24"/>
  <c r="S70" i="24" s="1"/>
  <c r="O32" i="24"/>
  <c r="O72" i="24" s="1"/>
  <c r="D38" i="24"/>
  <c r="I35" i="24"/>
  <c r="I75" i="24" s="1"/>
  <c r="K34" i="24"/>
  <c r="K74" i="24" s="1"/>
  <c r="D39" i="24"/>
  <c r="I36" i="24"/>
  <c r="K35" i="24"/>
  <c r="K75" i="24" s="1"/>
  <c r="D37" i="24"/>
  <c r="I34" i="24"/>
  <c r="I74" i="24" s="1"/>
  <c r="K33" i="24"/>
  <c r="K73" i="24" s="1"/>
  <c r="U36" i="24"/>
  <c r="U35" i="24"/>
  <c r="I36" i="20"/>
  <c r="J36" i="20" s="1"/>
  <c r="C36" i="24"/>
  <c r="D36" i="24" s="1"/>
  <c r="C35" i="24"/>
  <c r="D35" i="24" s="1"/>
  <c r="I35" i="20"/>
  <c r="J35" i="20" s="1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6" i="20"/>
  <c r="K31" i="24" l="1"/>
  <c r="I74" i="39"/>
  <c r="E34" i="39"/>
  <c r="E36" i="37"/>
  <c r="G76" i="37" s="1"/>
  <c r="S32" i="37"/>
  <c r="Z30" i="37"/>
  <c r="T32" i="37"/>
  <c r="W31" i="37"/>
  <c r="X31" i="37"/>
  <c r="R32" i="37"/>
  <c r="V31" i="37"/>
  <c r="C21" i="39"/>
  <c r="C21" i="35"/>
  <c r="C21" i="38"/>
  <c r="C22" i="37"/>
  <c r="D22" i="37" s="1"/>
  <c r="R34" i="37"/>
  <c r="S34" i="37"/>
  <c r="V33" i="37"/>
  <c r="X33" i="37"/>
  <c r="T34" i="37"/>
  <c r="W33" i="37"/>
  <c r="Z32" i="37"/>
  <c r="I74" i="38"/>
  <c r="E34" i="38"/>
  <c r="C29" i="39"/>
  <c r="C30" i="37"/>
  <c r="C29" i="35"/>
  <c r="C29" i="38"/>
  <c r="I76" i="35"/>
  <c r="E36" i="35"/>
  <c r="C31" i="39"/>
  <c r="C31" i="35"/>
  <c r="C31" i="38"/>
  <c r="C32" i="37"/>
  <c r="I76" i="38"/>
  <c r="E36" i="38"/>
  <c r="I74" i="35"/>
  <c r="E34" i="35"/>
  <c r="C20" i="39"/>
  <c r="C20" i="38"/>
  <c r="C20" i="35"/>
  <c r="C21" i="37"/>
  <c r="D21" i="37" s="1"/>
  <c r="C18" i="39"/>
  <c r="C18" i="35"/>
  <c r="C19" i="37"/>
  <c r="C18" i="38"/>
  <c r="E37" i="37"/>
  <c r="G77" i="37" s="1"/>
  <c r="I75" i="38"/>
  <c r="E35" i="38"/>
  <c r="N32" i="37"/>
  <c r="O32" i="37"/>
  <c r="G34" i="37"/>
  <c r="D37" i="37"/>
  <c r="K33" i="37"/>
  <c r="J33" i="37"/>
  <c r="I32" i="38"/>
  <c r="S27" i="38"/>
  <c r="S67" i="38" s="1"/>
  <c r="M30" i="38"/>
  <c r="M70" i="38" s="1"/>
  <c r="Q28" i="38"/>
  <c r="Q68" i="38" s="1"/>
  <c r="O29" i="38"/>
  <c r="O69" i="38" s="1"/>
  <c r="D35" i="38"/>
  <c r="K31" i="38"/>
  <c r="K71" i="38" s="1"/>
  <c r="C23" i="39"/>
  <c r="C23" i="38"/>
  <c r="C24" i="37"/>
  <c r="C23" i="35"/>
  <c r="C30" i="39"/>
  <c r="C30" i="35"/>
  <c r="C30" i="38"/>
  <c r="C31" i="37"/>
  <c r="C11" i="39"/>
  <c r="C12" i="37"/>
  <c r="C11" i="35"/>
  <c r="C11" i="38"/>
  <c r="C10" i="39"/>
  <c r="C10" i="35"/>
  <c r="C10" i="38"/>
  <c r="C11" i="37"/>
  <c r="O30" i="24"/>
  <c r="O70" i="24" s="1"/>
  <c r="C34" i="39"/>
  <c r="C34" i="35"/>
  <c r="C34" i="38"/>
  <c r="C35" i="37"/>
  <c r="C26" i="39"/>
  <c r="C26" i="35"/>
  <c r="C26" i="38"/>
  <c r="C27" i="37"/>
  <c r="C17" i="39"/>
  <c r="C17" i="35"/>
  <c r="C17" i="38"/>
  <c r="C18" i="37"/>
  <c r="C9" i="39"/>
  <c r="C9" i="35"/>
  <c r="C9" i="38"/>
  <c r="C10" i="37"/>
  <c r="S28" i="24"/>
  <c r="S68" i="24" s="1"/>
  <c r="E35" i="35"/>
  <c r="I75" i="35"/>
  <c r="S28" i="38"/>
  <c r="S68" i="38" s="1"/>
  <c r="I33" i="38"/>
  <c r="K32" i="38"/>
  <c r="K72" i="38" s="1"/>
  <c r="O30" i="38"/>
  <c r="O70" i="38" s="1"/>
  <c r="M31" i="38"/>
  <c r="M71" i="38" s="1"/>
  <c r="D36" i="38"/>
  <c r="Q29" i="38"/>
  <c r="Q69" i="38" s="1"/>
  <c r="E35" i="37"/>
  <c r="K75" i="37" s="1"/>
  <c r="Q28" i="35"/>
  <c r="Q68" i="35" s="1"/>
  <c r="O29" i="35"/>
  <c r="O69" i="35" s="1"/>
  <c r="M30" i="35"/>
  <c r="M70" i="35" s="1"/>
  <c r="D35" i="35"/>
  <c r="K31" i="35"/>
  <c r="K71" i="35" s="1"/>
  <c r="S27" i="35"/>
  <c r="S67" i="35" s="1"/>
  <c r="I32" i="35"/>
  <c r="C12" i="39"/>
  <c r="C12" i="38"/>
  <c r="C12" i="35"/>
  <c r="C13" i="37"/>
  <c r="C28" i="39"/>
  <c r="C28" i="38"/>
  <c r="C29" i="37"/>
  <c r="C28" i="35"/>
  <c r="C25" i="39"/>
  <c r="C26" i="37"/>
  <c r="C25" i="35"/>
  <c r="C25" i="38"/>
  <c r="M31" i="24"/>
  <c r="M71" i="24" s="1"/>
  <c r="I76" i="39"/>
  <c r="E36" i="39"/>
  <c r="S28" i="35"/>
  <c r="S68" i="35" s="1"/>
  <c r="O30" i="35"/>
  <c r="O70" i="35" s="1"/>
  <c r="K32" i="35"/>
  <c r="K72" i="35" s="1"/>
  <c r="Q29" i="35"/>
  <c r="Q69" i="35" s="1"/>
  <c r="I33" i="35"/>
  <c r="M31" i="35"/>
  <c r="M71" i="35" s="1"/>
  <c r="D36" i="35"/>
  <c r="E35" i="39"/>
  <c r="I75" i="39"/>
  <c r="O31" i="37"/>
  <c r="N31" i="37"/>
  <c r="J32" i="37"/>
  <c r="K32" i="37"/>
  <c r="G33" i="37"/>
  <c r="D36" i="37"/>
  <c r="C14" i="39"/>
  <c r="C15" i="37"/>
  <c r="C14" i="38"/>
  <c r="C14" i="35"/>
  <c r="C13" i="39"/>
  <c r="C13" i="35"/>
  <c r="C13" i="38"/>
  <c r="C14" i="37"/>
  <c r="C19" i="39"/>
  <c r="C19" i="38"/>
  <c r="C20" i="37"/>
  <c r="C19" i="35"/>
  <c r="C27" i="39"/>
  <c r="C27" i="35"/>
  <c r="C27" i="38"/>
  <c r="C28" i="37"/>
  <c r="C33" i="39"/>
  <c r="C33" i="35"/>
  <c r="C33" i="38"/>
  <c r="C34" i="37"/>
  <c r="C16" i="39"/>
  <c r="C16" i="38"/>
  <c r="C16" i="35"/>
  <c r="C17" i="37"/>
  <c r="C8" i="39"/>
  <c r="D8" i="39" s="1"/>
  <c r="C8" i="38"/>
  <c r="D8" i="38" s="1"/>
  <c r="C8" i="35"/>
  <c r="D8" i="35" s="1"/>
  <c r="C9" i="37"/>
  <c r="D9" i="37" s="1"/>
  <c r="K76" i="37"/>
  <c r="C32" i="39"/>
  <c r="C32" i="38"/>
  <c r="C33" i="37"/>
  <c r="C32" i="35"/>
  <c r="C24" i="39"/>
  <c r="C25" i="37"/>
  <c r="C24" i="35"/>
  <c r="C24" i="38"/>
  <c r="C15" i="39"/>
  <c r="C15" i="38"/>
  <c r="C16" i="37"/>
  <c r="C15" i="35"/>
  <c r="C7" i="39"/>
  <c r="D7" i="39" s="1"/>
  <c r="C7" i="38"/>
  <c r="D7" i="38" s="1"/>
  <c r="C8" i="37"/>
  <c r="D8" i="37" s="1"/>
  <c r="C7" i="35"/>
  <c r="D7" i="35" s="1"/>
  <c r="T33" i="37"/>
  <c r="W32" i="37"/>
  <c r="X32" i="37"/>
  <c r="Z31" i="37"/>
  <c r="R33" i="37"/>
  <c r="S33" i="37"/>
  <c r="V32" i="37"/>
  <c r="D36" i="39"/>
  <c r="Q29" i="39"/>
  <c r="Q69" i="39" s="1"/>
  <c r="O30" i="39"/>
  <c r="O70" i="39" s="1"/>
  <c r="S28" i="39"/>
  <c r="S68" i="39" s="1"/>
  <c r="I33" i="39"/>
  <c r="M31" i="39"/>
  <c r="M71" i="39" s="1"/>
  <c r="K32" i="39"/>
  <c r="K72" i="39" s="1"/>
  <c r="M30" i="39"/>
  <c r="M70" i="39" s="1"/>
  <c r="D35" i="39"/>
  <c r="S27" i="39"/>
  <c r="S67" i="39" s="1"/>
  <c r="I32" i="39"/>
  <c r="K31" i="39"/>
  <c r="K71" i="39" s="1"/>
  <c r="Q28" i="39"/>
  <c r="Q68" i="39" s="1"/>
  <c r="O29" i="39"/>
  <c r="O69" i="39" s="1"/>
  <c r="C6" i="39"/>
  <c r="D6" i="39" s="1"/>
  <c r="C6" i="38"/>
  <c r="D6" i="38" s="1"/>
  <c r="C6" i="35"/>
  <c r="D6" i="35" s="1"/>
  <c r="C7" i="37"/>
  <c r="D7" i="37" s="1"/>
  <c r="Q72" i="24"/>
  <c r="Q29" i="24"/>
  <c r="Q69" i="24" s="1"/>
  <c r="M30" i="24"/>
  <c r="M70" i="24" s="1"/>
  <c r="Q70" i="24"/>
  <c r="Q28" i="24"/>
  <c r="Q68" i="24" s="1"/>
  <c r="S27" i="24"/>
  <c r="S67" i="24" s="1"/>
  <c r="I32" i="24"/>
  <c r="I72" i="24" s="1"/>
  <c r="O29" i="24"/>
  <c r="O69" i="24" s="1"/>
  <c r="S69" i="24"/>
  <c r="K32" i="24"/>
  <c r="K72" i="24" s="1"/>
  <c r="O71" i="24"/>
  <c r="I33" i="24"/>
  <c r="O73" i="24"/>
  <c r="M74" i="24"/>
  <c r="S71" i="24"/>
  <c r="I19" i="20"/>
  <c r="I7" i="20"/>
  <c r="I31" i="20"/>
  <c r="I17" i="20"/>
  <c r="I32" i="20"/>
  <c r="I16" i="20"/>
  <c r="I29" i="20"/>
  <c r="I12" i="20"/>
  <c r="I18" i="20"/>
  <c r="I6" i="20"/>
  <c r="I23" i="20"/>
  <c r="I10" i="20"/>
  <c r="I30" i="20"/>
  <c r="I15" i="20"/>
  <c r="I27" i="20"/>
  <c r="I13" i="20"/>
  <c r="I25" i="20"/>
  <c r="I24" i="20"/>
  <c r="I21" i="20"/>
  <c r="I28" i="20"/>
  <c r="I14" i="20"/>
  <c r="I26" i="20"/>
  <c r="I11" i="20"/>
  <c r="I34" i="20"/>
  <c r="I9" i="20"/>
  <c r="I33" i="20"/>
  <c r="I20" i="20"/>
  <c r="I8" i="20"/>
  <c r="K71" i="24"/>
  <c r="E36" i="24"/>
  <c r="T76" i="24" s="1"/>
  <c r="I76" i="24"/>
  <c r="E35" i="24"/>
  <c r="R68" i="24"/>
  <c r="P68" i="24"/>
  <c r="N68" i="24"/>
  <c r="L68" i="24"/>
  <c r="J68" i="24"/>
  <c r="H68" i="24"/>
  <c r="R67" i="24"/>
  <c r="P67" i="24"/>
  <c r="N67" i="24"/>
  <c r="L67" i="24"/>
  <c r="J67" i="24"/>
  <c r="H67" i="24"/>
  <c r="R66" i="24"/>
  <c r="P66" i="24"/>
  <c r="N66" i="24"/>
  <c r="L66" i="24"/>
  <c r="J66" i="24"/>
  <c r="H66" i="24"/>
  <c r="R65" i="24"/>
  <c r="P65" i="24"/>
  <c r="N65" i="24"/>
  <c r="L65" i="24"/>
  <c r="J65" i="24"/>
  <c r="H65" i="24"/>
  <c r="R64" i="24"/>
  <c r="P64" i="24"/>
  <c r="N64" i="24"/>
  <c r="L64" i="24"/>
  <c r="J64" i="24"/>
  <c r="H64" i="24"/>
  <c r="R63" i="24"/>
  <c r="P63" i="24"/>
  <c r="N63" i="24"/>
  <c r="L63" i="24"/>
  <c r="J63" i="24"/>
  <c r="H63" i="24"/>
  <c r="R62" i="24"/>
  <c r="P62" i="24"/>
  <c r="N62" i="24"/>
  <c r="L62" i="24"/>
  <c r="J62" i="24"/>
  <c r="H62" i="24"/>
  <c r="R61" i="24"/>
  <c r="P61" i="24"/>
  <c r="N61" i="24"/>
  <c r="L61" i="24"/>
  <c r="J61" i="24"/>
  <c r="H61" i="24"/>
  <c r="R60" i="24"/>
  <c r="P60" i="24"/>
  <c r="N60" i="24"/>
  <c r="L60" i="24"/>
  <c r="J60" i="24"/>
  <c r="H60" i="24"/>
  <c r="R59" i="24"/>
  <c r="P59" i="24"/>
  <c r="N59" i="24"/>
  <c r="L59" i="24"/>
  <c r="J59" i="24"/>
  <c r="H59" i="24"/>
  <c r="R58" i="24"/>
  <c r="P58" i="24"/>
  <c r="N58" i="24"/>
  <c r="L58" i="24"/>
  <c r="J58" i="24"/>
  <c r="H58" i="24"/>
  <c r="R57" i="24"/>
  <c r="P57" i="24"/>
  <c r="N57" i="24"/>
  <c r="L57" i="24"/>
  <c r="J57" i="24"/>
  <c r="H57" i="24"/>
  <c r="R56" i="24"/>
  <c r="P56" i="24"/>
  <c r="N56" i="24"/>
  <c r="L56" i="24"/>
  <c r="J56" i="24"/>
  <c r="H56" i="24"/>
  <c r="R55" i="24"/>
  <c r="P55" i="24"/>
  <c r="N55" i="24"/>
  <c r="L55" i="24"/>
  <c r="J55" i="24"/>
  <c r="H55" i="24"/>
  <c r="R54" i="24"/>
  <c r="P54" i="24"/>
  <c r="N54" i="24"/>
  <c r="L54" i="24"/>
  <c r="J54" i="24"/>
  <c r="H54" i="24"/>
  <c r="R53" i="24"/>
  <c r="P53" i="24"/>
  <c r="N53" i="24"/>
  <c r="L53" i="24"/>
  <c r="J53" i="24"/>
  <c r="H53" i="24"/>
  <c r="R52" i="24"/>
  <c r="P52" i="24"/>
  <c r="N52" i="24"/>
  <c r="L52" i="24"/>
  <c r="J52" i="24"/>
  <c r="H52" i="24"/>
  <c r="R51" i="24"/>
  <c r="P51" i="24"/>
  <c r="N51" i="24"/>
  <c r="L51" i="24"/>
  <c r="J51" i="24"/>
  <c r="H51" i="24"/>
  <c r="R50" i="24"/>
  <c r="P50" i="24"/>
  <c r="N50" i="24"/>
  <c r="L50" i="24"/>
  <c r="J50" i="24"/>
  <c r="H50" i="24"/>
  <c r="R49" i="24"/>
  <c r="P49" i="24"/>
  <c r="N49" i="24"/>
  <c r="L49" i="24"/>
  <c r="J49" i="24"/>
  <c r="H49" i="24"/>
  <c r="R48" i="24"/>
  <c r="P48" i="24"/>
  <c r="N48" i="24"/>
  <c r="L48" i="24"/>
  <c r="J48" i="24"/>
  <c r="H48" i="24"/>
  <c r="R47" i="24"/>
  <c r="P47" i="24"/>
  <c r="N47" i="24"/>
  <c r="L47" i="24"/>
  <c r="J47" i="24"/>
  <c r="H47" i="24"/>
  <c r="R46" i="24"/>
  <c r="P46" i="24"/>
  <c r="N46" i="24"/>
  <c r="L46" i="24"/>
  <c r="J46" i="24"/>
  <c r="H46" i="24"/>
  <c r="S45" i="24"/>
  <c r="Q45" i="24"/>
  <c r="O45" i="24"/>
  <c r="M45" i="24"/>
  <c r="K45" i="24"/>
  <c r="I45" i="24"/>
  <c r="B34" i="24"/>
  <c r="B33" i="24"/>
  <c r="B32" i="24"/>
  <c r="B31" i="24"/>
  <c r="B30" i="24"/>
  <c r="B29" i="24"/>
  <c r="B28" i="24"/>
  <c r="B27" i="24"/>
  <c r="C26" i="24"/>
  <c r="B26" i="24"/>
  <c r="C25" i="24"/>
  <c r="B25" i="24"/>
  <c r="C24" i="24"/>
  <c r="B24" i="24"/>
  <c r="C23" i="24"/>
  <c r="B23" i="24"/>
  <c r="C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U8" i="24" s="1"/>
  <c r="C7" i="24"/>
  <c r="B7" i="24"/>
  <c r="U7" i="24" s="1"/>
  <c r="C6" i="24"/>
  <c r="B6" i="24"/>
  <c r="G75" i="37" l="1"/>
  <c r="N75" i="37"/>
  <c r="E32" i="39"/>
  <c r="I72" i="39"/>
  <c r="Q17" i="35"/>
  <c r="Q57" i="35" s="1"/>
  <c r="K20" i="35"/>
  <c r="K60" i="35" s="1"/>
  <c r="O18" i="35"/>
  <c r="O58" i="35" s="1"/>
  <c r="I21" i="35"/>
  <c r="D24" i="35"/>
  <c r="S16" i="35"/>
  <c r="S56" i="35" s="1"/>
  <c r="M19" i="35"/>
  <c r="M59" i="35" s="1"/>
  <c r="D34" i="37"/>
  <c r="O29" i="37"/>
  <c r="K30" i="37"/>
  <c r="J30" i="37"/>
  <c r="G31" i="37"/>
  <c r="N29" i="37"/>
  <c r="M14" i="35"/>
  <c r="M54" i="35" s="1"/>
  <c r="Q12" i="35"/>
  <c r="Q52" i="35" s="1"/>
  <c r="O13" i="35"/>
  <c r="O53" i="35" s="1"/>
  <c r="S11" i="35"/>
  <c r="S51" i="35" s="1"/>
  <c r="K15" i="35"/>
  <c r="K55" i="35" s="1"/>
  <c r="I16" i="35"/>
  <c r="I56" i="35" s="1"/>
  <c r="D19" i="35"/>
  <c r="Q7" i="35"/>
  <c r="Q47" i="35" s="1"/>
  <c r="I11" i="35"/>
  <c r="D14" i="35"/>
  <c r="O8" i="35"/>
  <c r="O48" i="35" s="1"/>
  <c r="K10" i="35"/>
  <c r="K50" i="35" s="1"/>
  <c r="M9" i="35"/>
  <c r="M49" i="35" s="1"/>
  <c r="S6" i="35"/>
  <c r="S46" i="35" s="1"/>
  <c r="I25" i="38"/>
  <c r="O22" i="38"/>
  <c r="O62" i="38" s="1"/>
  <c r="D28" i="38"/>
  <c r="Q21" i="38"/>
  <c r="Q61" i="38" s="1"/>
  <c r="K24" i="38"/>
  <c r="K64" i="38" s="1"/>
  <c r="S20" i="38"/>
  <c r="S60" i="38" s="1"/>
  <c r="M23" i="38"/>
  <c r="M63" i="38" s="1"/>
  <c r="T75" i="35"/>
  <c r="F35" i="35"/>
  <c r="G35" i="35" s="1"/>
  <c r="V35" i="35"/>
  <c r="D9" i="38"/>
  <c r="I6" i="38"/>
  <c r="S18" i="38"/>
  <c r="S58" i="38" s="1"/>
  <c r="Q19" i="38"/>
  <c r="Q59" i="38" s="1"/>
  <c r="I23" i="38"/>
  <c r="K22" i="38"/>
  <c r="K62" i="38" s="1"/>
  <c r="O20" i="38"/>
  <c r="O60" i="38" s="1"/>
  <c r="D26" i="38"/>
  <c r="M21" i="38"/>
  <c r="M61" i="38" s="1"/>
  <c r="J7" i="37"/>
  <c r="K7" i="37"/>
  <c r="D11" i="37"/>
  <c r="G8" i="37"/>
  <c r="G28" i="37"/>
  <c r="J27" i="37"/>
  <c r="O26" i="37"/>
  <c r="K27" i="37"/>
  <c r="D31" i="37"/>
  <c r="N26" i="37"/>
  <c r="V35" i="38"/>
  <c r="F35" i="38"/>
  <c r="G35" i="38" s="1"/>
  <c r="T75" i="38"/>
  <c r="I109" i="38" s="1"/>
  <c r="Q13" i="39"/>
  <c r="Q53" i="39" s="1"/>
  <c r="O14" i="39"/>
  <c r="O54" i="39" s="1"/>
  <c r="S12" i="39"/>
  <c r="S52" i="39" s="1"/>
  <c r="D20" i="39"/>
  <c r="K16" i="39"/>
  <c r="K56" i="39" s="1"/>
  <c r="I17" i="39"/>
  <c r="I57" i="39" s="1"/>
  <c r="M15" i="39"/>
  <c r="M55" i="39" s="1"/>
  <c r="S23" i="38"/>
  <c r="S63" i="38" s="1"/>
  <c r="Q24" i="38"/>
  <c r="Q64" i="38" s="1"/>
  <c r="M26" i="38"/>
  <c r="M66" i="38" s="1"/>
  <c r="D31" i="38"/>
  <c r="O25" i="38"/>
  <c r="O65" i="38" s="1"/>
  <c r="I28" i="38"/>
  <c r="K27" i="38"/>
  <c r="K67" i="38" s="1"/>
  <c r="O25" i="37"/>
  <c r="J26" i="37"/>
  <c r="D30" i="37"/>
  <c r="N25" i="37"/>
  <c r="K26" i="37"/>
  <c r="G27" i="37"/>
  <c r="K21" i="37"/>
  <c r="G22" i="37"/>
  <c r="D25" i="37"/>
  <c r="J21" i="37"/>
  <c r="I30" i="38"/>
  <c r="O27" i="38"/>
  <c r="O67" i="38" s="1"/>
  <c r="M28" i="38"/>
  <c r="M68" i="38" s="1"/>
  <c r="Q26" i="38"/>
  <c r="Q66" i="38" s="1"/>
  <c r="S25" i="38"/>
  <c r="S65" i="38" s="1"/>
  <c r="K29" i="38"/>
  <c r="K69" i="38" s="1"/>
  <c r="D33" i="38"/>
  <c r="O15" i="37"/>
  <c r="N15" i="37"/>
  <c r="D20" i="37"/>
  <c r="K10" i="38"/>
  <c r="K50" i="38" s="1"/>
  <c r="Q7" i="38"/>
  <c r="Q47" i="38" s="1"/>
  <c r="S6" i="38"/>
  <c r="S46" i="38" s="1"/>
  <c r="O8" i="38"/>
  <c r="O48" i="38" s="1"/>
  <c r="I11" i="38"/>
  <c r="D14" i="38"/>
  <c r="M9" i="38"/>
  <c r="M49" i="38" s="1"/>
  <c r="Q21" i="39"/>
  <c r="Q61" i="39" s="1"/>
  <c r="D28" i="39"/>
  <c r="O22" i="39"/>
  <c r="O62" i="39" s="1"/>
  <c r="I25" i="39"/>
  <c r="M23" i="39"/>
  <c r="M63" i="39" s="1"/>
  <c r="S20" i="39"/>
  <c r="S60" i="39" s="1"/>
  <c r="K24" i="39"/>
  <c r="K64" i="39" s="1"/>
  <c r="I6" i="35"/>
  <c r="D9" i="35"/>
  <c r="M21" i="35"/>
  <c r="M61" i="35" s="1"/>
  <c r="O20" i="35"/>
  <c r="O60" i="35" s="1"/>
  <c r="K22" i="35"/>
  <c r="K62" i="35" s="1"/>
  <c r="I23" i="35"/>
  <c r="D26" i="35"/>
  <c r="S18" i="35"/>
  <c r="S58" i="35" s="1"/>
  <c r="Q19" i="35"/>
  <c r="Q59" i="35" s="1"/>
  <c r="K6" i="38"/>
  <c r="K46" i="38" s="1"/>
  <c r="I7" i="38"/>
  <c r="D10" i="38"/>
  <c r="S22" i="38"/>
  <c r="S62" i="38" s="1"/>
  <c r="Q23" i="38"/>
  <c r="Q63" i="38" s="1"/>
  <c r="I27" i="38"/>
  <c r="O24" i="38"/>
  <c r="O64" i="38" s="1"/>
  <c r="M25" i="38"/>
  <c r="M65" i="38" s="1"/>
  <c r="K26" i="38"/>
  <c r="K66" i="38" s="1"/>
  <c r="D30" i="38"/>
  <c r="O12" i="38"/>
  <c r="O52" i="38" s="1"/>
  <c r="Q11" i="38"/>
  <c r="Q51" i="38" s="1"/>
  <c r="D18" i="38"/>
  <c r="K14" i="38"/>
  <c r="K54" i="38" s="1"/>
  <c r="M13" i="38"/>
  <c r="M53" i="38" s="1"/>
  <c r="I15" i="38"/>
  <c r="S10" i="38"/>
  <c r="S50" i="38" s="1"/>
  <c r="T76" i="38"/>
  <c r="V36" i="38"/>
  <c r="F36" i="38"/>
  <c r="G36" i="38" s="1"/>
  <c r="O25" i="35"/>
  <c r="O65" i="35" s="1"/>
  <c r="I28" i="35"/>
  <c r="S23" i="35"/>
  <c r="S63" i="35" s="1"/>
  <c r="Q24" i="35"/>
  <c r="Q64" i="35" s="1"/>
  <c r="M26" i="35"/>
  <c r="M66" i="35" s="1"/>
  <c r="K27" i="35"/>
  <c r="K67" i="35" s="1"/>
  <c r="D31" i="35"/>
  <c r="O23" i="39"/>
  <c r="O63" i="39" s="1"/>
  <c r="S21" i="39"/>
  <c r="S61" i="39" s="1"/>
  <c r="K25" i="39"/>
  <c r="K65" i="39" s="1"/>
  <c r="M24" i="39"/>
  <c r="M64" i="39" s="1"/>
  <c r="Q22" i="39"/>
  <c r="Q62" i="39" s="1"/>
  <c r="D29" i="39"/>
  <c r="I26" i="39"/>
  <c r="V34" i="38"/>
  <c r="T74" i="38"/>
  <c r="F34" i="38"/>
  <c r="G34" i="38" s="1"/>
  <c r="Q17" i="39"/>
  <c r="Q57" i="39" s="1"/>
  <c r="I21" i="39"/>
  <c r="K20" i="39"/>
  <c r="K60" i="39" s="1"/>
  <c r="D24" i="39"/>
  <c r="M19" i="39"/>
  <c r="M59" i="39" s="1"/>
  <c r="S16" i="39"/>
  <c r="S56" i="39" s="1"/>
  <c r="O18" i="39"/>
  <c r="O58" i="39" s="1"/>
  <c r="S25" i="35"/>
  <c r="S65" i="35" s="1"/>
  <c r="O27" i="35"/>
  <c r="O67" i="35" s="1"/>
  <c r="D33" i="35"/>
  <c r="I30" i="35"/>
  <c r="Q26" i="35"/>
  <c r="Q66" i="35" s="1"/>
  <c r="M28" i="35"/>
  <c r="M68" i="35" s="1"/>
  <c r="K29" i="35"/>
  <c r="K69" i="35" s="1"/>
  <c r="K15" i="38"/>
  <c r="K55" i="38" s="1"/>
  <c r="S11" i="38"/>
  <c r="S51" i="38" s="1"/>
  <c r="Q12" i="38"/>
  <c r="Q52" i="38" s="1"/>
  <c r="I16" i="38"/>
  <c r="O13" i="38"/>
  <c r="O53" i="38" s="1"/>
  <c r="D19" i="38"/>
  <c r="M14" i="38"/>
  <c r="M54" i="38" s="1"/>
  <c r="G12" i="37"/>
  <c r="N10" i="37"/>
  <c r="J11" i="37"/>
  <c r="O10" i="37"/>
  <c r="K11" i="37"/>
  <c r="D15" i="37"/>
  <c r="D25" i="38"/>
  <c r="S17" i="38"/>
  <c r="S57" i="38" s="1"/>
  <c r="M20" i="38"/>
  <c r="M60" i="38" s="1"/>
  <c r="I22" i="38"/>
  <c r="K21" i="38"/>
  <c r="K61" i="38" s="1"/>
  <c r="Q18" i="38"/>
  <c r="Q58" i="38" s="1"/>
  <c r="O19" i="38"/>
  <c r="O59" i="38" s="1"/>
  <c r="O8" i="37"/>
  <c r="G10" i="37"/>
  <c r="J9" i="37"/>
  <c r="D13" i="37"/>
  <c r="K9" i="37"/>
  <c r="N8" i="37"/>
  <c r="I6" i="39"/>
  <c r="D9" i="39"/>
  <c r="O20" i="39"/>
  <c r="O60" i="39" s="1"/>
  <c r="D26" i="39"/>
  <c r="I23" i="39"/>
  <c r="S18" i="39"/>
  <c r="S58" i="39" s="1"/>
  <c r="Q19" i="39"/>
  <c r="Q59" i="39" s="1"/>
  <c r="K22" i="39"/>
  <c r="K62" i="39" s="1"/>
  <c r="M21" i="39"/>
  <c r="M61" i="39" s="1"/>
  <c r="K6" i="35"/>
  <c r="K46" i="35" s="1"/>
  <c r="I7" i="35"/>
  <c r="D10" i="35"/>
  <c r="O24" i="35"/>
  <c r="O64" i="35" s="1"/>
  <c r="S22" i="35"/>
  <c r="S62" i="35" s="1"/>
  <c r="K26" i="35"/>
  <c r="K66" i="35" s="1"/>
  <c r="M25" i="35"/>
  <c r="M65" i="35" s="1"/>
  <c r="I27" i="35"/>
  <c r="Q23" i="35"/>
  <c r="Q63" i="35" s="1"/>
  <c r="D30" i="35"/>
  <c r="D19" i="37"/>
  <c r="K15" i="37"/>
  <c r="N14" i="37"/>
  <c r="J15" i="37"/>
  <c r="O14" i="37"/>
  <c r="I110" i="38"/>
  <c r="Q24" i="39"/>
  <c r="Q64" i="39" s="1"/>
  <c r="M26" i="39"/>
  <c r="M66" i="39" s="1"/>
  <c r="S23" i="39"/>
  <c r="S63" i="39" s="1"/>
  <c r="K27" i="39"/>
  <c r="K67" i="39" s="1"/>
  <c r="I28" i="39"/>
  <c r="O25" i="39"/>
  <c r="O65" i="39" s="1"/>
  <c r="D31" i="39"/>
  <c r="I108" i="38"/>
  <c r="L76" i="37"/>
  <c r="H76" i="37"/>
  <c r="AC36" i="37"/>
  <c r="P76" i="37"/>
  <c r="Z76" i="37"/>
  <c r="X76" i="37"/>
  <c r="W76" i="37"/>
  <c r="V76" i="37"/>
  <c r="S76" i="37"/>
  <c r="R76" i="37"/>
  <c r="T76" i="37"/>
  <c r="O76" i="37"/>
  <c r="N76" i="37"/>
  <c r="M6" i="24"/>
  <c r="Q8" i="35"/>
  <c r="Q48" i="35" s="1"/>
  <c r="S7" i="35"/>
  <c r="S47" i="35" s="1"/>
  <c r="K11" i="35"/>
  <c r="K51" i="35" s="1"/>
  <c r="I12" i="35"/>
  <c r="D15" i="35"/>
  <c r="O9" i="35"/>
  <c r="O49" i="35" s="1"/>
  <c r="M10" i="35"/>
  <c r="M50" i="35" s="1"/>
  <c r="D32" i="35"/>
  <c r="S24" i="35"/>
  <c r="S64" i="35" s="1"/>
  <c r="M27" i="35"/>
  <c r="M67" i="35" s="1"/>
  <c r="O26" i="35"/>
  <c r="O66" i="35" s="1"/>
  <c r="I29" i="35"/>
  <c r="K28" i="35"/>
  <c r="K68" i="35" s="1"/>
  <c r="Q25" i="35"/>
  <c r="Q65" i="35" s="1"/>
  <c r="S25" i="39"/>
  <c r="S65" i="39" s="1"/>
  <c r="M28" i="39"/>
  <c r="M68" i="39" s="1"/>
  <c r="O27" i="39"/>
  <c r="O67" i="39" s="1"/>
  <c r="Q26" i="39"/>
  <c r="Q66" i="39" s="1"/>
  <c r="I30" i="39"/>
  <c r="D33" i="39"/>
  <c r="K29" i="39"/>
  <c r="K69" i="39" s="1"/>
  <c r="Q12" i="39"/>
  <c r="Q52" i="39" s="1"/>
  <c r="S11" i="39"/>
  <c r="S51" i="39" s="1"/>
  <c r="O13" i="39"/>
  <c r="O53" i="39" s="1"/>
  <c r="D19" i="39"/>
  <c r="K15" i="39"/>
  <c r="K55" i="39" s="1"/>
  <c r="M14" i="39"/>
  <c r="M54" i="39" s="1"/>
  <c r="I16" i="39"/>
  <c r="I56" i="39" s="1"/>
  <c r="S6" i="39"/>
  <c r="S46" i="39" s="1"/>
  <c r="D14" i="39"/>
  <c r="Q7" i="39"/>
  <c r="Q47" i="39" s="1"/>
  <c r="K10" i="39"/>
  <c r="K50" i="39" s="1"/>
  <c r="O8" i="39"/>
  <c r="O48" i="39" s="1"/>
  <c r="M9" i="39"/>
  <c r="M49" i="39" s="1"/>
  <c r="I11" i="39"/>
  <c r="F35" i="39"/>
  <c r="G35" i="39" s="1"/>
  <c r="V35" i="39"/>
  <c r="T75" i="39"/>
  <c r="Q18" i="35"/>
  <c r="Q58" i="35" s="1"/>
  <c r="M20" i="35"/>
  <c r="M60" i="35" s="1"/>
  <c r="O19" i="35"/>
  <c r="O59" i="35" s="1"/>
  <c r="S17" i="35"/>
  <c r="S57" i="35" s="1"/>
  <c r="K21" i="35"/>
  <c r="K61" i="35" s="1"/>
  <c r="D25" i="35"/>
  <c r="I22" i="35"/>
  <c r="K8" i="35"/>
  <c r="K48" i="35" s="1"/>
  <c r="O6" i="35"/>
  <c r="O46" i="35" s="1"/>
  <c r="D12" i="35"/>
  <c r="I9" i="35"/>
  <c r="M7" i="35"/>
  <c r="M47" i="35" s="1"/>
  <c r="K14" i="37"/>
  <c r="N13" i="37"/>
  <c r="J14" i="37"/>
  <c r="O13" i="37"/>
  <c r="G15" i="37"/>
  <c r="D18" i="37"/>
  <c r="O30" i="37"/>
  <c r="J31" i="37"/>
  <c r="N30" i="37"/>
  <c r="K31" i="37"/>
  <c r="G32" i="37"/>
  <c r="D35" i="37"/>
  <c r="K6" i="39"/>
  <c r="K46" i="39" s="1"/>
  <c r="D10" i="39"/>
  <c r="I7" i="39"/>
  <c r="S22" i="39"/>
  <c r="S62" i="39" s="1"/>
  <c r="O24" i="39"/>
  <c r="O64" i="39" s="1"/>
  <c r="K26" i="39"/>
  <c r="K66" i="39" s="1"/>
  <c r="M25" i="39"/>
  <c r="M65" i="39" s="1"/>
  <c r="I27" i="39"/>
  <c r="D30" i="39"/>
  <c r="Q23" i="39"/>
  <c r="Q63" i="39" s="1"/>
  <c r="W30" i="37"/>
  <c r="X30" i="37"/>
  <c r="R31" i="37"/>
  <c r="S31" i="37"/>
  <c r="V30" i="37"/>
  <c r="T31" i="37"/>
  <c r="Z29" i="37"/>
  <c r="K14" i="35"/>
  <c r="K54" i="35" s="1"/>
  <c r="S10" i="35"/>
  <c r="S50" i="35" s="1"/>
  <c r="O12" i="35"/>
  <c r="O52" i="35" s="1"/>
  <c r="D18" i="35"/>
  <c r="Q11" i="35"/>
  <c r="Q51" i="35" s="1"/>
  <c r="M13" i="35"/>
  <c r="M53" i="35" s="1"/>
  <c r="I15" i="35"/>
  <c r="I55" i="35" s="1"/>
  <c r="Z14" i="37"/>
  <c r="W15" i="37"/>
  <c r="X15" i="37"/>
  <c r="V15" i="37"/>
  <c r="K12" i="37"/>
  <c r="D16" i="37"/>
  <c r="G13" i="37"/>
  <c r="J12" i="37"/>
  <c r="O11" i="37"/>
  <c r="N11" i="37"/>
  <c r="K29" i="37"/>
  <c r="J29" i="37"/>
  <c r="O28" i="37"/>
  <c r="G30" i="37"/>
  <c r="D33" i="37"/>
  <c r="N28" i="37"/>
  <c r="G14" i="37"/>
  <c r="O12" i="37"/>
  <c r="D17" i="37"/>
  <c r="J13" i="37"/>
  <c r="N12" i="37"/>
  <c r="K13" i="37"/>
  <c r="O23" i="37"/>
  <c r="N23" i="37"/>
  <c r="G25" i="37"/>
  <c r="K24" i="37"/>
  <c r="D28" i="37"/>
  <c r="J24" i="37"/>
  <c r="G11" i="37"/>
  <c r="D14" i="37"/>
  <c r="O9" i="37"/>
  <c r="J10" i="37"/>
  <c r="K10" i="37"/>
  <c r="N9" i="37"/>
  <c r="S30" i="37"/>
  <c r="R30" i="37"/>
  <c r="Z28" i="37"/>
  <c r="V29" i="37"/>
  <c r="T30" i="37"/>
  <c r="W29" i="37"/>
  <c r="X29" i="37"/>
  <c r="D26" i="37"/>
  <c r="G23" i="37"/>
  <c r="J22" i="37"/>
  <c r="K22" i="37"/>
  <c r="O21" i="37"/>
  <c r="N21" i="37"/>
  <c r="I9" i="38"/>
  <c r="K8" i="38"/>
  <c r="K48" i="38" s="1"/>
  <c r="D12" i="38"/>
  <c r="O6" i="38"/>
  <c r="O46" i="38" s="1"/>
  <c r="M7" i="38"/>
  <c r="M47" i="38" s="1"/>
  <c r="S9" i="38"/>
  <c r="S49" i="38" s="1"/>
  <c r="I14" i="38"/>
  <c r="Q10" i="38"/>
  <c r="Q50" i="38" s="1"/>
  <c r="D17" i="38"/>
  <c r="K13" i="38"/>
  <c r="K53" i="38" s="1"/>
  <c r="M12" i="38"/>
  <c r="M52" i="38" s="1"/>
  <c r="O11" i="38"/>
  <c r="O51" i="38" s="1"/>
  <c r="K30" i="38"/>
  <c r="K70" i="38" s="1"/>
  <c r="D34" i="38"/>
  <c r="Q27" i="38"/>
  <c r="Q67" i="38" s="1"/>
  <c r="I31" i="38"/>
  <c r="M29" i="38"/>
  <c r="M69" i="38" s="1"/>
  <c r="S26" i="38"/>
  <c r="S66" i="38" s="1"/>
  <c r="O28" i="38"/>
  <c r="O68" i="38" s="1"/>
  <c r="K7" i="38"/>
  <c r="K47" i="38" s="1"/>
  <c r="M6" i="38"/>
  <c r="M46" i="38" s="1"/>
  <c r="I8" i="38"/>
  <c r="D11" i="38"/>
  <c r="M18" i="35"/>
  <c r="M58" i="35" s="1"/>
  <c r="K19" i="35"/>
  <c r="K59" i="35" s="1"/>
  <c r="S15" i="35"/>
  <c r="S55" i="35" s="1"/>
  <c r="D23" i="35"/>
  <c r="O17" i="35"/>
  <c r="O57" i="35" s="1"/>
  <c r="Q16" i="35"/>
  <c r="Q56" i="35" s="1"/>
  <c r="I20" i="35"/>
  <c r="E34" i="37"/>
  <c r="R74" i="37" s="1"/>
  <c r="D18" i="39"/>
  <c r="K14" i="39"/>
  <c r="K54" i="39" s="1"/>
  <c r="M13" i="39"/>
  <c r="M53" i="39" s="1"/>
  <c r="O12" i="39"/>
  <c r="O52" i="39" s="1"/>
  <c r="Q11" i="39"/>
  <c r="Q51" i="39" s="1"/>
  <c r="S10" i="39"/>
  <c r="S50" i="39" s="1"/>
  <c r="I15" i="39"/>
  <c r="I55" i="39" s="1"/>
  <c r="O75" i="37"/>
  <c r="T76" i="35"/>
  <c r="I110" i="35" s="1"/>
  <c r="F36" i="35"/>
  <c r="G36" i="35" s="1"/>
  <c r="V36" i="35"/>
  <c r="J76" i="37"/>
  <c r="M16" i="38"/>
  <c r="M56" i="38" s="1"/>
  <c r="I18" i="38"/>
  <c r="S13" i="38"/>
  <c r="S53" i="38" s="1"/>
  <c r="Q14" i="38"/>
  <c r="Q54" i="38" s="1"/>
  <c r="D21" i="38"/>
  <c r="O15" i="38"/>
  <c r="O55" i="38" s="1"/>
  <c r="K17" i="38"/>
  <c r="K57" i="38" s="1"/>
  <c r="D15" i="38"/>
  <c r="M10" i="38"/>
  <c r="M50" i="38" s="1"/>
  <c r="I12" i="38"/>
  <c r="K11" i="38"/>
  <c r="K51" i="38" s="1"/>
  <c r="O9" i="38"/>
  <c r="O49" i="38" s="1"/>
  <c r="Q8" i="38"/>
  <c r="Q48" i="38" s="1"/>
  <c r="S7" i="38"/>
  <c r="S47" i="38" s="1"/>
  <c r="S24" i="38"/>
  <c r="S64" i="38" s="1"/>
  <c r="O26" i="38"/>
  <c r="O66" i="38" s="1"/>
  <c r="I29" i="38"/>
  <c r="M27" i="38"/>
  <c r="M67" i="38" s="1"/>
  <c r="K28" i="38"/>
  <c r="K68" i="38" s="1"/>
  <c r="D32" i="38"/>
  <c r="Q25" i="38"/>
  <c r="Q65" i="38" s="1"/>
  <c r="Q9" i="35"/>
  <c r="Q49" i="35" s="1"/>
  <c r="I13" i="35"/>
  <c r="D16" i="35"/>
  <c r="S8" i="35"/>
  <c r="S48" i="35" s="1"/>
  <c r="M11" i="35"/>
  <c r="M51" i="35" s="1"/>
  <c r="O10" i="35"/>
  <c r="O50" i="35" s="1"/>
  <c r="K12" i="35"/>
  <c r="K52" i="35" s="1"/>
  <c r="Q20" i="38"/>
  <c r="Q60" i="38" s="1"/>
  <c r="M22" i="38"/>
  <c r="M62" i="38" s="1"/>
  <c r="S19" i="38"/>
  <c r="S59" i="38" s="1"/>
  <c r="I24" i="38"/>
  <c r="D27" i="38"/>
  <c r="K23" i="38"/>
  <c r="K63" i="38" s="1"/>
  <c r="O21" i="38"/>
  <c r="O61" i="38" s="1"/>
  <c r="I10" i="38"/>
  <c r="D13" i="38"/>
  <c r="Q6" i="38"/>
  <c r="Q46" i="38" s="1"/>
  <c r="K9" i="38"/>
  <c r="K49" i="38" s="1"/>
  <c r="M8" i="38"/>
  <c r="M48" i="38" s="1"/>
  <c r="O7" i="38"/>
  <c r="O47" i="38" s="1"/>
  <c r="E33" i="37"/>
  <c r="T73" i="37" s="1"/>
  <c r="K21" i="39"/>
  <c r="K61" i="39" s="1"/>
  <c r="Q18" i="39"/>
  <c r="Q58" i="39" s="1"/>
  <c r="S17" i="39"/>
  <c r="S57" i="39" s="1"/>
  <c r="D25" i="39"/>
  <c r="I22" i="39"/>
  <c r="O19" i="39"/>
  <c r="O59" i="39" s="1"/>
  <c r="M20" i="39"/>
  <c r="M60" i="39" s="1"/>
  <c r="K8" i="39"/>
  <c r="K48" i="39" s="1"/>
  <c r="O6" i="39"/>
  <c r="O46" i="39" s="1"/>
  <c r="D12" i="39"/>
  <c r="M7" i="39"/>
  <c r="M47" i="39" s="1"/>
  <c r="I9" i="39"/>
  <c r="I73" i="38"/>
  <c r="E33" i="38"/>
  <c r="Q10" i="35"/>
  <c r="Q50" i="35" s="1"/>
  <c r="S9" i="35"/>
  <c r="S49" i="35" s="1"/>
  <c r="K13" i="35"/>
  <c r="K53" i="35" s="1"/>
  <c r="I14" i="35"/>
  <c r="O11" i="35"/>
  <c r="O51" i="35" s="1"/>
  <c r="D17" i="35"/>
  <c r="M12" i="35"/>
  <c r="M52" i="35" s="1"/>
  <c r="I31" i="35"/>
  <c r="K30" i="35"/>
  <c r="K70" i="35" s="1"/>
  <c r="M29" i="35"/>
  <c r="M69" i="35" s="1"/>
  <c r="Q27" i="35"/>
  <c r="Q67" i="35" s="1"/>
  <c r="D34" i="35"/>
  <c r="S26" i="35"/>
  <c r="S66" i="35" s="1"/>
  <c r="O28" i="35"/>
  <c r="O68" i="35" s="1"/>
  <c r="M6" i="35"/>
  <c r="M46" i="35" s="1"/>
  <c r="I8" i="35"/>
  <c r="D11" i="35"/>
  <c r="K7" i="35"/>
  <c r="K47" i="35" s="1"/>
  <c r="G21" i="37"/>
  <c r="D24" i="37"/>
  <c r="W14" i="37"/>
  <c r="R15" i="37"/>
  <c r="X14" i="37"/>
  <c r="S15" i="37"/>
  <c r="T15" i="37"/>
  <c r="Z13" i="37"/>
  <c r="V14" i="37"/>
  <c r="Q14" i="35"/>
  <c r="Q54" i="35" s="1"/>
  <c r="O15" i="35"/>
  <c r="O55" i="35" s="1"/>
  <c r="M16" i="35"/>
  <c r="M56" i="35" s="1"/>
  <c r="S13" i="35"/>
  <c r="S53" i="35" s="1"/>
  <c r="K17" i="35"/>
  <c r="K57" i="35" s="1"/>
  <c r="D21" i="35"/>
  <c r="I18" i="35"/>
  <c r="I58" i="35" s="1"/>
  <c r="S7" i="39"/>
  <c r="S47" i="39" s="1"/>
  <c r="M10" i="39"/>
  <c r="M50" i="39" s="1"/>
  <c r="I12" i="39"/>
  <c r="D15" i="39"/>
  <c r="Q8" i="39"/>
  <c r="Q48" i="39" s="1"/>
  <c r="K11" i="39"/>
  <c r="K51" i="39" s="1"/>
  <c r="O9" i="39"/>
  <c r="O49" i="39" s="1"/>
  <c r="O26" i="39"/>
  <c r="O66" i="39" s="1"/>
  <c r="Q25" i="39"/>
  <c r="Q65" i="39" s="1"/>
  <c r="D32" i="39"/>
  <c r="S24" i="39"/>
  <c r="S64" i="39" s="1"/>
  <c r="I29" i="39"/>
  <c r="M27" i="39"/>
  <c r="M67" i="39" s="1"/>
  <c r="K28" i="39"/>
  <c r="K68" i="39" s="1"/>
  <c r="K12" i="38"/>
  <c r="K52" i="38" s="1"/>
  <c r="Q9" i="38"/>
  <c r="Q49" i="38" s="1"/>
  <c r="M11" i="38"/>
  <c r="M51" i="38" s="1"/>
  <c r="S8" i="38"/>
  <c r="S48" i="38" s="1"/>
  <c r="I13" i="38"/>
  <c r="D16" i="38"/>
  <c r="O10" i="38"/>
  <c r="O50" i="38" s="1"/>
  <c r="Q20" i="35"/>
  <c r="Q60" i="35" s="1"/>
  <c r="I24" i="35"/>
  <c r="S19" i="35"/>
  <c r="S59" i="35" s="1"/>
  <c r="K23" i="35"/>
  <c r="K63" i="35" s="1"/>
  <c r="D27" i="35"/>
  <c r="M22" i="35"/>
  <c r="M62" i="35" s="1"/>
  <c r="O21" i="35"/>
  <c r="O61" i="35" s="1"/>
  <c r="O7" i="35"/>
  <c r="O47" i="35" s="1"/>
  <c r="Q6" i="35"/>
  <c r="Q46" i="35" s="1"/>
  <c r="I10" i="35"/>
  <c r="D13" i="35"/>
  <c r="M8" i="35"/>
  <c r="M48" i="35" s="1"/>
  <c r="K9" i="35"/>
  <c r="K49" i="35" s="1"/>
  <c r="S20" i="35"/>
  <c r="S60" i="35" s="1"/>
  <c r="M23" i="35"/>
  <c r="M63" i="35" s="1"/>
  <c r="O22" i="35"/>
  <c r="O62" i="35" s="1"/>
  <c r="I25" i="35"/>
  <c r="D28" i="35"/>
  <c r="K24" i="35"/>
  <c r="K64" i="35" s="1"/>
  <c r="Q21" i="35"/>
  <c r="Q61" i="35" s="1"/>
  <c r="I72" i="35"/>
  <c r="E32" i="35"/>
  <c r="Q10" i="39"/>
  <c r="Q50" i="39" s="1"/>
  <c r="S9" i="39"/>
  <c r="S49" i="39" s="1"/>
  <c r="O11" i="39"/>
  <c r="O51" i="39" s="1"/>
  <c r="K13" i="39"/>
  <c r="K53" i="39" s="1"/>
  <c r="I14" i="39"/>
  <c r="M12" i="39"/>
  <c r="M52" i="39" s="1"/>
  <c r="D17" i="39"/>
  <c r="D34" i="39"/>
  <c r="K30" i="39"/>
  <c r="K70" i="39" s="1"/>
  <c r="O28" i="39"/>
  <c r="O68" i="39" s="1"/>
  <c r="Q27" i="39"/>
  <c r="Q67" i="39" s="1"/>
  <c r="I31" i="39"/>
  <c r="S26" i="39"/>
  <c r="S66" i="39" s="1"/>
  <c r="M29" i="39"/>
  <c r="M69" i="39" s="1"/>
  <c r="D12" i="37"/>
  <c r="J8" i="37"/>
  <c r="O7" i="37"/>
  <c r="N7" i="37"/>
  <c r="K8" i="37"/>
  <c r="G9" i="37"/>
  <c r="O17" i="38"/>
  <c r="O57" i="38" s="1"/>
  <c r="M18" i="38"/>
  <c r="M58" i="38" s="1"/>
  <c r="K19" i="38"/>
  <c r="K59" i="38" s="1"/>
  <c r="Q16" i="38"/>
  <c r="Q56" i="38" s="1"/>
  <c r="I20" i="38"/>
  <c r="D23" i="38"/>
  <c r="S15" i="38"/>
  <c r="S55" i="38" s="1"/>
  <c r="I72" i="38"/>
  <c r="E32" i="38"/>
  <c r="R77" i="37"/>
  <c r="Z77" i="37"/>
  <c r="L77" i="37"/>
  <c r="AC37" i="37"/>
  <c r="W77" i="37"/>
  <c r="V77" i="37"/>
  <c r="H77" i="37"/>
  <c r="P77" i="37"/>
  <c r="X77" i="37"/>
  <c r="T77" i="37"/>
  <c r="S77" i="37"/>
  <c r="N77" i="37"/>
  <c r="O77" i="37"/>
  <c r="K77" i="37"/>
  <c r="J77" i="37"/>
  <c r="O14" i="35"/>
  <c r="O54" i="35" s="1"/>
  <c r="D20" i="35"/>
  <c r="S12" i="35"/>
  <c r="S52" i="35" s="1"/>
  <c r="Q13" i="35"/>
  <c r="Q53" i="35" s="1"/>
  <c r="I17" i="35"/>
  <c r="I57" i="35" s="1"/>
  <c r="K16" i="35"/>
  <c r="K56" i="35" s="1"/>
  <c r="M15" i="35"/>
  <c r="M55" i="35" s="1"/>
  <c r="M24" i="38"/>
  <c r="M64" i="38" s="1"/>
  <c r="D29" i="38"/>
  <c r="S21" i="38"/>
  <c r="S61" i="38" s="1"/>
  <c r="O23" i="38"/>
  <c r="O63" i="38" s="1"/>
  <c r="Q22" i="38"/>
  <c r="Q62" i="38" s="1"/>
  <c r="K25" i="38"/>
  <c r="K65" i="38" s="1"/>
  <c r="I26" i="38"/>
  <c r="S13" i="39"/>
  <c r="S53" i="39" s="1"/>
  <c r="Q14" i="39"/>
  <c r="Q54" i="39" s="1"/>
  <c r="M16" i="39"/>
  <c r="M56" i="39" s="1"/>
  <c r="O15" i="39"/>
  <c r="O55" i="39" s="1"/>
  <c r="I18" i="39"/>
  <c r="I58" i="39" s="1"/>
  <c r="K17" i="39"/>
  <c r="K57" i="39" s="1"/>
  <c r="D21" i="39"/>
  <c r="V34" i="39"/>
  <c r="F34" i="39"/>
  <c r="G34" i="39" s="1"/>
  <c r="T74" i="39"/>
  <c r="I73" i="39"/>
  <c r="E33" i="39"/>
  <c r="M19" i="38"/>
  <c r="M59" i="38" s="1"/>
  <c r="O18" i="38"/>
  <c r="O58" i="38" s="1"/>
  <c r="Q17" i="38"/>
  <c r="Q57" i="38" s="1"/>
  <c r="D24" i="38"/>
  <c r="S16" i="38"/>
  <c r="S56" i="38" s="1"/>
  <c r="I21" i="38"/>
  <c r="K20" i="38"/>
  <c r="K60" i="38" s="1"/>
  <c r="I13" i="39"/>
  <c r="Q9" i="39"/>
  <c r="Q49" i="39" s="1"/>
  <c r="O10" i="39"/>
  <c r="O50" i="39" s="1"/>
  <c r="K12" i="39"/>
  <c r="K52" i="39" s="1"/>
  <c r="M11" i="39"/>
  <c r="M51" i="39" s="1"/>
  <c r="S8" i="39"/>
  <c r="S48" i="39" s="1"/>
  <c r="D16" i="39"/>
  <c r="K23" i="39"/>
  <c r="K63" i="39" s="1"/>
  <c r="S19" i="39"/>
  <c r="S59" i="39" s="1"/>
  <c r="O21" i="39"/>
  <c r="O61" i="39" s="1"/>
  <c r="M22" i="39"/>
  <c r="M62" i="39" s="1"/>
  <c r="D27" i="39"/>
  <c r="I24" i="39"/>
  <c r="Q20" i="39"/>
  <c r="Q60" i="39" s="1"/>
  <c r="Q6" i="39"/>
  <c r="Q46" i="39" s="1"/>
  <c r="D13" i="39"/>
  <c r="I10" i="39"/>
  <c r="K9" i="39"/>
  <c r="K49" i="39" s="1"/>
  <c r="O7" i="39"/>
  <c r="O47" i="39" s="1"/>
  <c r="M8" i="39"/>
  <c r="M48" i="39" s="1"/>
  <c r="I73" i="35"/>
  <c r="E33" i="35"/>
  <c r="F36" i="39"/>
  <c r="G36" i="39" s="1"/>
  <c r="V36" i="39"/>
  <c r="T76" i="39"/>
  <c r="G26" i="37"/>
  <c r="D29" i="37"/>
  <c r="O24" i="37"/>
  <c r="N24" i="37"/>
  <c r="K25" i="37"/>
  <c r="J25" i="37"/>
  <c r="R75" i="37"/>
  <c r="AC35" i="37"/>
  <c r="P75" i="37"/>
  <c r="L75" i="37"/>
  <c r="H75" i="37"/>
  <c r="Z75" i="37"/>
  <c r="W75" i="37"/>
  <c r="X75" i="37"/>
  <c r="V75" i="37"/>
  <c r="S75" i="37"/>
  <c r="T75" i="37"/>
  <c r="G7" i="37"/>
  <c r="D10" i="37"/>
  <c r="O22" i="37"/>
  <c r="N22" i="37"/>
  <c r="K23" i="37"/>
  <c r="J23" i="37"/>
  <c r="G24" i="37"/>
  <c r="D27" i="37"/>
  <c r="M6" i="39"/>
  <c r="M46" i="39" s="1"/>
  <c r="I8" i="39"/>
  <c r="D11" i="39"/>
  <c r="K7" i="39"/>
  <c r="K47" i="39" s="1"/>
  <c r="Q16" i="39"/>
  <c r="Q56" i="39" s="1"/>
  <c r="S15" i="39"/>
  <c r="S55" i="39" s="1"/>
  <c r="I20" i="39"/>
  <c r="K19" i="39"/>
  <c r="K59" i="39" s="1"/>
  <c r="D23" i="39"/>
  <c r="M18" i="39"/>
  <c r="M58" i="39" s="1"/>
  <c r="O17" i="39"/>
  <c r="O57" i="39" s="1"/>
  <c r="J75" i="37"/>
  <c r="M15" i="38"/>
  <c r="M55" i="38" s="1"/>
  <c r="Q13" i="38"/>
  <c r="Q53" i="38" s="1"/>
  <c r="D20" i="38"/>
  <c r="S12" i="38"/>
  <c r="S52" i="38" s="1"/>
  <c r="I17" i="38"/>
  <c r="K16" i="38"/>
  <c r="K56" i="38" s="1"/>
  <c r="O14" i="38"/>
  <c r="O54" i="38" s="1"/>
  <c r="T74" i="35"/>
  <c r="V34" i="35"/>
  <c r="F34" i="35"/>
  <c r="G34" i="35" s="1"/>
  <c r="O27" i="37"/>
  <c r="N27" i="37"/>
  <c r="K28" i="37"/>
  <c r="D32" i="37"/>
  <c r="G29" i="37"/>
  <c r="J28" i="37"/>
  <c r="S21" i="35"/>
  <c r="S61" i="35" s="1"/>
  <c r="I26" i="35"/>
  <c r="Q22" i="35"/>
  <c r="Q62" i="35" s="1"/>
  <c r="O23" i="35"/>
  <c r="O63" i="35" s="1"/>
  <c r="M24" i="35"/>
  <c r="M64" i="35" s="1"/>
  <c r="D29" i="35"/>
  <c r="K25" i="35"/>
  <c r="K65" i="35" s="1"/>
  <c r="V73" i="37"/>
  <c r="Q7" i="24"/>
  <c r="O8" i="24"/>
  <c r="M9" i="24"/>
  <c r="S6" i="24"/>
  <c r="M13" i="24"/>
  <c r="O12" i="24"/>
  <c r="S10" i="24"/>
  <c r="Q11" i="24"/>
  <c r="S18" i="24"/>
  <c r="O20" i="24"/>
  <c r="Q19" i="24"/>
  <c r="M21" i="24"/>
  <c r="Q6" i="24"/>
  <c r="O7" i="24"/>
  <c r="M8" i="24"/>
  <c r="Q8" i="24"/>
  <c r="S7" i="24"/>
  <c r="O9" i="24"/>
  <c r="M10" i="24"/>
  <c r="M19" i="24"/>
  <c r="S16" i="24"/>
  <c r="O18" i="24"/>
  <c r="Q17" i="24"/>
  <c r="M12" i="24"/>
  <c r="O11" i="24"/>
  <c r="S9" i="24"/>
  <c r="Q10" i="24"/>
  <c r="M18" i="24"/>
  <c r="S15" i="24"/>
  <c r="O17" i="24"/>
  <c r="Q16" i="24"/>
  <c r="S11" i="24"/>
  <c r="M14" i="24"/>
  <c r="O13" i="24"/>
  <c r="Q12" i="24"/>
  <c r="M7" i="24"/>
  <c r="O6" i="24"/>
  <c r="O10" i="24"/>
  <c r="Q9" i="24"/>
  <c r="M11" i="24"/>
  <c r="S8" i="24"/>
  <c r="S12" i="24"/>
  <c r="O14" i="24"/>
  <c r="Q13" i="24"/>
  <c r="M15" i="24"/>
  <c r="M16" i="24"/>
  <c r="Q14" i="24"/>
  <c r="S13" i="24"/>
  <c r="O15" i="24"/>
  <c r="M20" i="24"/>
  <c r="S17" i="24"/>
  <c r="O19" i="24"/>
  <c r="Q18" i="24"/>
  <c r="U34" i="24"/>
  <c r="U18" i="24"/>
  <c r="K14" i="24"/>
  <c r="I15" i="24"/>
  <c r="U19" i="24"/>
  <c r="K15" i="24"/>
  <c r="I16" i="24"/>
  <c r="U10" i="24"/>
  <c r="I7" i="24"/>
  <c r="K6" i="24"/>
  <c r="U15" i="24"/>
  <c r="K11" i="24"/>
  <c r="I12" i="24"/>
  <c r="U12" i="24"/>
  <c r="K8" i="24"/>
  <c r="I9" i="24"/>
  <c r="U16" i="24"/>
  <c r="K12" i="24"/>
  <c r="I13" i="24"/>
  <c r="U20" i="24"/>
  <c r="K16" i="24"/>
  <c r="I17" i="24"/>
  <c r="U30" i="24"/>
  <c r="U23" i="24"/>
  <c r="K19" i="24"/>
  <c r="I20" i="24"/>
  <c r="U11" i="24"/>
  <c r="K7" i="24"/>
  <c r="I8" i="24"/>
  <c r="U24" i="24"/>
  <c r="I21" i="24"/>
  <c r="K20" i="24"/>
  <c r="U31" i="24"/>
  <c r="U28" i="24"/>
  <c r="U17" i="24"/>
  <c r="K13" i="24"/>
  <c r="I14" i="24"/>
  <c r="U21" i="24"/>
  <c r="K17" i="24"/>
  <c r="I18" i="24"/>
  <c r="U32" i="24"/>
  <c r="U14" i="24"/>
  <c r="I11" i="24"/>
  <c r="K10" i="24"/>
  <c r="U29" i="24"/>
  <c r="U25" i="24"/>
  <c r="K21" i="24"/>
  <c r="I22" i="24"/>
  <c r="U9" i="24"/>
  <c r="I6" i="24"/>
  <c r="U13" i="24"/>
  <c r="K9" i="24"/>
  <c r="I10" i="24"/>
  <c r="U26" i="24"/>
  <c r="K22" i="24"/>
  <c r="I23" i="24"/>
  <c r="U33" i="24"/>
  <c r="E34" i="24"/>
  <c r="T74" i="24" s="1"/>
  <c r="V35" i="24"/>
  <c r="T75" i="24"/>
  <c r="F36" i="24"/>
  <c r="G36" i="24" s="1"/>
  <c r="V36" i="24"/>
  <c r="I110" i="24"/>
  <c r="E33" i="24"/>
  <c r="T73" i="24" s="1"/>
  <c r="I73" i="24"/>
  <c r="F35" i="24"/>
  <c r="G35" i="24" s="1"/>
  <c r="E32" i="24"/>
  <c r="U27" i="24"/>
  <c r="U6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3" i="24"/>
  <c r="D24" i="24"/>
  <c r="D25" i="24"/>
  <c r="D26" i="24"/>
  <c r="X73" i="37" l="1"/>
  <c r="AC75" i="37"/>
  <c r="AA76" i="37"/>
  <c r="AD75" i="37"/>
  <c r="T74" i="37"/>
  <c r="G74" i="37"/>
  <c r="V33" i="35"/>
  <c r="F33" i="35"/>
  <c r="G33" i="35" s="1"/>
  <c r="T73" i="35"/>
  <c r="I107" i="35" s="1"/>
  <c r="I61" i="38"/>
  <c r="E21" i="38"/>
  <c r="AD77" i="37"/>
  <c r="I60" i="38"/>
  <c r="E20" i="38"/>
  <c r="I65" i="35"/>
  <c r="E25" i="35"/>
  <c r="R73" i="37"/>
  <c r="G73" i="37"/>
  <c r="E15" i="37"/>
  <c r="K55" i="37" s="1"/>
  <c r="T7" i="37"/>
  <c r="S7" i="37"/>
  <c r="R7" i="37"/>
  <c r="I66" i="39"/>
  <c r="E26" i="39"/>
  <c r="K110" i="38"/>
  <c r="Q110" i="38"/>
  <c r="S110" i="38"/>
  <c r="O110" i="38"/>
  <c r="M110" i="38"/>
  <c r="I65" i="39"/>
  <c r="E25" i="39"/>
  <c r="I51" i="38"/>
  <c r="E11" i="38"/>
  <c r="X24" i="37"/>
  <c r="R25" i="37"/>
  <c r="S25" i="37"/>
  <c r="T25" i="37"/>
  <c r="V24" i="37"/>
  <c r="W24" i="37"/>
  <c r="Z23" i="37"/>
  <c r="I46" i="38"/>
  <c r="E6" i="38"/>
  <c r="R26" i="37"/>
  <c r="Z24" i="37"/>
  <c r="T26" i="37"/>
  <c r="V25" i="37"/>
  <c r="W25" i="37"/>
  <c r="X25" i="37"/>
  <c r="S26" i="37"/>
  <c r="I48" i="39"/>
  <c r="E8" i="39"/>
  <c r="I50" i="35"/>
  <c r="E10" i="35"/>
  <c r="I64" i="35"/>
  <c r="E24" i="35"/>
  <c r="H73" i="37"/>
  <c r="L73" i="37"/>
  <c r="AC33" i="37"/>
  <c r="P73" i="37"/>
  <c r="Z73" i="37"/>
  <c r="N73" i="37"/>
  <c r="O73" i="37"/>
  <c r="I52" i="38"/>
  <c r="E12" i="38"/>
  <c r="E27" i="39"/>
  <c r="I67" i="39"/>
  <c r="V28" i="37"/>
  <c r="T29" i="37"/>
  <c r="W28" i="37"/>
  <c r="Z27" i="37"/>
  <c r="X28" i="37"/>
  <c r="R29" i="37"/>
  <c r="S29" i="37"/>
  <c r="E7" i="35"/>
  <c r="I47" i="35"/>
  <c r="J73" i="37"/>
  <c r="I57" i="38"/>
  <c r="I64" i="39"/>
  <c r="E24" i="39"/>
  <c r="O108" i="39"/>
  <c r="S108" i="39"/>
  <c r="Q108" i="39"/>
  <c r="M108" i="39"/>
  <c r="K108" i="39"/>
  <c r="AA75" i="37"/>
  <c r="I48" i="35"/>
  <c r="E8" i="35"/>
  <c r="I71" i="35"/>
  <c r="E31" i="35"/>
  <c r="V33" i="38"/>
  <c r="T73" i="38"/>
  <c r="I107" i="38" s="1"/>
  <c r="F33" i="38"/>
  <c r="G33" i="38" s="1"/>
  <c r="I69" i="38"/>
  <c r="E29" i="38"/>
  <c r="R22" i="37"/>
  <c r="V21" i="37"/>
  <c r="T22" i="37"/>
  <c r="X21" i="37"/>
  <c r="W21" i="37"/>
  <c r="S22" i="37"/>
  <c r="X10" i="37"/>
  <c r="S11" i="37"/>
  <c r="Z9" i="37"/>
  <c r="R11" i="37"/>
  <c r="W10" i="37"/>
  <c r="T11" i="37"/>
  <c r="V10" i="37"/>
  <c r="E32" i="37"/>
  <c r="G72" i="37" s="1"/>
  <c r="I55" i="38"/>
  <c r="I47" i="38"/>
  <c r="E7" i="38"/>
  <c r="T24" i="37"/>
  <c r="X23" i="37"/>
  <c r="R24" i="37"/>
  <c r="Z22" i="37"/>
  <c r="W23" i="37"/>
  <c r="S24" i="37"/>
  <c r="V23" i="37"/>
  <c r="R21" i="37"/>
  <c r="S21" i="37"/>
  <c r="T21" i="37"/>
  <c r="V22" i="37"/>
  <c r="T23" i="37"/>
  <c r="Z21" i="37"/>
  <c r="W22" i="37"/>
  <c r="X22" i="37"/>
  <c r="R23" i="37"/>
  <c r="S23" i="37"/>
  <c r="T72" i="35"/>
  <c r="I106" i="35" s="1"/>
  <c r="F32" i="35"/>
  <c r="G32" i="35" s="1"/>
  <c r="V32" i="35"/>
  <c r="I62" i="39"/>
  <c r="E22" i="39"/>
  <c r="I64" i="38"/>
  <c r="E24" i="38"/>
  <c r="Q110" i="35"/>
  <c r="S110" i="35"/>
  <c r="O110" i="35"/>
  <c r="M110" i="35"/>
  <c r="K110" i="35"/>
  <c r="I62" i="35"/>
  <c r="E22" i="35"/>
  <c r="S109" i="39"/>
  <c r="Q109" i="39"/>
  <c r="O109" i="39"/>
  <c r="M109" i="39"/>
  <c r="K109" i="39"/>
  <c r="I67" i="35"/>
  <c r="E27" i="35"/>
  <c r="E6" i="39"/>
  <c r="I46" i="39"/>
  <c r="S109" i="38"/>
  <c r="Q109" i="38"/>
  <c r="O109" i="38"/>
  <c r="M109" i="38"/>
  <c r="K109" i="38"/>
  <c r="S28" i="37"/>
  <c r="Z26" i="37"/>
  <c r="T28" i="37"/>
  <c r="R28" i="37"/>
  <c r="W27" i="37"/>
  <c r="X27" i="37"/>
  <c r="V27" i="37"/>
  <c r="I60" i="39"/>
  <c r="E20" i="39"/>
  <c r="AC77" i="37"/>
  <c r="V32" i="38"/>
  <c r="F32" i="38"/>
  <c r="G32" i="38" s="1"/>
  <c r="T72" i="38"/>
  <c r="I106" i="38" s="1"/>
  <c r="I54" i="39"/>
  <c r="E14" i="39"/>
  <c r="I69" i="39"/>
  <c r="E29" i="39"/>
  <c r="I49" i="39"/>
  <c r="E9" i="39"/>
  <c r="I53" i="35"/>
  <c r="E13" i="35"/>
  <c r="S73" i="37"/>
  <c r="E31" i="38"/>
  <c r="I71" i="38"/>
  <c r="E28" i="39"/>
  <c r="I68" i="39"/>
  <c r="I109" i="39"/>
  <c r="I68" i="35"/>
  <c r="E28" i="35"/>
  <c r="E6" i="35"/>
  <c r="I46" i="35"/>
  <c r="I109" i="35"/>
  <c r="S109" i="35"/>
  <c r="Q109" i="35"/>
  <c r="O109" i="35"/>
  <c r="M109" i="35"/>
  <c r="K109" i="35"/>
  <c r="I66" i="35"/>
  <c r="E26" i="35"/>
  <c r="I110" i="39"/>
  <c r="S110" i="39"/>
  <c r="Q110" i="39"/>
  <c r="O110" i="39"/>
  <c r="M110" i="39"/>
  <c r="K110" i="39"/>
  <c r="I71" i="39"/>
  <c r="E31" i="39"/>
  <c r="E13" i="38"/>
  <c r="I53" i="38"/>
  <c r="I52" i="39"/>
  <c r="E12" i="39"/>
  <c r="I58" i="38"/>
  <c r="V74" i="37"/>
  <c r="AC34" i="37"/>
  <c r="P74" i="37"/>
  <c r="H74" i="37"/>
  <c r="L74" i="37"/>
  <c r="Z74" i="37"/>
  <c r="W74" i="37"/>
  <c r="X74" i="37"/>
  <c r="J74" i="37"/>
  <c r="N74" i="37"/>
  <c r="O74" i="37"/>
  <c r="K74" i="37"/>
  <c r="I54" i="38"/>
  <c r="E14" i="38"/>
  <c r="I49" i="38"/>
  <c r="E9" i="38"/>
  <c r="I69" i="35"/>
  <c r="E29" i="35"/>
  <c r="E12" i="35"/>
  <c r="I52" i="35"/>
  <c r="S9" i="37"/>
  <c r="Z7" i="37"/>
  <c r="V8" i="37"/>
  <c r="R9" i="37"/>
  <c r="W8" i="37"/>
  <c r="X8" i="37"/>
  <c r="T9" i="37"/>
  <c r="I70" i="35"/>
  <c r="E30" i="35"/>
  <c r="X13" i="37"/>
  <c r="S14" i="37"/>
  <c r="T14" i="37"/>
  <c r="Z12" i="37"/>
  <c r="R14" i="37"/>
  <c r="V13" i="37"/>
  <c r="W13" i="37"/>
  <c r="E23" i="38"/>
  <c r="I63" i="38"/>
  <c r="I65" i="38"/>
  <c r="E25" i="38"/>
  <c r="I51" i="35"/>
  <c r="E11" i="35"/>
  <c r="I108" i="39"/>
  <c r="I50" i="39"/>
  <c r="E10" i="39"/>
  <c r="I53" i="39"/>
  <c r="E13" i="39"/>
  <c r="E26" i="38"/>
  <c r="I66" i="38"/>
  <c r="I54" i="35"/>
  <c r="E14" i="35"/>
  <c r="I60" i="35"/>
  <c r="E20" i="35"/>
  <c r="I48" i="38"/>
  <c r="E8" i="38"/>
  <c r="X26" i="37"/>
  <c r="T27" i="37"/>
  <c r="Z25" i="37"/>
  <c r="R27" i="37"/>
  <c r="W26" i="37"/>
  <c r="V26" i="37"/>
  <c r="S27" i="37"/>
  <c r="E7" i="39"/>
  <c r="I47" i="39"/>
  <c r="I51" i="39"/>
  <c r="E11" i="39"/>
  <c r="I70" i="39"/>
  <c r="E30" i="39"/>
  <c r="AC76" i="37"/>
  <c r="S13" i="37"/>
  <c r="Z11" i="37"/>
  <c r="V12" i="37"/>
  <c r="R13" i="37"/>
  <c r="T13" i="37"/>
  <c r="W12" i="37"/>
  <c r="X12" i="37"/>
  <c r="I56" i="38"/>
  <c r="I61" i="39"/>
  <c r="E21" i="39"/>
  <c r="S108" i="38"/>
  <c r="Q108" i="38"/>
  <c r="O108" i="38"/>
  <c r="K108" i="38"/>
  <c r="M108" i="38"/>
  <c r="I67" i="38"/>
  <c r="E27" i="38"/>
  <c r="I70" i="38"/>
  <c r="E30" i="38"/>
  <c r="S74" i="37"/>
  <c r="E28" i="38"/>
  <c r="I68" i="38"/>
  <c r="V32" i="39"/>
  <c r="F32" i="39"/>
  <c r="G32" i="39" s="1"/>
  <c r="T72" i="39"/>
  <c r="I108" i="35"/>
  <c r="S108" i="35"/>
  <c r="Q108" i="35"/>
  <c r="O108" i="35"/>
  <c r="M108" i="35"/>
  <c r="K108" i="35"/>
  <c r="V33" i="39"/>
  <c r="T73" i="39"/>
  <c r="I107" i="39" s="1"/>
  <c r="F33" i="39"/>
  <c r="G33" i="39" s="1"/>
  <c r="I50" i="38"/>
  <c r="E10" i="38"/>
  <c r="W73" i="37"/>
  <c r="X7" i="37"/>
  <c r="V7" i="37"/>
  <c r="S8" i="37"/>
  <c r="R8" i="37"/>
  <c r="W7" i="37"/>
  <c r="T8" i="37"/>
  <c r="E30" i="37"/>
  <c r="V70" i="37" s="1"/>
  <c r="R10" i="37"/>
  <c r="X9" i="37"/>
  <c r="T10" i="37"/>
  <c r="Z8" i="37"/>
  <c r="V9" i="37"/>
  <c r="W9" i="37"/>
  <c r="S10" i="37"/>
  <c r="Z10" i="37"/>
  <c r="W11" i="37"/>
  <c r="X11" i="37"/>
  <c r="S12" i="37"/>
  <c r="T12" i="37"/>
  <c r="V11" i="37"/>
  <c r="R12" i="37"/>
  <c r="I49" i="35"/>
  <c r="E9" i="35"/>
  <c r="AD76" i="37"/>
  <c r="K73" i="37"/>
  <c r="I63" i="39"/>
  <c r="E23" i="39"/>
  <c r="I62" i="38"/>
  <c r="E22" i="38"/>
  <c r="I63" i="35"/>
  <c r="E23" i="35"/>
  <c r="E31" i="37"/>
  <c r="K71" i="37" s="1"/>
  <c r="E21" i="35"/>
  <c r="I61" i="35"/>
  <c r="AA77" i="37"/>
  <c r="F34" i="24"/>
  <c r="G34" i="24" s="1"/>
  <c r="V34" i="24"/>
  <c r="T72" i="24"/>
  <c r="K106" i="24" s="1"/>
  <c r="M110" i="24"/>
  <c r="O110" i="24"/>
  <c r="Q110" i="24"/>
  <c r="S110" i="24"/>
  <c r="K110" i="24"/>
  <c r="F33" i="24"/>
  <c r="G33" i="24" s="1"/>
  <c r="V33" i="24"/>
  <c r="S107" i="24"/>
  <c r="Q107" i="24"/>
  <c r="M107" i="24"/>
  <c r="K107" i="24"/>
  <c r="O107" i="24"/>
  <c r="S108" i="24"/>
  <c r="Q108" i="24"/>
  <c r="O108" i="24"/>
  <c r="K108" i="24"/>
  <c r="I108" i="24"/>
  <c r="M108" i="24"/>
  <c r="I107" i="24"/>
  <c r="I109" i="24"/>
  <c r="O109" i="24"/>
  <c r="K109" i="24"/>
  <c r="Q109" i="24"/>
  <c r="M109" i="24"/>
  <c r="S109" i="24"/>
  <c r="F32" i="24"/>
  <c r="G32" i="24" s="1"/>
  <c r="V32" i="24"/>
  <c r="T110" i="35" l="1"/>
  <c r="E8" i="37"/>
  <c r="K48" i="37" s="1"/>
  <c r="E21" i="37"/>
  <c r="K61" i="37" s="1"/>
  <c r="T108" i="38"/>
  <c r="E27" i="37"/>
  <c r="AC27" i="37" s="1"/>
  <c r="T110" i="38"/>
  <c r="G70" i="37"/>
  <c r="E14" i="37"/>
  <c r="L54" i="37" s="1"/>
  <c r="G71" i="37"/>
  <c r="E28" i="37"/>
  <c r="J68" i="37" s="1"/>
  <c r="T109" i="38"/>
  <c r="E24" i="37"/>
  <c r="G64" i="37" s="1"/>
  <c r="T109" i="39"/>
  <c r="T55" i="37"/>
  <c r="E25" i="37"/>
  <c r="N65" i="37" s="1"/>
  <c r="E11" i="37"/>
  <c r="J51" i="37" s="1"/>
  <c r="J55" i="37"/>
  <c r="V55" i="37"/>
  <c r="E13" i="37"/>
  <c r="J53" i="37" s="1"/>
  <c r="E9" i="37"/>
  <c r="P49" i="37" s="1"/>
  <c r="O55" i="37"/>
  <c r="N55" i="37"/>
  <c r="W55" i="37"/>
  <c r="X55" i="37"/>
  <c r="E26" i="37"/>
  <c r="T66" i="37" s="1"/>
  <c r="T48" i="37"/>
  <c r="O48" i="37"/>
  <c r="F9" i="35"/>
  <c r="G9" i="35" s="1"/>
  <c r="T49" i="35"/>
  <c r="I83" i="35" s="1"/>
  <c r="V9" i="35"/>
  <c r="T51" i="39"/>
  <c r="I85" i="39" s="1"/>
  <c r="F11" i="39"/>
  <c r="G11" i="39" s="1"/>
  <c r="F20" i="35"/>
  <c r="G20" i="35" s="1"/>
  <c r="T60" i="35"/>
  <c r="V20" i="35"/>
  <c r="T70" i="35"/>
  <c r="V30" i="35"/>
  <c r="F30" i="35"/>
  <c r="G30" i="35" s="1"/>
  <c r="AC74" i="37"/>
  <c r="X70" i="37"/>
  <c r="S106" i="38"/>
  <c r="M106" i="38"/>
  <c r="Q106" i="38"/>
  <c r="O106" i="38"/>
  <c r="K106" i="38"/>
  <c r="V24" i="38"/>
  <c r="T64" i="38"/>
  <c r="I98" i="38" s="1"/>
  <c r="F24" i="38"/>
  <c r="G24" i="38" s="1"/>
  <c r="S106" i="35"/>
  <c r="O106" i="35"/>
  <c r="Q106" i="35"/>
  <c r="M106" i="35"/>
  <c r="K106" i="35"/>
  <c r="F26" i="39"/>
  <c r="G26" i="39" s="1"/>
  <c r="V26" i="39"/>
  <c r="T66" i="39"/>
  <c r="I100" i="39" s="1"/>
  <c r="R55" i="37"/>
  <c r="H55" i="37"/>
  <c r="Z55" i="37"/>
  <c r="AC15" i="37"/>
  <c r="L55" i="37"/>
  <c r="P55" i="37"/>
  <c r="AA73" i="37"/>
  <c r="V27" i="38"/>
  <c r="F27" i="38"/>
  <c r="G27" i="38" s="1"/>
  <c r="T67" i="38"/>
  <c r="T66" i="38"/>
  <c r="I100" i="38" s="1"/>
  <c r="V26" i="38"/>
  <c r="F26" i="38"/>
  <c r="G26" i="38" s="1"/>
  <c r="V29" i="39"/>
  <c r="F29" i="39"/>
  <c r="G29" i="39" s="1"/>
  <c r="T69" i="39"/>
  <c r="I103" i="39" s="1"/>
  <c r="F27" i="35"/>
  <c r="G27" i="35" s="1"/>
  <c r="V27" i="35"/>
  <c r="T67" i="35"/>
  <c r="I101" i="35" s="1"/>
  <c r="S107" i="38"/>
  <c r="Q107" i="38"/>
  <c r="M107" i="38"/>
  <c r="O107" i="38"/>
  <c r="K107" i="38"/>
  <c r="T47" i="35"/>
  <c r="F7" i="35"/>
  <c r="G7" i="35" s="1"/>
  <c r="V7" i="35"/>
  <c r="T67" i="39"/>
  <c r="V27" i="39"/>
  <c r="F27" i="39"/>
  <c r="G27" i="39" s="1"/>
  <c r="V10" i="35"/>
  <c r="T50" i="35"/>
  <c r="F10" i="35"/>
  <c r="G10" i="35" s="1"/>
  <c r="T65" i="35"/>
  <c r="V25" i="35"/>
  <c r="F25" i="35"/>
  <c r="G25" i="35" s="1"/>
  <c r="T61" i="35"/>
  <c r="F21" i="35"/>
  <c r="G21" i="35" s="1"/>
  <c r="V21" i="35"/>
  <c r="T71" i="37"/>
  <c r="H71" i="37"/>
  <c r="L71" i="37"/>
  <c r="P71" i="37"/>
  <c r="AC31" i="37"/>
  <c r="N71" i="37"/>
  <c r="W71" i="37"/>
  <c r="Z71" i="37"/>
  <c r="O71" i="37"/>
  <c r="V71" i="37"/>
  <c r="X71" i="37"/>
  <c r="T108" i="35"/>
  <c r="T68" i="38"/>
  <c r="I102" i="38" s="1"/>
  <c r="V28" i="38"/>
  <c r="F28" i="38"/>
  <c r="G28" i="38" s="1"/>
  <c r="T61" i="39"/>
  <c r="F21" i="39"/>
  <c r="G21" i="39" s="1"/>
  <c r="T53" i="39"/>
  <c r="I87" i="39" s="1"/>
  <c r="F13" i="39"/>
  <c r="G13" i="39" s="1"/>
  <c r="T51" i="35"/>
  <c r="V11" i="35"/>
  <c r="F11" i="35"/>
  <c r="G11" i="35" s="1"/>
  <c r="J71" i="37"/>
  <c r="T53" i="38"/>
  <c r="V13" i="38"/>
  <c r="F13" i="38"/>
  <c r="G13" i="38" s="1"/>
  <c r="H68" i="37"/>
  <c r="F28" i="35"/>
  <c r="G28" i="35" s="1"/>
  <c r="V28" i="35"/>
  <c r="T68" i="35"/>
  <c r="I102" i="35" s="1"/>
  <c r="T53" i="35"/>
  <c r="I87" i="35" s="1"/>
  <c r="V13" i="35"/>
  <c r="F13" i="35"/>
  <c r="G13" i="35" s="1"/>
  <c r="R71" i="37"/>
  <c r="S72" i="37"/>
  <c r="L72" i="37"/>
  <c r="AC32" i="37"/>
  <c r="H72" i="37"/>
  <c r="P72" i="37"/>
  <c r="Z72" i="37"/>
  <c r="K72" i="37"/>
  <c r="O72" i="37"/>
  <c r="X72" i="37"/>
  <c r="W72" i="37"/>
  <c r="T72" i="37"/>
  <c r="N72" i="37"/>
  <c r="J72" i="37"/>
  <c r="V72" i="37"/>
  <c r="R72" i="37"/>
  <c r="Z64" i="37"/>
  <c r="T62" i="38"/>
  <c r="V22" i="38"/>
  <c r="F22" i="38"/>
  <c r="G22" i="38" s="1"/>
  <c r="W70" i="37"/>
  <c r="H70" i="37"/>
  <c r="AC30" i="37"/>
  <c r="P70" i="37"/>
  <c r="L70" i="37"/>
  <c r="Z70" i="37"/>
  <c r="T50" i="38"/>
  <c r="V10" i="38"/>
  <c r="F10" i="38"/>
  <c r="G10" i="38" s="1"/>
  <c r="O70" i="37"/>
  <c r="T70" i="37"/>
  <c r="V9" i="38"/>
  <c r="F9" i="38"/>
  <c r="G9" i="38" s="1"/>
  <c r="T49" i="38"/>
  <c r="I83" i="38" s="1"/>
  <c r="T110" i="39"/>
  <c r="T68" i="39"/>
  <c r="F28" i="39"/>
  <c r="G28" i="39" s="1"/>
  <c r="V28" i="39"/>
  <c r="T62" i="39"/>
  <c r="I96" i="39" s="1"/>
  <c r="S64" i="37"/>
  <c r="V31" i="35"/>
  <c r="T71" i="35"/>
  <c r="I105" i="35" s="1"/>
  <c r="F31" i="35"/>
  <c r="G31" i="35" s="1"/>
  <c r="T64" i="39"/>
  <c r="F24" i="39"/>
  <c r="G24" i="39" s="1"/>
  <c r="V24" i="39"/>
  <c r="K68" i="37"/>
  <c r="T48" i="39"/>
  <c r="F8" i="39"/>
  <c r="G8" i="39" s="1"/>
  <c r="V11" i="38"/>
  <c r="T51" i="38"/>
  <c r="I85" i="38" s="1"/>
  <c r="F11" i="38"/>
  <c r="G11" i="38" s="1"/>
  <c r="V23" i="35"/>
  <c r="T63" i="35"/>
  <c r="I97" i="35" s="1"/>
  <c r="F23" i="35"/>
  <c r="G23" i="35" s="1"/>
  <c r="W49" i="37"/>
  <c r="I106" i="39"/>
  <c r="S106" i="39"/>
  <c r="M106" i="39"/>
  <c r="Q106" i="39"/>
  <c r="O106" i="39"/>
  <c r="K106" i="39"/>
  <c r="V30" i="38"/>
  <c r="T70" i="38"/>
  <c r="I104" i="38" s="1"/>
  <c r="F30" i="38"/>
  <c r="G30" i="38" s="1"/>
  <c r="T50" i="39"/>
  <c r="F10" i="39"/>
  <c r="G10" i="39" s="1"/>
  <c r="F25" i="38"/>
  <c r="G25" i="38" s="1"/>
  <c r="T65" i="38"/>
  <c r="I99" i="38" s="1"/>
  <c r="V25" i="38"/>
  <c r="X48" i="37"/>
  <c r="W64" i="37"/>
  <c r="AC24" i="37"/>
  <c r="P64" i="37"/>
  <c r="L64" i="37"/>
  <c r="H64" i="37"/>
  <c r="S71" i="37"/>
  <c r="S70" i="37"/>
  <c r="T69" i="38"/>
  <c r="I103" i="38" s="1"/>
  <c r="F29" i="38"/>
  <c r="G29" i="38" s="1"/>
  <c r="V29" i="38"/>
  <c r="J70" i="37"/>
  <c r="V64" i="37"/>
  <c r="F21" i="38"/>
  <c r="G21" i="38" s="1"/>
  <c r="T61" i="38"/>
  <c r="I95" i="38" s="1"/>
  <c r="V21" i="38"/>
  <c r="R53" i="37"/>
  <c r="V30" i="39"/>
  <c r="F30" i="39"/>
  <c r="G30" i="39" s="1"/>
  <c r="T70" i="39"/>
  <c r="I104" i="39" s="1"/>
  <c r="T47" i="39"/>
  <c r="F7" i="39"/>
  <c r="G7" i="39" s="1"/>
  <c r="W48" i="37"/>
  <c r="V14" i="38"/>
  <c r="F14" i="38"/>
  <c r="G14" i="38" s="1"/>
  <c r="T54" i="38"/>
  <c r="V31" i="38"/>
  <c r="F31" i="38"/>
  <c r="G31" i="38" s="1"/>
  <c r="T71" i="38"/>
  <c r="I105" i="38" s="1"/>
  <c r="F9" i="39"/>
  <c r="G9" i="39" s="1"/>
  <c r="T49" i="39"/>
  <c r="T54" i="39"/>
  <c r="I88" i="39" s="1"/>
  <c r="F14" i="39"/>
  <c r="G14" i="39" s="1"/>
  <c r="T60" i="39"/>
  <c r="I94" i="39" s="1"/>
  <c r="F20" i="39"/>
  <c r="G20" i="39" s="1"/>
  <c r="T68" i="37"/>
  <c r="V22" i="35"/>
  <c r="T62" i="35"/>
  <c r="I96" i="35" s="1"/>
  <c r="T47" i="38"/>
  <c r="F7" i="38"/>
  <c r="G7" i="38" s="1"/>
  <c r="V7" i="38"/>
  <c r="E12" i="37"/>
  <c r="X52" i="37" s="1"/>
  <c r="T48" i="35"/>
  <c r="I82" i="35" s="1"/>
  <c r="F8" i="35"/>
  <c r="G8" i="35" s="1"/>
  <c r="V8" i="35"/>
  <c r="T108" i="39"/>
  <c r="K70" i="37"/>
  <c r="E22" i="37"/>
  <c r="S62" i="37" s="1"/>
  <c r="F12" i="38"/>
  <c r="G12" i="38" s="1"/>
  <c r="T52" i="38"/>
  <c r="I86" i="38" s="1"/>
  <c r="V12" i="38"/>
  <c r="T65" i="37"/>
  <c r="T65" i="39"/>
  <c r="F25" i="39"/>
  <c r="G25" i="39" s="1"/>
  <c r="V25" i="39"/>
  <c r="S55" i="37"/>
  <c r="Z48" i="37"/>
  <c r="S107" i="39"/>
  <c r="Q107" i="39"/>
  <c r="M107" i="39"/>
  <c r="O107" i="39"/>
  <c r="K107" i="39"/>
  <c r="T48" i="38"/>
  <c r="I82" i="38" s="1"/>
  <c r="F8" i="38"/>
  <c r="G8" i="38" s="1"/>
  <c r="V8" i="38"/>
  <c r="F14" i="35"/>
  <c r="G14" i="35" s="1"/>
  <c r="V14" i="35"/>
  <c r="T54" i="35"/>
  <c r="I88" i="35" s="1"/>
  <c r="T52" i="35"/>
  <c r="V12" i="35"/>
  <c r="F12" i="35"/>
  <c r="G12" i="35" s="1"/>
  <c r="T52" i="39"/>
  <c r="F12" i="39"/>
  <c r="G12" i="39" s="1"/>
  <c r="V31" i="39"/>
  <c r="F31" i="39"/>
  <c r="G31" i="39" s="1"/>
  <c r="T71" i="39"/>
  <c r="I105" i="39" s="1"/>
  <c r="V26" i="35"/>
  <c r="F26" i="35"/>
  <c r="G26" i="35" s="1"/>
  <c r="T66" i="35"/>
  <c r="AA74" i="37"/>
  <c r="Z66" i="37"/>
  <c r="K64" i="37"/>
  <c r="R64" i="37"/>
  <c r="E23" i="37"/>
  <c r="R63" i="37" s="1"/>
  <c r="J64" i="37"/>
  <c r="X65" i="37"/>
  <c r="AC73" i="37"/>
  <c r="T60" i="38"/>
  <c r="I94" i="38" s="1"/>
  <c r="F20" i="38"/>
  <c r="G20" i="38" s="1"/>
  <c r="E29" i="37"/>
  <c r="R69" i="37" s="1"/>
  <c r="F23" i="39"/>
  <c r="G23" i="39" s="1"/>
  <c r="T63" i="39"/>
  <c r="I97" i="39" s="1"/>
  <c r="V23" i="39"/>
  <c r="T63" i="38"/>
  <c r="V23" i="38"/>
  <c r="F23" i="38"/>
  <c r="G23" i="38" s="1"/>
  <c r="V29" i="35"/>
  <c r="F29" i="35"/>
  <c r="G29" i="35" s="1"/>
  <c r="T69" i="35"/>
  <c r="I103" i="35" s="1"/>
  <c r="AD74" i="37"/>
  <c r="T109" i="35"/>
  <c r="T46" i="35"/>
  <c r="F6" i="35"/>
  <c r="G6" i="35" s="1"/>
  <c r="V6" i="35"/>
  <c r="N70" i="37"/>
  <c r="F6" i="39"/>
  <c r="G6" i="39" s="1"/>
  <c r="T46" i="39"/>
  <c r="S61" i="37"/>
  <c r="E10" i="37"/>
  <c r="R50" i="37" s="1"/>
  <c r="W61" i="37"/>
  <c r="E7" i="37"/>
  <c r="T47" i="37" s="1"/>
  <c r="R70" i="37"/>
  <c r="AD73" i="37"/>
  <c r="T64" i="35"/>
  <c r="I98" i="35" s="1"/>
  <c r="V24" i="35"/>
  <c r="F24" i="35"/>
  <c r="G24" i="35" s="1"/>
  <c r="W65" i="37"/>
  <c r="V6" i="38"/>
  <c r="T46" i="38"/>
  <c r="F6" i="38"/>
  <c r="G6" i="38" s="1"/>
  <c r="G55" i="37"/>
  <c r="S107" i="35"/>
  <c r="Q107" i="35"/>
  <c r="K107" i="35"/>
  <c r="M107" i="35"/>
  <c r="O107" i="35"/>
  <c r="O106" i="24"/>
  <c r="T110" i="24"/>
  <c r="I106" i="24"/>
  <c r="S106" i="24"/>
  <c r="Q106" i="24"/>
  <c r="T107" i="24"/>
  <c r="T108" i="24"/>
  <c r="T109" i="24"/>
  <c r="M106" i="24"/>
  <c r="J7" i="20"/>
  <c r="J8" i="20"/>
  <c r="J9" i="20"/>
  <c r="J10" i="20"/>
  <c r="J11" i="20"/>
  <c r="J12" i="20"/>
  <c r="J13" i="20"/>
  <c r="J14" i="20"/>
  <c r="J6" i="20"/>
  <c r="S46" i="24"/>
  <c r="S47" i="24"/>
  <c r="S48" i="24"/>
  <c r="S49" i="24"/>
  <c r="S50" i="24"/>
  <c r="S51" i="24"/>
  <c r="S52" i="24"/>
  <c r="S53" i="24"/>
  <c r="S55" i="24"/>
  <c r="S56" i="24"/>
  <c r="S57" i="24"/>
  <c r="S58" i="24"/>
  <c r="J16" i="20"/>
  <c r="J17" i="20"/>
  <c r="J18" i="20"/>
  <c r="J19" i="20"/>
  <c r="J20" i="20"/>
  <c r="J21" i="20"/>
  <c r="J23" i="20"/>
  <c r="J24" i="20"/>
  <c r="J25" i="20"/>
  <c r="J26" i="20"/>
  <c r="J15" i="20"/>
  <c r="V67" i="37" l="1"/>
  <c r="N64" i="37"/>
  <c r="V61" i="37"/>
  <c r="O64" i="37"/>
  <c r="AD64" i="37" s="1"/>
  <c r="AC21" i="37"/>
  <c r="T49" i="37"/>
  <c r="R49" i="37"/>
  <c r="S51" i="37"/>
  <c r="V48" i="37"/>
  <c r="G48" i="37"/>
  <c r="L48" i="37"/>
  <c r="R48" i="37"/>
  <c r="S48" i="37"/>
  <c r="Z51" i="37"/>
  <c r="AC8" i="37"/>
  <c r="H48" i="37"/>
  <c r="AC48" i="37" s="1"/>
  <c r="W51" i="37"/>
  <c r="X51" i="37"/>
  <c r="V51" i="37"/>
  <c r="N48" i="37"/>
  <c r="P48" i="37"/>
  <c r="V49" i="37"/>
  <c r="J48" i="37"/>
  <c r="K51" i="37"/>
  <c r="H51" i="37"/>
  <c r="T51" i="37"/>
  <c r="H61" i="37"/>
  <c r="X64" i="37"/>
  <c r="R61" i="37"/>
  <c r="T107" i="38"/>
  <c r="T67" i="37"/>
  <c r="L67" i="37"/>
  <c r="AD67" i="37" s="1"/>
  <c r="V66" i="37"/>
  <c r="AA55" i="37"/>
  <c r="Z67" i="37"/>
  <c r="W68" i="37"/>
  <c r="N67" i="37"/>
  <c r="W53" i="37"/>
  <c r="AC28" i="37"/>
  <c r="S53" i="37"/>
  <c r="G68" i="37"/>
  <c r="Z68" i="37"/>
  <c r="R68" i="37"/>
  <c r="X67" i="37"/>
  <c r="P68" i="37"/>
  <c r="X53" i="37"/>
  <c r="K67" i="37"/>
  <c r="N68" i="37"/>
  <c r="S68" i="37"/>
  <c r="V53" i="37"/>
  <c r="J67" i="37"/>
  <c r="L68" i="37"/>
  <c r="N54" i="37"/>
  <c r="V68" i="37"/>
  <c r="O67" i="37"/>
  <c r="R67" i="37"/>
  <c r="O68" i="37"/>
  <c r="W67" i="37"/>
  <c r="X68" i="37"/>
  <c r="G67" i="37"/>
  <c r="T53" i="37"/>
  <c r="N53" i="37"/>
  <c r="P67" i="37"/>
  <c r="H67" i="37"/>
  <c r="AC67" i="37" s="1"/>
  <c r="S67" i="37"/>
  <c r="T106" i="35"/>
  <c r="O54" i="37"/>
  <c r="R65" i="37"/>
  <c r="Z61" i="37"/>
  <c r="P61" i="37"/>
  <c r="V54" i="37"/>
  <c r="L61" i="37"/>
  <c r="G61" i="37"/>
  <c r="AC13" i="37"/>
  <c r="H54" i="37"/>
  <c r="J61" i="37"/>
  <c r="T61" i="37"/>
  <c r="R54" i="37"/>
  <c r="N61" i="37"/>
  <c r="X61" i="37"/>
  <c r="X87" i="37" s="1"/>
  <c r="AC14" i="37"/>
  <c r="T106" i="38"/>
  <c r="S65" i="37"/>
  <c r="O61" i="37"/>
  <c r="G54" i="37"/>
  <c r="P54" i="37"/>
  <c r="X54" i="37"/>
  <c r="AC25" i="37"/>
  <c r="L65" i="37"/>
  <c r="K54" i="37"/>
  <c r="S49" i="37"/>
  <c r="T54" i="37"/>
  <c r="H49" i="37"/>
  <c r="W54" i="37"/>
  <c r="Z54" i="37"/>
  <c r="S54" i="37"/>
  <c r="Z53" i="37"/>
  <c r="J54" i="37"/>
  <c r="T107" i="39"/>
  <c r="P53" i="37"/>
  <c r="L53" i="37"/>
  <c r="H53" i="37"/>
  <c r="G53" i="37"/>
  <c r="P65" i="37"/>
  <c r="AC71" i="37"/>
  <c r="AC9" i="37"/>
  <c r="Z49" i="37"/>
  <c r="X49" i="37"/>
  <c r="O49" i="37"/>
  <c r="K49" i="37"/>
  <c r="O53" i="37"/>
  <c r="J49" i="37"/>
  <c r="K53" i="37"/>
  <c r="T64" i="37"/>
  <c r="N49" i="37"/>
  <c r="G51" i="37"/>
  <c r="AA51" i="37" s="1"/>
  <c r="G65" i="37"/>
  <c r="S63" i="37"/>
  <c r="Z52" i="37"/>
  <c r="W66" i="37"/>
  <c r="AA70" i="37"/>
  <c r="AC55" i="37"/>
  <c r="X66" i="37"/>
  <c r="K66" i="37"/>
  <c r="N66" i="37"/>
  <c r="P51" i="37"/>
  <c r="H66" i="37"/>
  <c r="T107" i="35"/>
  <c r="L51" i="37"/>
  <c r="J65" i="37"/>
  <c r="H65" i="37"/>
  <c r="AC26" i="37"/>
  <c r="S66" i="37"/>
  <c r="R66" i="37"/>
  <c r="AA72" i="37"/>
  <c r="O51" i="37"/>
  <c r="AC11" i="37"/>
  <c r="K65" i="37"/>
  <c r="Z65" i="37"/>
  <c r="L66" i="37"/>
  <c r="J66" i="37"/>
  <c r="L49" i="37"/>
  <c r="N51" i="37"/>
  <c r="R51" i="37"/>
  <c r="O65" i="37"/>
  <c r="O66" i="37"/>
  <c r="P66" i="37"/>
  <c r="X63" i="37"/>
  <c r="V65" i="37"/>
  <c r="G49" i="37"/>
  <c r="G66" i="37"/>
  <c r="M83" i="39"/>
  <c r="O83" i="39"/>
  <c r="K83" i="39"/>
  <c r="Q83" i="39"/>
  <c r="S83" i="39"/>
  <c r="O95" i="38"/>
  <c r="Q95" i="38"/>
  <c r="K95" i="38"/>
  <c r="S95" i="38"/>
  <c r="M95" i="38"/>
  <c r="T63" i="37"/>
  <c r="T52" i="37"/>
  <c r="S105" i="35"/>
  <c r="Q105" i="35"/>
  <c r="O105" i="35"/>
  <c r="K105" i="35"/>
  <c r="M105" i="35"/>
  <c r="AD72" i="37"/>
  <c r="S87" i="38"/>
  <c r="Q87" i="38"/>
  <c r="O87" i="38"/>
  <c r="K87" i="38"/>
  <c r="M87" i="38"/>
  <c r="S69" i="37"/>
  <c r="AA71" i="37"/>
  <c r="O80" i="35"/>
  <c r="M80" i="35"/>
  <c r="S80" i="35"/>
  <c r="Q80" i="35"/>
  <c r="K80" i="35"/>
  <c r="O97" i="39"/>
  <c r="M97" i="39"/>
  <c r="S97" i="39"/>
  <c r="K97" i="39"/>
  <c r="Q97" i="39"/>
  <c r="I80" i="35"/>
  <c r="Q86" i="39"/>
  <c r="K86" i="39"/>
  <c r="O86" i="39"/>
  <c r="S86" i="39"/>
  <c r="M86" i="39"/>
  <c r="AC22" i="37"/>
  <c r="H62" i="37"/>
  <c r="P62" i="37"/>
  <c r="L62" i="37"/>
  <c r="G62" i="37"/>
  <c r="O62" i="37"/>
  <c r="N62" i="37"/>
  <c r="K62" i="37"/>
  <c r="J62" i="37"/>
  <c r="V52" i="37"/>
  <c r="V87" i="37" s="1"/>
  <c r="H52" i="37"/>
  <c r="AC12" i="37"/>
  <c r="L52" i="37"/>
  <c r="P52" i="37"/>
  <c r="J52" i="37"/>
  <c r="O52" i="37"/>
  <c r="N52" i="37"/>
  <c r="G52" i="37"/>
  <c r="K52" i="37"/>
  <c r="K87" i="37" s="1"/>
  <c r="K96" i="35"/>
  <c r="O96" i="35"/>
  <c r="M96" i="35"/>
  <c r="S96" i="35"/>
  <c r="Q96" i="35"/>
  <c r="K84" i="39"/>
  <c r="O84" i="39"/>
  <c r="Q84" i="39"/>
  <c r="S84" i="39"/>
  <c r="M84" i="39"/>
  <c r="S50" i="37"/>
  <c r="O100" i="39"/>
  <c r="S100" i="39"/>
  <c r="Q100" i="39"/>
  <c r="M100" i="39"/>
  <c r="K100" i="39"/>
  <c r="Q100" i="35"/>
  <c r="M100" i="35"/>
  <c r="S100" i="35"/>
  <c r="O100" i="35"/>
  <c r="K100" i="35"/>
  <c r="I99" i="39"/>
  <c r="Q99" i="39"/>
  <c r="S99" i="39"/>
  <c r="O99" i="39"/>
  <c r="K99" i="39"/>
  <c r="M99" i="39"/>
  <c r="O105" i="38"/>
  <c r="Q105" i="38"/>
  <c r="S105" i="38"/>
  <c r="K105" i="38"/>
  <c r="M105" i="38"/>
  <c r="O97" i="35"/>
  <c r="M97" i="35"/>
  <c r="Q97" i="35"/>
  <c r="S97" i="35"/>
  <c r="K97" i="35"/>
  <c r="S82" i="39"/>
  <c r="M82" i="39"/>
  <c r="O82" i="39"/>
  <c r="K82" i="39"/>
  <c r="Q82" i="39"/>
  <c r="R62" i="37"/>
  <c r="I84" i="38"/>
  <c r="K84" i="38"/>
  <c r="S84" i="38"/>
  <c r="M84" i="38"/>
  <c r="O84" i="38"/>
  <c r="Q84" i="38"/>
  <c r="V63" i="37"/>
  <c r="I95" i="39"/>
  <c r="S95" i="39"/>
  <c r="Q95" i="39"/>
  <c r="K95" i="39"/>
  <c r="O95" i="39"/>
  <c r="M95" i="39"/>
  <c r="T62" i="37"/>
  <c r="Q98" i="38"/>
  <c r="K98" i="38"/>
  <c r="M98" i="38"/>
  <c r="O98" i="38"/>
  <c r="S98" i="38"/>
  <c r="I80" i="38"/>
  <c r="O80" i="38"/>
  <c r="K80" i="38"/>
  <c r="M80" i="38"/>
  <c r="S80" i="38"/>
  <c r="Q80" i="38"/>
  <c r="R47" i="37"/>
  <c r="L47" i="37"/>
  <c r="H47" i="37"/>
  <c r="AC7" i="37"/>
  <c r="P47" i="37"/>
  <c r="G47" i="37"/>
  <c r="O47" i="37"/>
  <c r="N47" i="37"/>
  <c r="K47" i="37"/>
  <c r="J47" i="37"/>
  <c r="I100" i="35"/>
  <c r="T69" i="37"/>
  <c r="H69" i="37"/>
  <c r="L69" i="37"/>
  <c r="AC29" i="37"/>
  <c r="P69" i="37"/>
  <c r="N69" i="37"/>
  <c r="K69" i="37"/>
  <c r="G69" i="37"/>
  <c r="J69" i="37"/>
  <c r="O69" i="37"/>
  <c r="V69" i="37"/>
  <c r="Z69" i="37"/>
  <c r="W69" i="37"/>
  <c r="X69" i="37"/>
  <c r="W47" i="37"/>
  <c r="I84" i="39"/>
  <c r="S103" i="38"/>
  <c r="Q103" i="38"/>
  <c r="O103" i="38"/>
  <c r="K103" i="38"/>
  <c r="M103" i="38"/>
  <c r="AC64" i="37"/>
  <c r="K87" i="35"/>
  <c r="S87" i="35"/>
  <c r="M87" i="35"/>
  <c r="Q87" i="35"/>
  <c r="O87" i="35"/>
  <c r="I84" i="35"/>
  <c r="O84" i="35"/>
  <c r="K84" i="35"/>
  <c r="S84" i="35"/>
  <c r="M84" i="35"/>
  <c r="Q84" i="35"/>
  <c r="I81" i="35"/>
  <c r="K81" i="35"/>
  <c r="O81" i="35"/>
  <c r="S81" i="35"/>
  <c r="M81" i="35"/>
  <c r="Q81" i="35"/>
  <c r="W50" i="37"/>
  <c r="S103" i="39"/>
  <c r="O103" i="39"/>
  <c r="Q103" i="39"/>
  <c r="K103" i="39"/>
  <c r="M103" i="39"/>
  <c r="AD55" i="37"/>
  <c r="M94" i="35"/>
  <c r="S94" i="35"/>
  <c r="K94" i="35"/>
  <c r="O94" i="35"/>
  <c r="Q94" i="35"/>
  <c r="Z50" i="37"/>
  <c r="I80" i="39"/>
  <c r="Q80" i="39"/>
  <c r="O80" i="39"/>
  <c r="S80" i="39"/>
  <c r="K80" i="39"/>
  <c r="M80" i="39"/>
  <c r="T50" i="37"/>
  <c r="I86" i="35"/>
  <c r="M86" i="35"/>
  <c r="S86" i="35"/>
  <c r="K86" i="35"/>
  <c r="O86" i="35"/>
  <c r="Q86" i="35"/>
  <c r="O82" i="38"/>
  <c r="Q82" i="38"/>
  <c r="M82" i="38"/>
  <c r="K82" i="38"/>
  <c r="S82" i="38"/>
  <c r="O81" i="38"/>
  <c r="S81" i="38"/>
  <c r="Q81" i="38"/>
  <c r="K81" i="38"/>
  <c r="M81" i="38"/>
  <c r="S102" i="39"/>
  <c r="Q102" i="39"/>
  <c r="K102" i="39"/>
  <c r="M102" i="39"/>
  <c r="O102" i="39"/>
  <c r="AD70" i="37"/>
  <c r="W62" i="37"/>
  <c r="I102" i="39"/>
  <c r="X47" i="37"/>
  <c r="I95" i="35"/>
  <c r="S95" i="35"/>
  <c r="M95" i="35"/>
  <c r="Q95" i="35"/>
  <c r="O95" i="35"/>
  <c r="K95" i="35"/>
  <c r="O100" i="38"/>
  <c r="K100" i="38"/>
  <c r="Q100" i="38"/>
  <c r="M100" i="38"/>
  <c r="S100" i="38"/>
  <c r="V47" i="37"/>
  <c r="Z47" i="37"/>
  <c r="V50" i="37"/>
  <c r="I86" i="39"/>
  <c r="H63" i="37"/>
  <c r="P63" i="37"/>
  <c r="AC23" i="37"/>
  <c r="L63" i="37"/>
  <c r="K63" i="37"/>
  <c r="G63" i="37"/>
  <c r="J63" i="37"/>
  <c r="O63" i="37"/>
  <c r="N63" i="37"/>
  <c r="S105" i="39"/>
  <c r="O105" i="39"/>
  <c r="Q105" i="39"/>
  <c r="M105" i="39"/>
  <c r="K105" i="39"/>
  <c r="Z62" i="37"/>
  <c r="O94" i="39"/>
  <c r="K94" i="39"/>
  <c r="M94" i="39"/>
  <c r="Q94" i="39"/>
  <c r="S94" i="39"/>
  <c r="I88" i="38"/>
  <c r="S88" i="38"/>
  <c r="Q88" i="38"/>
  <c r="O88" i="38"/>
  <c r="M88" i="38"/>
  <c r="K88" i="38"/>
  <c r="S52" i="37"/>
  <c r="S87" i="37" s="1"/>
  <c r="I82" i="39"/>
  <c r="T106" i="39"/>
  <c r="I96" i="38"/>
  <c r="Q96" i="38"/>
  <c r="O96" i="38"/>
  <c r="S96" i="38"/>
  <c r="K96" i="38"/>
  <c r="M96" i="38"/>
  <c r="K102" i="35"/>
  <c r="S102" i="35"/>
  <c r="Q102" i="35"/>
  <c r="O102" i="35"/>
  <c r="M102" i="35"/>
  <c r="I85" i="35"/>
  <c r="Q85" i="35"/>
  <c r="S85" i="35"/>
  <c r="O85" i="35"/>
  <c r="K85" i="35"/>
  <c r="M85" i="35"/>
  <c r="Q102" i="38"/>
  <c r="S102" i="38"/>
  <c r="K102" i="38"/>
  <c r="M102" i="38"/>
  <c r="O102" i="38"/>
  <c r="X62" i="37"/>
  <c r="I94" i="35"/>
  <c r="Q83" i="35"/>
  <c r="M83" i="35"/>
  <c r="O83" i="35"/>
  <c r="K83" i="35"/>
  <c r="S83" i="35"/>
  <c r="O86" i="38"/>
  <c r="K86" i="38"/>
  <c r="M86" i="38"/>
  <c r="S86" i="38"/>
  <c r="Q86" i="38"/>
  <c r="V62" i="37"/>
  <c r="I81" i="39"/>
  <c r="Q81" i="39"/>
  <c r="S81" i="39"/>
  <c r="K81" i="39"/>
  <c r="M81" i="39"/>
  <c r="O81" i="39"/>
  <c r="K99" i="38"/>
  <c r="O99" i="38"/>
  <c r="Q99" i="38"/>
  <c r="S99" i="38"/>
  <c r="M99" i="38"/>
  <c r="M104" i="38"/>
  <c r="S104" i="38"/>
  <c r="Q104" i="38"/>
  <c r="O104" i="38"/>
  <c r="K104" i="38"/>
  <c r="M85" i="38"/>
  <c r="K85" i="38"/>
  <c r="S85" i="38"/>
  <c r="Q85" i="38"/>
  <c r="O85" i="38"/>
  <c r="O98" i="39"/>
  <c r="K98" i="39"/>
  <c r="M98" i="39"/>
  <c r="Q98" i="39"/>
  <c r="S98" i="39"/>
  <c r="M96" i="39"/>
  <c r="K96" i="39"/>
  <c r="S96" i="39"/>
  <c r="Q96" i="39"/>
  <c r="O96" i="39"/>
  <c r="Z63" i="37"/>
  <c r="AC72" i="37"/>
  <c r="R52" i="37"/>
  <c r="AD48" i="37"/>
  <c r="X50" i="37"/>
  <c r="H50" i="37"/>
  <c r="L50" i="37"/>
  <c r="AC10" i="37"/>
  <c r="P50" i="37"/>
  <c r="G50" i="37"/>
  <c r="N50" i="37"/>
  <c r="O50" i="37"/>
  <c r="J50" i="37"/>
  <c r="K50" i="37"/>
  <c r="I97" i="38"/>
  <c r="O97" i="38"/>
  <c r="Q97" i="38"/>
  <c r="M97" i="38"/>
  <c r="K97" i="38"/>
  <c r="S97" i="38"/>
  <c r="S94" i="38"/>
  <c r="M94" i="38"/>
  <c r="Q94" i="38"/>
  <c r="O94" i="38"/>
  <c r="K94" i="38"/>
  <c r="S47" i="37"/>
  <c r="M98" i="35"/>
  <c r="K98" i="35"/>
  <c r="S98" i="35"/>
  <c r="Q98" i="35"/>
  <c r="O98" i="35"/>
  <c r="O103" i="35"/>
  <c r="S103" i="35"/>
  <c r="Q103" i="35"/>
  <c r="M103" i="35"/>
  <c r="K103" i="35"/>
  <c r="I81" i="38"/>
  <c r="I83" i="39"/>
  <c r="T83" i="39" s="1"/>
  <c r="Q88" i="35"/>
  <c r="S88" i="35"/>
  <c r="K88" i="35"/>
  <c r="O88" i="35"/>
  <c r="M88" i="35"/>
  <c r="K82" i="35"/>
  <c r="S82" i="35"/>
  <c r="Q82" i="35"/>
  <c r="O82" i="35"/>
  <c r="M82" i="35"/>
  <c r="O88" i="39"/>
  <c r="S88" i="39"/>
  <c r="M88" i="39"/>
  <c r="Q88" i="39"/>
  <c r="K88" i="39"/>
  <c r="Q104" i="39"/>
  <c r="S104" i="39"/>
  <c r="O104" i="39"/>
  <c r="M104" i="39"/>
  <c r="K104" i="39"/>
  <c r="I98" i="39"/>
  <c r="W63" i="37"/>
  <c r="M83" i="38"/>
  <c r="S83" i="38"/>
  <c r="K83" i="38"/>
  <c r="O83" i="38"/>
  <c r="Q83" i="38"/>
  <c r="W52" i="37"/>
  <c r="W87" i="37" s="1"/>
  <c r="AC70" i="37"/>
  <c r="O87" i="39"/>
  <c r="S87" i="39"/>
  <c r="K87" i="39"/>
  <c r="M87" i="39"/>
  <c r="Q87" i="39"/>
  <c r="AD71" i="37"/>
  <c r="I99" i="35"/>
  <c r="K99" i="35"/>
  <c r="Q99" i="35"/>
  <c r="O99" i="35"/>
  <c r="S99" i="35"/>
  <c r="M99" i="35"/>
  <c r="S101" i="39"/>
  <c r="Q101" i="39"/>
  <c r="O101" i="39"/>
  <c r="K101" i="39"/>
  <c r="M101" i="39"/>
  <c r="S101" i="35"/>
  <c r="K101" i="35"/>
  <c r="M101" i="35"/>
  <c r="Q101" i="35"/>
  <c r="O101" i="35"/>
  <c r="I87" i="38"/>
  <c r="I101" i="38"/>
  <c r="S101" i="38"/>
  <c r="M101" i="38"/>
  <c r="Q101" i="38"/>
  <c r="O101" i="38"/>
  <c r="K101" i="38"/>
  <c r="I101" i="39"/>
  <c r="I104" i="35"/>
  <c r="S104" i="35"/>
  <c r="Q104" i="35"/>
  <c r="M104" i="35"/>
  <c r="O104" i="35"/>
  <c r="K104" i="35"/>
  <c r="K85" i="39"/>
  <c r="Q85" i="39"/>
  <c r="S85" i="39"/>
  <c r="O85" i="39"/>
  <c r="M85" i="39"/>
  <c r="AD53" i="37"/>
  <c r="T106" i="24"/>
  <c r="J34" i="20"/>
  <c r="C34" i="24"/>
  <c r="J32" i="20"/>
  <c r="C32" i="24"/>
  <c r="J30" i="20"/>
  <c r="C30" i="24"/>
  <c r="J28" i="20"/>
  <c r="C28" i="24"/>
  <c r="J27" i="20"/>
  <c r="C27" i="24"/>
  <c r="J33" i="20"/>
  <c r="C33" i="24"/>
  <c r="C31" i="24"/>
  <c r="C29" i="24"/>
  <c r="J31" i="20"/>
  <c r="J29" i="20"/>
  <c r="I62" i="24"/>
  <c r="I60" i="24"/>
  <c r="I57" i="24"/>
  <c r="I55" i="24"/>
  <c r="K61" i="24"/>
  <c r="K59" i="24"/>
  <c r="K56" i="24"/>
  <c r="K54" i="24"/>
  <c r="K52" i="24"/>
  <c r="K50" i="24"/>
  <c r="K48" i="24"/>
  <c r="K46" i="24"/>
  <c r="M60" i="24"/>
  <c r="M58" i="24"/>
  <c r="M55" i="24"/>
  <c r="M53" i="24"/>
  <c r="M51" i="24"/>
  <c r="M49" i="24"/>
  <c r="M47" i="24"/>
  <c r="O59" i="24"/>
  <c r="O57" i="24"/>
  <c r="O54" i="24"/>
  <c r="O52" i="24"/>
  <c r="O50" i="24"/>
  <c r="O48" i="24"/>
  <c r="O46" i="24"/>
  <c r="Q58" i="24"/>
  <c r="Q56" i="24"/>
  <c r="Q53" i="24"/>
  <c r="Q51" i="24"/>
  <c r="Q49" i="24"/>
  <c r="Q47" i="24"/>
  <c r="I63" i="24"/>
  <c r="I61" i="24"/>
  <c r="I58" i="24"/>
  <c r="I56" i="24"/>
  <c r="K60" i="24"/>
  <c r="K57" i="24"/>
  <c r="K55" i="24"/>
  <c r="K53" i="24"/>
  <c r="K51" i="24"/>
  <c r="K49" i="24"/>
  <c r="K47" i="24"/>
  <c r="M61" i="24"/>
  <c r="M59" i="24"/>
  <c r="M56" i="24"/>
  <c r="M54" i="24"/>
  <c r="M52" i="24"/>
  <c r="M50" i="24"/>
  <c r="M48" i="24"/>
  <c r="M46" i="24"/>
  <c r="O60" i="24"/>
  <c r="O58" i="24"/>
  <c r="O55" i="24"/>
  <c r="O53" i="24"/>
  <c r="O51" i="24"/>
  <c r="O49" i="24"/>
  <c r="O47" i="24"/>
  <c r="Q59" i="24"/>
  <c r="Q57" i="24"/>
  <c r="Q54" i="24"/>
  <c r="Q52" i="24"/>
  <c r="Q50" i="24"/>
  <c r="Q48" i="24"/>
  <c r="Q46" i="24"/>
  <c r="AD51" i="37" l="1"/>
  <c r="AD49" i="37"/>
  <c r="AA48" i="37"/>
  <c r="AA64" i="37"/>
  <c r="AA49" i="37"/>
  <c r="AC51" i="37"/>
  <c r="AC49" i="37"/>
  <c r="T82" i="39"/>
  <c r="R87" i="37"/>
  <c r="AC61" i="37"/>
  <c r="T84" i="37"/>
  <c r="T87" i="37"/>
  <c r="AD61" i="37"/>
  <c r="O87" i="37"/>
  <c r="J87" i="37"/>
  <c r="O85" i="37"/>
  <c r="AD68" i="37"/>
  <c r="T97" i="39"/>
  <c r="AA67" i="37"/>
  <c r="AA68" i="37"/>
  <c r="V89" i="37"/>
  <c r="AC68" i="37"/>
  <c r="AA53" i="37"/>
  <c r="AD54" i="37"/>
  <c r="AC53" i="37"/>
  <c r="AA54" i="37"/>
  <c r="AC54" i="37"/>
  <c r="X89" i="37"/>
  <c r="Z87" i="37"/>
  <c r="AC65" i="37"/>
  <c r="AA61" i="37"/>
  <c r="P87" i="37"/>
  <c r="T86" i="39"/>
  <c r="N87" i="37"/>
  <c r="R89" i="37"/>
  <c r="T87" i="39"/>
  <c r="T99" i="38"/>
  <c r="T97" i="35"/>
  <c r="AA65" i="37"/>
  <c r="T103" i="35"/>
  <c r="T98" i="35"/>
  <c r="T98" i="38"/>
  <c r="H85" i="37"/>
  <c r="T95" i="38"/>
  <c r="AA66" i="37"/>
  <c r="S89" i="37"/>
  <c r="AC66" i="37"/>
  <c r="T102" i="35"/>
  <c r="AD63" i="37"/>
  <c r="T96" i="35"/>
  <c r="T83" i="35"/>
  <c r="P85" i="37"/>
  <c r="T85" i="39"/>
  <c r="T104" i="39"/>
  <c r="AD66" i="37"/>
  <c r="T84" i="39"/>
  <c r="T100" i="35"/>
  <c r="T84" i="38"/>
  <c r="T88" i="35"/>
  <c r="T96" i="39"/>
  <c r="T87" i="35"/>
  <c r="AD65" i="37"/>
  <c r="T101" i="35"/>
  <c r="T94" i="38"/>
  <c r="T102" i="38"/>
  <c r="T94" i="39"/>
  <c r="N85" i="37"/>
  <c r="T83" i="38"/>
  <c r="T85" i="38"/>
  <c r="T86" i="38"/>
  <c r="T103" i="39"/>
  <c r="AD50" i="37"/>
  <c r="Z89" i="37"/>
  <c r="T100" i="38"/>
  <c r="T82" i="38"/>
  <c r="T103" i="38"/>
  <c r="T88" i="39"/>
  <c r="T81" i="38"/>
  <c r="T105" i="39"/>
  <c r="T105" i="38"/>
  <c r="S85" i="37"/>
  <c r="T105" i="35"/>
  <c r="T87" i="38"/>
  <c r="T82" i="35"/>
  <c r="T104" i="38"/>
  <c r="T88" i="38"/>
  <c r="AC69" i="37"/>
  <c r="T100" i="39"/>
  <c r="X88" i="37"/>
  <c r="X80" i="37"/>
  <c r="X79" i="37"/>
  <c r="X84" i="37"/>
  <c r="X82" i="37"/>
  <c r="X81" i="37"/>
  <c r="K115" i="39"/>
  <c r="K112" i="39"/>
  <c r="K58" i="39" s="1"/>
  <c r="K18" i="39" s="1"/>
  <c r="E18" i="39" s="1"/>
  <c r="F18" i="39" s="1"/>
  <c r="G18" i="39" s="1"/>
  <c r="K113" i="39"/>
  <c r="O88" i="37"/>
  <c r="O82" i="37"/>
  <c r="O84" i="37"/>
  <c r="O81" i="37"/>
  <c r="O79" i="37"/>
  <c r="O80" i="37"/>
  <c r="S112" i="38"/>
  <c r="S115" i="38"/>
  <c r="S113" i="38"/>
  <c r="L85" i="37"/>
  <c r="J89" i="37"/>
  <c r="J85" i="37"/>
  <c r="M113" i="35"/>
  <c r="M112" i="35"/>
  <c r="M115" i="35"/>
  <c r="M57" i="35" s="1"/>
  <c r="M17" i="35" s="1"/>
  <c r="E17" i="35" s="1"/>
  <c r="T82" i="37"/>
  <c r="AA63" i="37"/>
  <c r="T102" i="39"/>
  <c r="Z85" i="37"/>
  <c r="S112" i="39"/>
  <c r="S113" i="39"/>
  <c r="S115" i="39"/>
  <c r="G85" i="37"/>
  <c r="AD69" i="37"/>
  <c r="G88" i="37"/>
  <c r="G81" i="37"/>
  <c r="G84" i="37"/>
  <c r="G82" i="37"/>
  <c r="G79" i="37"/>
  <c r="AA47" i="37"/>
  <c r="G80" i="37"/>
  <c r="M112" i="38"/>
  <c r="M17" i="38" s="1"/>
  <c r="E17" i="38" s="1"/>
  <c r="M113" i="38"/>
  <c r="M57" i="38" s="1"/>
  <c r="M115" i="38"/>
  <c r="K89" i="37"/>
  <c r="K85" i="37"/>
  <c r="O115" i="35"/>
  <c r="O56" i="35" s="1"/>
  <c r="O16" i="35" s="1"/>
  <c r="E16" i="35" s="1"/>
  <c r="O112" i="35"/>
  <c r="O77" i="35" s="1"/>
  <c r="O37" i="35" s="1"/>
  <c r="E37" i="35" s="1"/>
  <c r="O113" i="35"/>
  <c r="T79" i="37"/>
  <c r="T101" i="38"/>
  <c r="T97" i="38"/>
  <c r="W89" i="37"/>
  <c r="T86" i="35"/>
  <c r="O112" i="39"/>
  <c r="O113" i="39"/>
  <c r="O115" i="39"/>
  <c r="P88" i="37"/>
  <c r="P79" i="37"/>
  <c r="P82" i="37"/>
  <c r="P84" i="37"/>
  <c r="P80" i="37"/>
  <c r="P81" i="37"/>
  <c r="K113" i="38"/>
  <c r="K58" i="38" s="1"/>
  <c r="K112" i="38"/>
  <c r="K18" i="38" s="1"/>
  <c r="E18" i="38" s="1"/>
  <c r="K115" i="38"/>
  <c r="V85" i="37"/>
  <c r="T99" i="39"/>
  <c r="N89" i="37"/>
  <c r="T80" i="37"/>
  <c r="T104" i="35"/>
  <c r="T99" i="35"/>
  <c r="AC50" i="37"/>
  <c r="T85" i="35"/>
  <c r="Z88" i="37"/>
  <c r="Z81" i="37"/>
  <c r="Z80" i="37"/>
  <c r="Z79" i="37"/>
  <c r="Z82" i="37"/>
  <c r="Z84" i="37"/>
  <c r="Q112" i="39"/>
  <c r="Q55" i="39" s="1"/>
  <c r="Q15" i="39" s="1"/>
  <c r="E15" i="39" s="1"/>
  <c r="F15" i="39" s="1"/>
  <c r="G15" i="39" s="1"/>
  <c r="Q113" i="39"/>
  <c r="Q115" i="39"/>
  <c r="O113" i="38"/>
  <c r="O56" i="38" s="1"/>
  <c r="O115" i="38"/>
  <c r="O112" i="38"/>
  <c r="O89" i="37"/>
  <c r="T81" i="37"/>
  <c r="T101" i="39"/>
  <c r="T98" i="39"/>
  <c r="V88" i="37"/>
  <c r="V82" i="37"/>
  <c r="V80" i="37"/>
  <c r="V79" i="37"/>
  <c r="V84" i="37"/>
  <c r="V81" i="37"/>
  <c r="I113" i="39"/>
  <c r="T80" i="39"/>
  <c r="I112" i="39"/>
  <c r="I115" i="39"/>
  <c r="T84" i="35"/>
  <c r="W88" i="37"/>
  <c r="W81" i="37"/>
  <c r="W82" i="37"/>
  <c r="W84" i="37"/>
  <c r="W79" i="37"/>
  <c r="W80" i="37"/>
  <c r="AA69" i="37"/>
  <c r="H88" i="37"/>
  <c r="H81" i="37"/>
  <c r="AC47" i="37"/>
  <c r="H80" i="37"/>
  <c r="H79" i="37"/>
  <c r="H84" i="37"/>
  <c r="H82" i="37"/>
  <c r="T80" i="38"/>
  <c r="I115" i="38"/>
  <c r="I113" i="38"/>
  <c r="L87" i="37"/>
  <c r="AD87" i="37" s="1"/>
  <c r="AD52" i="37"/>
  <c r="G89" i="37"/>
  <c r="AA62" i="37"/>
  <c r="T88" i="37"/>
  <c r="X85" i="37"/>
  <c r="J88" i="37"/>
  <c r="J82" i="37"/>
  <c r="J81" i="37"/>
  <c r="J80" i="37"/>
  <c r="J79" i="37"/>
  <c r="J84" i="37"/>
  <c r="L88" i="37"/>
  <c r="L84" i="37"/>
  <c r="L80" i="37"/>
  <c r="L82" i="37"/>
  <c r="L81" i="37"/>
  <c r="AD47" i="37"/>
  <c r="L79" i="37"/>
  <c r="R85" i="37"/>
  <c r="L89" i="37"/>
  <c r="AD62" i="37"/>
  <c r="K113" i="35"/>
  <c r="K112" i="35"/>
  <c r="K115" i="35"/>
  <c r="K58" i="35" s="1"/>
  <c r="K18" i="35" s="1"/>
  <c r="E18" i="35" s="1"/>
  <c r="T81" i="39"/>
  <c r="T96" i="38"/>
  <c r="AC63" i="37"/>
  <c r="W85" i="37"/>
  <c r="T81" i="35"/>
  <c r="K88" i="37"/>
  <c r="K82" i="37"/>
  <c r="K84" i="37"/>
  <c r="K80" i="37"/>
  <c r="K81" i="37"/>
  <c r="K79" i="37"/>
  <c r="R88" i="37"/>
  <c r="R79" i="37"/>
  <c r="R80" i="37"/>
  <c r="R82" i="37"/>
  <c r="R84" i="37"/>
  <c r="R81" i="37"/>
  <c r="H87" i="37"/>
  <c r="AC87" i="37" s="1"/>
  <c r="AC52" i="37"/>
  <c r="P89" i="37"/>
  <c r="I112" i="35"/>
  <c r="I113" i="35"/>
  <c r="T80" i="35"/>
  <c r="I115" i="35"/>
  <c r="Q115" i="35"/>
  <c r="Q55" i="35" s="1"/>
  <c r="Q15" i="35" s="1"/>
  <c r="E15" i="35" s="1"/>
  <c r="Q113" i="35"/>
  <c r="Q112" i="35"/>
  <c r="S88" i="37"/>
  <c r="S84" i="37"/>
  <c r="S82" i="37"/>
  <c r="S80" i="37"/>
  <c r="S81" i="37"/>
  <c r="S79" i="37"/>
  <c r="AA50" i="37"/>
  <c r="T94" i="35"/>
  <c r="T95" i="35"/>
  <c r="M115" i="39"/>
  <c r="M112" i="39"/>
  <c r="M57" i="39" s="1"/>
  <c r="M17" i="39" s="1"/>
  <c r="E17" i="39" s="1"/>
  <c r="F17" i="39" s="1"/>
  <c r="G17" i="39" s="1"/>
  <c r="M113" i="39"/>
  <c r="N88" i="37"/>
  <c r="N79" i="37"/>
  <c r="N81" i="37"/>
  <c r="N80" i="37"/>
  <c r="N84" i="37"/>
  <c r="N82" i="37"/>
  <c r="Q112" i="38"/>
  <c r="Q15" i="38" s="1"/>
  <c r="E15" i="38" s="1"/>
  <c r="Q115" i="38"/>
  <c r="Q113" i="38"/>
  <c r="Q55" i="38" s="1"/>
  <c r="T89" i="37"/>
  <c r="T95" i="39"/>
  <c r="G87" i="37"/>
  <c r="AA52" i="37"/>
  <c r="H89" i="37"/>
  <c r="AC62" i="37"/>
  <c r="T85" i="37"/>
  <c r="S115" i="35"/>
  <c r="S113" i="35"/>
  <c r="S112" i="35"/>
  <c r="S26" i="24"/>
  <c r="S66" i="24" s="1"/>
  <c r="M29" i="24"/>
  <c r="O28" i="24"/>
  <c r="O68" i="24" s="1"/>
  <c r="Q27" i="24"/>
  <c r="Q21" i="24"/>
  <c r="Q61" i="24" s="1"/>
  <c r="S20" i="24"/>
  <c r="S60" i="24" s="1"/>
  <c r="O22" i="24"/>
  <c r="O62" i="24" s="1"/>
  <c r="M23" i="24"/>
  <c r="M63" i="24" s="1"/>
  <c r="Q23" i="24"/>
  <c r="Q63" i="24" s="1"/>
  <c r="M25" i="24"/>
  <c r="M65" i="24" s="1"/>
  <c r="S22" i="24"/>
  <c r="S62" i="24" s="1"/>
  <c r="O24" i="24"/>
  <c r="O25" i="24"/>
  <c r="Q24" i="24"/>
  <c r="M26" i="24"/>
  <c r="S23" i="24"/>
  <c r="S63" i="24" s="1"/>
  <c r="Q25" i="24"/>
  <c r="Q65" i="24" s="1"/>
  <c r="M27" i="24"/>
  <c r="M67" i="24" s="1"/>
  <c r="S24" i="24"/>
  <c r="S64" i="24" s="1"/>
  <c r="O26" i="24"/>
  <c r="O66" i="24" s="1"/>
  <c r="O21" i="24"/>
  <c r="M22" i="24"/>
  <c r="Q20" i="24"/>
  <c r="S19" i="24"/>
  <c r="S59" i="24" s="1"/>
  <c r="O23" i="24"/>
  <c r="M24" i="24"/>
  <c r="M64" i="24" s="1"/>
  <c r="S21" i="24"/>
  <c r="S61" i="24" s="1"/>
  <c r="Q22" i="24"/>
  <c r="Q62" i="24" s="1"/>
  <c r="M28" i="24"/>
  <c r="M68" i="24" s="1"/>
  <c r="S25" i="24"/>
  <c r="O27" i="24"/>
  <c r="O67" i="24" s="1"/>
  <c r="Q26" i="24"/>
  <c r="Q66" i="24" s="1"/>
  <c r="D27" i="24"/>
  <c r="K23" i="24"/>
  <c r="I24" i="24"/>
  <c r="D28" i="24"/>
  <c r="I25" i="24"/>
  <c r="K24" i="24"/>
  <c r="K64" i="24" s="1"/>
  <c r="D34" i="24"/>
  <c r="K30" i="24"/>
  <c r="K70" i="24" s="1"/>
  <c r="I31" i="24"/>
  <c r="D29" i="24"/>
  <c r="K25" i="24"/>
  <c r="K65" i="24" s="1"/>
  <c r="I26" i="24"/>
  <c r="D30" i="24"/>
  <c r="O64" i="24" s="1"/>
  <c r="K26" i="24"/>
  <c r="K66" i="24" s="1"/>
  <c r="I27" i="24"/>
  <c r="D31" i="24"/>
  <c r="K27" i="24"/>
  <c r="K67" i="24" s="1"/>
  <c r="I28" i="24"/>
  <c r="D32" i="24"/>
  <c r="I29" i="24"/>
  <c r="I69" i="24" s="1"/>
  <c r="K28" i="24"/>
  <c r="K68" i="24" s="1"/>
  <c r="D33" i="24"/>
  <c r="S65" i="24" s="1"/>
  <c r="I30" i="24"/>
  <c r="I70" i="24" s="1"/>
  <c r="K29" i="24"/>
  <c r="K69" i="24" s="1"/>
  <c r="E12" i="24"/>
  <c r="T52" i="24" s="1"/>
  <c r="I52" i="24"/>
  <c r="I49" i="24"/>
  <c r="E9" i="24"/>
  <c r="T49" i="24" s="1"/>
  <c r="I46" i="24"/>
  <c r="E6" i="24"/>
  <c r="T46" i="24" s="1"/>
  <c r="I54" i="24"/>
  <c r="E14" i="24"/>
  <c r="T54" i="24" s="1"/>
  <c r="E11" i="24"/>
  <c r="T51" i="24" s="1"/>
  <c r="I51" i="24"/>
  <c r="E8" i="24"/>
  <c r="T48" i="24" s="1"/>
  <c r="I48" i="24"/>
  <c r="I53" i="24"/>
  <c r="E13" i="24"/>
  <c r="T53" i="24" s="1"/>
  <c r="I50" i="24"/>
  <c r="E10" i="24"/>
  <c r="T50" i="24" s="1"/>
  <c r="I47" i="24"/>
  <c r="E7" i="24"/>
  <c r="T47" i="24" s="1"/>
  <c r="AD89" i="37" l="1"/>
  <c r="AC89" i="37"/>
  <c r="T115" i="39"/>
  <c r="Q64" i="24"/>
  <c r="AD79" i="37"/>
  <c r="AD82" i="37" s="1"/>
  <c r="AD84" i="37" s="1"/>
  <c r="M69" i="24"/>
  <c r="F15" i="35"/>
  <c r="G15" i="35" s="1"/>
  <c r="V15" i="35"/>
  <c r="T113" i="39"/>
  <c r="V18" i="38"/>
  <c r="F18" i="38"/>
  <c r="G18" i="38" s="1"/>
  <c r="AA85" i="37"/>
  <c r="F17" i="35"/>
  <c r="G17" i="35" s="1"/>
  <c r="V17" i="35"/>
  <c r="I59" i="35"/>
  <c r="I19" i="35" s="1"/>
  <c r="T115" i="35"/>
  <c r="V18" i="35"/>
  <c r="F18" i="35"/>
  <c r="G18" i="35" s="1"/>
  <c r="F37" i="35"/>
  <c r="G37" i="35" s="1"/>
  <c r="V37" i="35"/>
  <c r="I59" i="38"/>
  <c r="T113" i="38"/>
  <c r="AC79" i="37"/>
  <c r="AC82" i="37" s="1"/>
  <c r="AC84" i="37" s="1"/>
  <c r="O56" i="39"/>
  <c r="O16" i="39" s="1"/>
  <c r="E16" i="39" s="1"/>
  <c r="F16" i="39" s="1"/>
  <c r="G16" i="39" s="1"/>
  <c r="O77" i="39"/>
  <c r="O37" i="39" s="1"/>
  <c r="E37" i="39" s="1"/>
  <c r="F16" i="35"/>
  <c r="G16" i="35" s="1"/>
  <c r="V16" i="35"/>
  <c r="AA79" i="37"/>
  <c r="F15" i="38"/>
  <c r="G15" i="38" s="1"/>
  <c r="V15" i="38"/>
  <c r="T115" i="38"/>
  <c r="O16" i="38"/>
  <c r="E16" i="38" s="1"/>
  <c r="O77" i="38"/>
  <c r="O37" i="38" s="1"/>
  <c r="E37" i="38" s="1"/>
  <c r="T113" i="35"/>
  <c r="T112" i="35"/>
  <c r="E19" i="38"/>
  <c r="T112" i="38"/>
  <c r="AC88" i="37"/>
  <c r="AA84" i="37"/>
  <c r="AD88" i="37"/>
  <c r="I59" i="39"/>
  <c r="I19" i="39" s="1"/>
  <c r="T112" i="39"/>
  <c r="V17" i="38"/>
  <c r="F17" i="38"/>
  <c r="G17" i="38" s="1"/>
  <c r="O63" i="24"/>
  <c r="Q67" i="24"/>
  <c r="M66" i="24"/>
  <c r="O65" i="24"/>
  <c r="E31" i="24"/>
  <c r="T71" i="24" s="1"/>
  <c r="I71" i="24"/>
  <c r="V7" i="24"/>
  <c r="I81" i="24"/>
  <c r="F7" i="24"/>
  <c r="G7" i="24" s="1"/>
  <c r="V11" i="24"/>
  <c r="I85" i="24"/>
  <c r="F11" i="24"/>
  <c r="G11" i="24" s="1"/>
  <c r="I80" i="24"/>
  <c r="F6" i="24"/>
  <c r="V6" i="24"/>
  <c r="V13" i="24"/>
  <c r="I87" i="24"/>
  <c r="F13" i="24"/>
  <c r="G13" i="24" s="1"/>
  <c r="V8" i="24"/>
  <c r="F8" i="24"/>
  <c r="G8" i="24" s="1"/>
  <c r="V12" i="24"/>
  <c r="F12" i="24"/>
  <c r="G12" i="24" s="1"/>
  <c r="V10" i="24"/>
  <c r="F10" i="24"/>
  <c r="G10" i="24" s="1"/>
  <c r="I84" i="24"/>
  <c r="V14" i="24"/>
  <c r="F14" i="24"/>
  <c r="G14" i="24" s="1"/>
  <c r="V9" i="24"/>
  <c r="I83" i="24"/>
  <c r="F9" i="24"/>
  <c r="G9" i="24" s="1"/>
  <c r="E29" i="24"/>
  <c r="E30" i="24"/>
  <c r="E27" i="24"/>
  <c r="T67" i="24" s="1"/>
  <c r="I67" i="24"/>
  <c r="K63" i="24"/>
  <c r="E23" i="24"/>
  <c r="T63" i="24" s="1"/>
  <c r="O61" i="24"/>
  <c r="E21" i="24"/>
  <c r="T61" i="24" s="1"/>
  <c r="I64" i="24"/>
  <c r="E24" i="24"/>
  <c r="T64" i="24" s="1"/>
  <c r="E26" i="24"/>
  <c r="T66" i="24" s="1"/>
  <c r="I66" i="24"/>
  <c r="I65" i="24"/>
  <c r="M62" i="24"/>
  <c r="Q60" i="24"/>
  <c r="E20" i="24"/>
  <c r="T60" i="24" s="1"/>
  <c r="E28" i="24"/>
  <c r="T68" i="24" s="1"/>
  <c r="I68" i="24"/>
  <c r="V19" i="38" l="1"/>
  <c r="F19" i="38"/>
  <c r="G19" i="38" s="1"/>
  <c r="F37" i="38"/>
  <c r="G37" i="38" s="1"/>
  <c r="V37" i="38"/>
  <c r="F37" i="39"/>
  <c r="G37" i="39" s="1"/>
  <c r="AA25" i="39" s="1" a="1"/>
  <c r="V37" i="39"/>
  <c r="E19" i="35"/>
  <c r="D22" i="35"/>
  <c r="B22" i="35" s="1"/>
  <c r="F16" i="38"/>
  <c r="G16" i="38" s="1"/>
  <c r="AA25" i="38" s="1" a="1"/>
  <c r="V16" i="38"/>
  <c r="D22" i="39"/>
  <c r="B22" i="39" s="1"/>
  <c r="F22" i="39" s="1"/>
  <c r="G22" i="39" s="1"/>
  <c r="E19" i="39"/>
  <c r="F19" i="39" s="1"/>
  <c r="G19" i="39" s="1"/>
  <c r="E25" i="24"/>
  <c r="T65" i="24" s="1"/>
  <c r="I99" i="24" s="1"/>
  <c r="G6" i="24"/>
  <c r="T70" i="24"/>
  <c r="I104" i="24" s="1"/>
  <c r="T69" i="24"/>
  <c r="S103" i="24" s="1"/>
  <c r="V31" i="24"/>
  <c r="F31" i="24"/>
  <c r="G31" i="24" s="1"/>
  <c r="I105" i="24"/>
  <c r="S105" i="24"/>
  <c r="Q105" i="24"/>
  <c r="O105" i="24"/>
  <c r="M105" i="24"/>
  <c r="K105" i="24"/>
  <c r="S84" i="24"/>
  <c r="M84" i="24"/>
  <c r="Q84" i="24"/>
  <c r="K84" i="24"/>
  <c r="O84" i="24"/>
  <c r="S82" i="24"/>
  <c r="O82" i="24"/>
  <c r="K82" i="24"/>
  <c r="Q82" i="24"/>
  <c r="M82" i="24"/>
  <c r="S80" i="24"/>
  <c r="Q80" i="24"/>
  <c r="O80" i="24"/>
  <c r="M80" i="24"/>
  <c r="K80" i="24"/>
  <c r="I82" i="24"/>
  <c r="I88" i="24"/>
  <c r="Q88" i="24"/>
  <c r="O88" i="24"/>
  <c r="M88" i="24"/>
  <c r="K88" i="24"/>
  <c r="S83" i="24"/>
  <c r="Q83" i="24"/>
  <c r="M83" i="24"/>
  <c r="K83" i="24"/>
  <c r="O83" i="24"/>
  <c r="S85" i="24"/>
  <c r="O85" i="24"/>
  <c r="K85" i="24"/>
  <c r="M85" i="24"/>
  <c r="Q85" i="24"/>
  <c r="S81" i="24"/>
  <c r="K81" i="24"/>
  <c r="Q81" i="24"/>
  <c r="M81" i="24"/>
  <c r="O81" i="24"/>
  <c r="I86" i="24"/>
  <c r="S86" i="24"/>
  <c r="M86" i="24"/>
  <c r="O86" i="24"/>
  <c r="Q86" i="24"/>
  <c r="K86" i="24"/>
  <c r="S87" i="24"/>
  <c r="Q87" i="24"/>
  <c r="M87" i="24"/>
  <c r="O87" i="24"/>
  <c r="K87" i="24"/>
  <c r="F29" i="24"/>
  <c r="G29" i="24" s="1"/>
  <c r="V29" i="24"/>
  <c r="F30" i="24"/>
  <c r="G30" i="24" s="1"/>
  <c r="V30" i="24"/>
  <c r="V20" i="24"/>
  <c r="F20" i="24"/>
  <c r="G20" i="24" s="1"/>
  <c r="Q94" i="24"/>
  <c r="V28" i="24"/>
  <c r="F28" i="24"/>
  <c r="G28" i="24" s="1"/>
  <c r="V26" i="24"/>
  <c r="F26" i="24"/>
  <c r="G26" i="24" s="1"/>
  <c r="V27" i="24"/>
  <c r="I101" i="24"/>
  <c r="F27" i="24"/>
  <c r="G27" i="24" s="1"/>
  <c r="V24" i="24"/>
  <c r="I98" i="24"/>
  <c r="F24" i="24"/>
  <c r="G24" i="24" s="1"/>
  <c r="V21" i="24"/>
  <c r="O95" i="24"/>
  <c r="F21" i="24"/>
  <c r="G21" i="24" s="1"/>
  <c r="V23" i="24"/>
  <c r="K97" i="24"/>
  <c r="F23" i="24"/>
  <c r="G23" i="24" s="1"/>
  <c r="AA26" i="38" l="1"/>
  <c r="AB26" i="38"/>
  <c r="AA28" i="38"/>
  <c r="AB25" i="38"/>
  <c r="AB29" i="38"/>
  <c r="AA27" i="38"/>
  <c r="AA29" i="38"/>
  <c r="AA25" i="38"/>
  <c r="AB27" i="38"/>
  <c r="AB28" i="38"/>
  <c r="AA26" i="39"/>
  <c r="AB29" i="39"/>
  <c r="AB28" i="39"/>
  <c r="AB26" i="39"/>
  <c r="AB25" i="39"/>
  <c r="AA28" i="39"/>
  <c r="AA29" i="39"/>
  <c r="AB27" i="39"/>
  <c r="AA34" i="39" s="1"/>
  <c r="H7" i="40" s="1"/>
  <c r="AA25" i="39"/>
  <c r="AA27" i="39"/>
  <c r="AA41" i="35"/>
  <c r="E14" i="40" s="1"/>
  <c r="U22" i="35"/>
  <c r="F22" i="35"/>
  <c r="G22" i="35" s="1"/>
  <c r="F19" i="35"/>
  <c r="G19" i="35" s="1"/>
  <c r="AA25" i="35" s="1" a="1"/>
  <c r="V19" i="35"/>
  <c r="AA33" i="39"/>
  <c r="AA33" i="38"/>
  <c r="AA34" i="38"/>
  <c r="F7" i="40" s="1"/>
  <c r="F25" i="24"/>
  <c r="G25" i="24" s="1"/>
  <c r="V25" i="24"/>
  <c r="T81" i="24"/>
  <c r="T83" i="24"/>
  <c r="T82" i="24"/>
  <c r="M104" i="24"/>
  <c r="K104" i="24"/>
  <c r="T87" i="24"/>
  <c r="O104" i="24"/>
  <c r="S104" i="24"/>
  <c r="T85" i="24"/>
  <c r="T80" i="24"/>
  <c r="K115" i="24"/>
  <c r="M115" i="24"/>
  <c r="O115" i="24"/>
  <c r="Q115" i="24"/>
  <c r="T84" i="24"/>
  <c r="I115" i="24"/>
  <c r="M103" i="24"/>
  <c r="I103" i="24"/>
  <c r="Q104" i="24"/>
  <c r="T105" i="24"/>
  <c r="K103" i="24"/>
  <c r="O103" i="24"/>
  <c r="Q103" i="24"/>
  <c r="T86" i="24"/>
  <c r="K95" i="24"/>
  <c r="M95" i="24"/>
  <c r="I95" i="24"/>
  <c r="Q95" i="24"/>
  <c r="S95" i="24"/>
  <c r="Q99" i="24"/>
  <c r="O99" i="24"/>
  <c r="K99" i="24"/>
  <c r="M99" i="24"/>
  <c r="S99" i="24"/>
  <c r="I102" i="24"/>
  <c r="S102" i="24"/>
  <c r="Q102" i="24"/>
  <c r="M102" i="24"/>
  <c r="O102" i="24"/>
  <c r="K102" i="24"/>
  <c r="I94" i="24"/>
  <c r="O94" i="24"/>
  <c r="M94" i="24"/>
  <c r="K94" i="24"/>
  <c r="S94" i="24"/>
  <c r="I97" i="24"/>
  <c r="O97" i="24"/>
  <c r="S97" i="24"/>
  <c r="M97" i="24"/>
  <c r="Q97" i="24"/>
  <c r="O98" i="24"/>
  <c r="K98" i="24"/>
  <c r="Q98" i="24"/>
  <c r="M98" i="24"/>
  <c r="S98" i="24"/>
  <c r="S101" i="24"/>
  <c r="M101" i="24"/>
  <c r="O101" i="24"/>
  <c r="Q101" i="24"/>
  <c r="K101" i="24"/>
  <c r="I100" i="24"/>
  <c r="O100" i="24"/>
  <c r="M100" i="24"/>
  <c r="K100" i="24"/>
  <c r="S100" i="24"/>
  <c r="Q100" i="24"/>
  <c r="K62" i="24"/>
  <c r="E22" i="24"/>
  <c r="T62" i="24" s="1"/>
  <c r="AA26" i="35" l="1"/>
  <c r="AA25" i="35"/>
  <c r="AA27" i="35"/>
  <c r="AB28" i="35"/>
  <c r="AB26" i="35"/>
  <c r="AB25" i="35"/>
  <c r="AA32" i="35" s="1"/>
  <c r="AA28" i="35"/>
  <c r="AB29" i="35"/>
  <c r="AA29" i="35"/>
  <c r="AB27" i="35"/>
  <c r="H5" i="40"/>
  <c r="AA35" i="39"/>
  <c r="AA33" i="35"/>
  <c r="AA34" i="35"/>
  <c r="E7" i="40" s="1"/>
  <c r="F5" i="40"/>
  <c r="AA35" i="38"/>
  <c r="F6" i="40"/>
  <c r="AA36" i="38"/>
  <c r="F9" i="40" s="1"/>
  <c r="H6" i="40"/>
  <c r="AD61" i="39"/>
  <c r="AA36" i="39"/>
  <c r="H9" i="40" s="1"/>
  <c r="T98" i="24"/>
  <c r="T104" i="24"/>
  <c r="T95" i="24"/>
  <c r="T101" i="24"/>
  <c r="T102" i="24"/>
  <c r="T99" i="24"/>
  <c r="T103" i="24"/>
  <c r="T94" i="24"/>
  <c r="T97" i="24"/>
  <c r="T100" i="24"/>
  <c r="V22" i="24"/>
  <c r="E6" i="40" l="1"/>
  <c r="AD61" i="35"/>
  <c r="AA36" i="35"/>
  <c r="E9" i="40" s="1"/>
  <c r="E5" i="40"/>
  <c r="AA35" i="35"/>
  <c r="AA39" i="38"/>
  <c r="F12" i="40" s="1"/>
  <c r="F8" i="40"/>
  <c r="AA37" i="38"/>
  <c r="AA39" i="39"/>
  <c r="H12" i="40" s="1"/>
  <c r="AA61" i="39"/>
  <c r="AB61" i="39" s="1"/>
  <c r="H8" i="40"/>
  <c r="AA37" i="39"/>
  <c r="M96" i="24"/>
  <c r="M116" i="24" s="1"/>
  <c r="S96" i="24"/>
  <c r="S116" i="24" s="1"/>
  <c r="I96" i="24"/>
  <c r="I116" i="24" s="1"/>
  <c r="O96" i="24"/>
  <c r="O116" i="24" s="1"/>
  <c r="K96" i="24"/>
  <c r="K116" i="24" s="1"/>
  <c r="Q96" i="24"/>
  <c r="Q116" i="24" s="1"/>
  <c r="H10" i="40" l="1"/>
  <c r="AA38" i="39"/>
  <c r="AA61" i="35"/>
  <c r="AB61" i="35" s="1"/>
  <c r="E8" i="40"/>
  <c r="AA39" i="35"/>
  <c r="E12" i="40" s="1"/>
  <c r="AA37" i="35"/>
  <c r="AA38" i="38"/>
  <c r="F10" i="40"/>
  <c r="T116" i="24"/>
  <c r="T96" i="24"/>
  <c r="O112" i="24"/>
  <c r="O113" i="24"/>
  <c r="Q112" i="24"/>
  <c r="Q55" i="24" s="1"/>
  <c r="Q113" i="24"/>
  <c r="K113" i="24"/>
  <c r="K112" i="24"/>
  <c r="K58" i="24" s="1"/>
  <c r="I112" i="24"/>
  <c r="I113" i="24"/>
  <c r="M112" i="24"/>
  <c r="M57" i="24" s="1"/>
  <c r="M113" i="24"/>
  <c r="F11" i="40" l="1"/>
  <c r="AA38" i="35"/>
  <c r="E10" i="40"/>
  <c r="H11" i="40"/>
  <c r="O77" i="24"/>
  <c r="O37" i="24" s="1"/>
  <c r="E37" i="24" s="1"/>
  <c r="O56" i="24"/>
  <c r="O16" i="24" s="1"/>
  <c r="E16" i="24" s="1"/>
  <c r="E19" i="24"/>
  <c r="K18" i="24"/>
  <c r="E18" i="24" s="1"/>
  <c r="Q15" i="24"/>
  <c r="E15" i="24" s="1"/>
  <c r="M17" i="24"/>
  <c r="E17" i="24" s="1"/>
  <c r="AA40" i="35" l="1"/>
  <c r="E11" i="40"/>
  <c r="H13" i="40"/>
  <c r="AA63" i="39"/>
  <c r="F13" i="40"/>
  <c r="V15" i="24"/>
  <c r="F15" i="24"/>
  <c r="F17" i="24"/>
  <c r="G17" i="24" s="1"/>
  <c r="V17" i="24"/>
  <c r="V18" i="24"/>
  <c r="F18" i="24"/>
  <c r="G18" i="24" s="1"/>
  <c r="F37" i="24"/>
  <c r="G37" i="24" s="1"/>
  <c r="V37" i="24"/>
  <c r="D22" i="24"/>
  <c r="B22" i="24" s="1"/>
  <c r="F16" i="24"/>
  <c r="G16" i="24" s="1"/>
  <c r="V16" i="24"/>
  <c r="V19" i="24"/>
  <c r="F19" i="24"/>
  <c r="G19" i="24" s="1"/>
  <c r="AA63" i="35" l="1"/>
  <c r="E13" i="40"/>
  <c r="G15" i="24"/>
  <c r="AA25" i="24" s="1" a="1"/>
  <c r="AA41" i="24"/>
  <c r="C14" i="40" s="1"/>
  <c r="U22" i="24"/>
  <c r="F22" i="24"/>
  <c r="G22" i="24" s="1"/>
  <c r="AA25" i="24" l="1"/>
  <c r="AB26" i="24"/>
  <c r="AB28" i="24"/>
  <c r="AA26" i="24"/>
  <c r="AA28" i="24"/>
  <c r="AB29" i="24"/>
  <c r="AB27" i="24"/>
  <c r="AA34" i="24" s="1"/>
  <c r="C7" i="40" s="1"/>
  <c r="AA27" i="24"/>
  <c r="AB25" i="24"/>
  <c r="AA29" i="24"/>
  <c r="AA33" i="24"/>
  <c r="AA32" i="24"/>
  <c r="C5" i="40" s="1"/>
  <c r="C6" i="40" l="1"/>
  <c r="AD61" i="24"/>
  <c r="AA36" i="24"/>
  <c r="C9" i="40" s="1"/>
  <c r="AA35" i="24"/>
  <c r="AA61" i="24" l="1"/>
  <c r="AB61" i="24" s="1"/>
  <c r="C8" i="40"/>
  <c r="AA39" i="24"/>
  <c r="C12" i="40" s="1"/>
  <c r="AA37" i="24"/>
  <c r="S88" i="24"/>
  <c r="S112" i="24"/>
  <c r="T112" i="24" s="1"/>
  <c r="AA38" i="24" l="1"/>
  <c r="C10" i="40"/>
  <c r="T88" i="24"/>
  <c r="S115" i="24"/>
  <c r="T115" i="24" s="1"/>
  <c r="S113" i="24"/>
  <c r="T113" i="24" s="1"/>
  <c r="AA40" i="24" l="1"/>
  <c r="AB64" i="24" s="1"/>
  <c r="C11" i="40"/>
  <c r="C13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</author>
  </authors>
  <commentList>
    <comment ref="AC31" authorId="0" shapeId="0" xr:uid="{2422DC28-A9D9-47BB-AC43-210F4047CE5A}">
      <text>
        <r>
          <rPr>
            <b/>
            <sz val="9"/>
            <color indexed="81"/>
            <rFont val="Tahoma"/>
            <family val="2"/>
          </rPr>
          <t>SEM:</t>
        </r>
        <r>
          <rPr>
            <sz val="9"/>
            <color indexed="81"/>
            <rFont val="Tahoma"/>
            <family val="2"/>
          </rPr>
          <t xml:space="preserve">
See Bayesian_SR_output_Model1</t>
        </r>
      </text>
    </comment>
    <comment ref="AD31" authorId="0" shapeId="0" xr:uid="{5FBC6D8D-C5A6-4137-B620-B60E26312BD6}">
      <text>
        <r>
          <rPr>
            <b/>
            <sz val="9"/>
            <color indexed="81"/>
            <rFont val="Tahoma"/>
            <family val="2"/>
          </rPr>
          <t xml:space="preserve">SEM:
</t>
        </r>
        <r>
          <rPr>
            <sz val="9"/>
            <color indexed="81"/>
            <rFont val="Tahoma"/>
            <family val="2"/>
          </rPr>
          <t xml:space="preserve">See Bayesian_SR_output_Model2
</t>
        </r>
      </text>
    </comment>
    <comment ref="AF34" authorId="0" shapeId="0" xr:uid="{1D75A4BF-7C8E-45D2-80E1-B37487470C5B}">
      <text>
        <r>
          <rPr>
            <b/>
            <sz val="9"/>
            <color indexed="81"/>
            <rFont val="Tahoma"/>
            <family val="2"/>
          </rPr>
          <t>SEM: Geiger 2003 lists sigma^2 not sigma.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Van Alen</author>
  </authors>
  <commentList>
    <comment ref="B3" authorId="0" shapeId="0" xr:uid="{C415678A-7D3C-4014-9687-1F079EC2F8F9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C3" authorId="0" shapeId="0" xr:uid="{FFB8D1D7-712B-4567-8972-8E4DC2E7F4C2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D3" authorId="0" shapeId="0" xr:uid="{A2D4998F-0DB2-437A-9460-D5FBFA4EC4F2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E3" authorId="0" shapeId="0" xr:uid="{D7447E0E-B807-42C7-91EA-06721CAA54E5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F3" authorId="0" shapeId="0" xr:uid="{1BC421C2-DAB4-4661-8330-7E7484118C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G3" authorId="0" shapeId="0" xr:uid="{DD81A11B-21E7-4D7D-853B-66EF099FBB02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H3" authorId="0" shapeId="0" xr:uid="{1FC2A888-EDC5-4388-B810-2BB0BC0657AF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I3" authorId="0" shapeId="0" xr:uid="{AEC459C2-5625-4D05-ADC5-9779B9C4A295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J3" authorId="0" shapeId="0" xr:uid="{BC61C115-2CCD-4F10-ABE3-8C8B16865D93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K3" authorId="0" shapeId="0" xr:uid="{3C7CD680-DC52-4D03-B478-7037EC7D69E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L3" authorId="0" shapeId="0" xr:uid="{0359D6D6-CF3C-499D-A26D-AB20EB2806DC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M3" authorId="0" shapeId="0" xr:uid="{97DA537F-2A63-4B8A-A71A-93AEE0C9DAA1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N3" authorId="0" shapeId="0" xr:uid="{3D6760A9-8FD2-4D93-8472-6270B07EF9D2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O3" authorId="0" shapeId="0" xr:uid="{A39D5957-532F-48CA-806D-1B52142B0D0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P3" authorId="0" shapeId="0" xr:uid="{1FF93C5D-7A2B-45A0-B356-571F91B82622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Q3" authorId="0" shapeId="0" xr:uid="{48BE7BF0-D010-4E78-B486-04C0001B9EDC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R3" authorId="0" shapeId="0" xr:uid="{48A03A06-C31C-47D4-9000-2CF37D1A5653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S3" authorId="0" shapeId="0" xr:uid="{D699A132-810F-4B1E-9B23-E06A55F03A2D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T3" authorId="0" shapeId="0" xr:uid="{765D50F9-8B85-444F-AC97-AFC2EEEEF181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U3" authorId="0" shapeId="0" xr:uid="{96AE1A30-0499-4B63-BF6B-EFCEDC12644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V3" authorId="0" shapeId="0" xr:uid="{49E706C7-5D5C-477D-9EFE-3DAB95C4C32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pre-2000 estimates.</t>
        </r>
      </text>
    </comment>
    <comment ref="W3" authorId="0" shapeId="0" xr:uid="{A43F8721-6261-4AA7-87B1-F45211730E9E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X3" authorId="0" shapeId="0" xr:uid="{E393CE3B-7459-4825-9D99-A4622B0B2E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Y3" authorId="0" shapeId="0" xr:uid="{D74131A4-27DE-40E6-81C0-F4A70546E4E1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Z3" authorId="0" shapeId="0" xr:uid="{3B16DEC2-D14A-4C91-8912-4F615B60A0CC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A3" authorId="0" shapeId="0" xr:uid="{18A0392B-96AD-44C7-A40E-83CF96911494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B3" authorId="0" shapeId="0" xr:uid="{C21FA07E-1E05-4983-9E9B-82B8F61C3AF1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C3" authorId="0" shapeId="0" xr:uid="{A2EB16E4-9F8F-4E75-80C5-F0E25621C31B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D3" authorId="0" shapeId="0" xr:uid="{DB9BC9F5-5E87-4C07-A922-B575CFE7EA4D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E3" authorId="0" shapeId="0" xr:uid="{C3E3B6DE-E85B-48F7-91B5-54EB6ED8B159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F3" authorId="0" shapeId="0" xr:uid="{019EFA1D-D75D-4BDC-98CD-9C78221BECE9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G3" authorId="0" shapeId="0" xr:uid="{B2629389-163A-4ED5-BB59-5896798E058B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V83" authorId="0" shapeId="0" xr:uid="{44C9B747-7CDC-4F07-BB7C-DCA3D7462B2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Weir was not operated after 27 Aug 2000, the counts for 28 Aug to the end were interpolated using the EM-algorithm and all direct and interpolated values from 1953-1999</t>
        </r>
      </text>
    </comment>
    <comment ref="W98" authorId="0" shapeId="0" xr:uid="{58AEAEC2-90ED-4D51-9BC7-A0B6023314BA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The weir was not operated past 11 Sept. 2001.  The counts from 12 Sept to the end were interpolated using the E-M algorithm and all historical data.</t>
        </r>
      </text>
    </comment>
  </commentList>
</comments>
</file>

<file path=xl/sharedStrings.xml><?xml version="1.0" encoding="utf-8"?>
<sst xmlns="http://schemas.openxmlformats.org/spreadsheetml/2006/main" count="681" uniqueCount="240">
  <si>
    <t>Year</t>
  </si>
  <si>
    <t>Escapement</t>
  </si>
  <si>
    <t>Lower</t>
  </si>
  <si>
    <t>Upper</t>
  </si>
  <si>
    <t>OEG (2003)</t>
  </si>
  <si>
    <t>Weir</t>
  </si>
  <si>
    <t>Count</t>
  </si>
  <si>
    <t>Estimate</t>
  </si>
  <si>
    <t>Subsistence</t>
  </si>
  <si>
    <t>Harvest</t>
  </si>
  <si>
    <t>Sportfish</t>
  </si>
  <si>
    <t>Survey</t>
  </si>
  <si>
    <t>Total</t>
  </si>
  <si>
    <t>Return</t>
  </si>
  <si>
    <t>Species</t>
  </si>
  <si>
    <t>Number</t>
  </si>
  <si>
    <t>Fert (tons)</t>
  </si>
  <si>
    <t>Total P (kg)</t>
  </si>
  <si>
    <t>Fry Stocking Activity</t>
  </si>
  <si>
    <t>Fertilizer Activity</t>
  </si>
  <si>
    <t>---</t>
  </si>
  <si>
    <t>Full</t>
  </si>
  <si>
    <t>Limnology</t>
  </si>
  <si>
    <t>No</t>
  </si>
  <si>
    <t>Yes</t>
  </si>
  <si>
    <t>Sockeye</t>
  </si>
  <si>
    <t>NOTES:</t>
  </si>
  <si>
    <t>Run</t>
  </si>
  <si>
    <t>02</t>
  </si>
  <si>
    <t>03</t>
  </si>
  <si>
    <t>11</t>
  </si>
  <si>
    <t>12</t>
  </si>
  <si>
    <t>13</t>
  </si>
  <si>
    <t>14</t>
  </si>
  <si>
    <t>21</t>
  </si>
  <si>
    <t>22</t>
  </si>
  <si>
    <t>23</t>
  </si>
  <si>
    <t>24</t>
  </si>
  <si>
    <t>31</t>
  </si>
  <si>
    <t>32</t>
  </si>
  <si>
    <t>33</t>
  </si>
  <si>
    <t>34</t>
  </si>
  <si>
    <t>42</t>
  </si>
  <si>
    <t>age 3</t>
  </si>
  <si>
    <t>age 4</t>
  </si>
  <si>
    <t>age 5</t>
  </si>
  <si>
    <t>age 6</t>
  </si>
  <si>
    <t>age 7</t>
  </si>
  <si>
    <t>age 8</t>
  </si>
  <si>
    <t>Aged</t>
  </si>
  <si>
    <t>Estimated Return by Year:</t>
  </si>
  <si>
    <t>Rate</t>
  </si>
  <si>
    <t>R/S</t>
  </si>
  <si>
    <t>Age 3</t>
  </si>
  <si>
    <t>Age 4</t>
  </si>
  <si>
    <t>Age 5</t>
  </si>
  <si>
    <t>Age 6</t>
  </si>
  <si>
    <t>Age 7</t>
  </si>
  <si>
    <t>Age 8</t>
  </si>
  <si>
    <t>Not</t>
  </si>
  <si>
    <t>Incomplete</t>
  </si>
  <si>
    <t>Commercial</t>
  </si>
  <si>
    <t>Ln R/S</t>
  </si>
  <si>
    <t>S</t>
  </si>
  <si>
    <t>R</t>
  </si>
  <si>
    <t>EXPANSION FOR AGE AT RETURN:</t>
  </si>
  <si>
    <t>Average</t>
  </si>
  <si>
    <t>Median</t>
  </si>
  <si>
    <t>function LINEST</t>
  </si>
  <si>
    <t>slope</t>
  </si>
  <si>
    <t>intercept</t>
  </si>
  <si>
    <t>SE</t>
  </si>
  <si>
    <t>r-sq</t>
  </si>
  <si>
    <t>RMSE</t>
  </si>
  <si>
    <t>F</t>
  </si>
  <si>
    <t>df</t>
  </si>
  <si>
    <t>SSR</t>
  </si>
  <si>
    <t>SSE</t>
  </si>
  <si>
    <t>ln(alpha^)</t>
  </si>
  <si>
    <t>beta^</t>
  </si>
  <si>
    <t>sigma^</t>
  </si>
  <si>
    <t>lnalpha'</t>
  </si>
  <si>
    <t>Smax^</t>
  </si>
  <si>
    <t>Seq^</t>
  </si>
  <si>
    <t>Smsy^</t>
  </si>
  <si>
    <t>Umsy^</t>
  </si>
  <si>
    <t>S Contrast</t>
  </si>
  <si>
    <t>lnalpha^</t>
  </si>
  <si>
    <t>MSY^</t>
  </si>
  <si>
    <t>ND</t>
  </si>
  <si>
    <t>Subsistence harvest from returned permits.</t>
  </si>
  <si>
    <t>Fry stocking involved incubation boxes for sockeye salmon, with survival estimates to hatching only; chinook salmon fry were stocked in 1986.</t>
  </si>
  <si>
    <t>No directed fishery</t>
  </si>
  <si>
    <t>REDOUBT LAKE SOCKEYE SALMON HARVEST</t>
  </si>
  <si>
    <t>YEAR</t>
  </si>
  <si>
    <t>Sockeye Escapement</t>
  </si>
  <si>
    <t># of Subsistence Permits</t>
  </si>
  <si>
    <t>Subsistence Sockeye Harvest</t>
  </si>
  <si>
    <t>Commercial Seine Sockeye Harvest</t>
  </si>
  <si>
    <t>Directed Seine Opening</t>
  </si>
  <si>
    <t>Opening Dates</t>
  </si>
  <si>
    <t>Jul 19, 26; Aug 2, 4, 9</t>
  </si>
  <si>
    <t>Jul 16, 20, 24, 25, 26, 27, 28, 29, 30</t>
  </si>
  <si>
    <t>Jul 16, 17, 26, 27, 30, 31</t>
  </si>
  <si>
    <t>Jul 7, 8, 11, 12, 15, 16, 17, 18, 19, 22, 23, 24, 29, 30, 31; Aug 1, 2, 3.</t>
  </si>
  <si>
    <t>Stock-recruit data from Geiger (2003):</t>
  </si>
  <si>
    <t>From Eric Coonradt, Sitka Area Management Biologist, 7-19-2019</t>
  </si>
  <si>
    <t>Commercial Drift Sockeye Harvest</t>
  </si>
  <si>
    <t>Total Commercial Harvest</t>
  </si>
  <si>
    <t xml:space="preserve">             69,859 </t>
  </si>
  <si>
    <t>Directed fishery</t>
  </si>
  <si>
    <t xml:space="preserve">             77,049 </t>
  </si>
  <si>
    <t xml:space="preserve">             65,546 </t>
  </si>
  <si>
    <t xml:space="preserve">           101,067 </t>
  </si>
  <si>
    <t xml:space="preserve">             66,708 </t>
  </si>
  <si>
    <t xml:space="preserve">             10,019 </t>
  </si>
  <si>
    <t xml:space="preserve">             12,503 </t>
  </si>
  <si>
    <t xml:space="preserve">             17,066 </t>
  </si>
  <si>
    <t xml:space="preserve">             21,645 </t>
  </si>
  <si>
    <t xml:space="preserve">             40,272 </t>
  </si>
  <si>
    <t xml:space="preserve">             48,355 </t>
  </si>
  <si>
    <t xml:space="preserve">             18,694 </t>
  </si>
  <si>
    <t xml:space="preserve">             12,540 </t>
  </si>
  <si>
    <t xml:space="preserve">             22,553 </t>
  </si>
  <si>
    <t xml:space="preserve">             55,397 </t>
  </si>
  <si>
    <t>Directed Fishery</t>
  </si>
  <si>
    <t>Jul 20.</t>
  </si>
  <si>
    <t xml:space="preserve">             72,409 </t>
  </si>
  <si>
    <t>Jul. 12, 15, 19, 20, 21, 22, 23, 24, 26, 27, 28, 29, 30, 31; Aug. 2, 3, 4, 5, 6, 7, 9, 10, 11.</t>
  </si>
  <si>
    <t>Date</t>
  </si>
  <si>
    <t>Total Count w/ EM Fill-in</t>
  </si>
  <si>
    <t>% Weir Total of EM Total</t>
  </si>
  <si>
    <t>Data from USFS file:</t>
  </si>
  <si>
    <t>Data from USFS file - missing counts imputed using EM algorithm:</t>
  </si>
  <si>
    <t>Redoubt Lake weir sockeye salmon age data:</t>
  </si>
  <si>
    <t>Percent by Age Class:</t>
  </si>
  <si>
    <t>AWL Samples by Age Class:</t>
  </si>
  <si>
    <t>Sum of actual counts:</t>
  </si>
  <si>
    <t>No weir operated in 1998.</t>
  </si>
  <si>
    <t>90% Smsy</t>
  </si>
  <si>
    <t>alpha^</t>
  </si>
  <si>
    <t>AR1</t>
  </si>
  <si>
    <r>
      <rPr>
        <b/>
        <sz val="12"/>
        <color rgb="FFFF0000"/>
        <rFont val="Calibri"/>
        <family val="2"/>
        <scheme val="minor"/>
      </rPr>
      <t>RED</t>
    </r>
    <r>
      <rPr>
        <b/>
        <sz val="12"/>
        <rFont val="Calibri"/>
        <family val="2"/>
        <scheme val="minor"/>
      </rPr>
      <t xml:space="preserve"> data imputed for missing escapement in 1998 - based on average age at return, BY1982-1990 and 1996-2013.</t>
    </r>
  </si>
  <si>
    <r>
      <rPr>
        <b/>
        <sz val="12"/>
        <color rgb="FFFF0000"/>
        <rFont val="Calibri"/>
        <family val="2"/>
        <scheme val="minor"/>
      </rPr>
      <t>RED</t>
    </r>
    <r>
      <rPr>
        <b/>
        <sz val="12"/>
        <rFont val="Calibri"/>
        <family val="2"/>
        <scheme val="minor"/>
      </rPr>
      <t xml:space="preserve"> data imputed for missing escapement in 1998 - based on average age at return, BY1982-1990.</t>
    </r>
  </si>
  <si>
    <t>Geiger</t>
  </si>
  <si>
    <t>Directed</t>
  </si>
  <si>
    <t>Fishery</t>
  </si>
  <si>
    <t>Solver Solution</t>
  </si>
  <si>
    <t>Pred</t>
  </si>
  <si>
    <t>MSY</t>
  </si>
  <si>
    <t>90% S_MSY Calculation</t>
  </si>
  <si>
    <t>90% S_MSY</t>
  </si>
  <si>
    <t>Calculate 90% S_MSY on each side of the peak:</t>
  </si>
  <si>
    <t>Average:</t>
  </si>
  <si>
    <t>Min</t>
  </si>
  <si>
    <t>Max</t>
  </si>
  <si>
    <t>BY82-BY90</t>
  </si>
  <si>
    <t>age 1.</t>
  </si>
  <si>
    <t>age 2.</t>
  </si>
  <si>
    <t>Redoubt Lake sockeye salmon return by age:</t>
  </si>
  <si>
    <r>
      <rPr>
        <b/>
        <sz val="12"/>
        <color rgb="FFFF0000"/>
        <rFont val="Calibri"/>
        <family val="2"/>
        <scheme val="minor"/>
      </rPr>
      <t>RED</t>
    </r>
    <r>
      <rPr>
        <b/>
        <sz val="12"/>
        <rFont val="Calibri"/>
        <family val="2"/>
        <scheme val="minor"/>
      </rPr>
      <t xml:space="preserve"> data imputed for missing escapement in 1998 - escapement regression on subsistence harvest, age based on average age at return, BY1982-1990 and 1996-2013.</t>
    </r>
  </si>
  <si>
    <t>90% Smsy lower</t>
  </si>
  <si>
    <t>90% Smsy Upper</t>
  </si>
  <si>
    <t>SLR</t>
  </si>
  <si>
    <t>90% MSY =</t>
  </si>
  <si>
    <t>Redoubt Lake sockeye salmon information:</t>
  </si>
  <si>
    <t>Redoubt Lake sockeye salmon brood table:</t>
  </si>
  <si>
    <t>Brood years 1999-2013 only.</t>
  </si>
  <si>
    <t>BY96-13</t>
  </si>
  <si>
    <t>Geiger (2003)</t>
  </si>
  <si>
    <t>Run Recon. 1</t>
  </si>
  <si>
    <t>Run Recon. 2</t>
  </si>
  <si>
    <t>Run Recon. 3</t>
  </si>
  <si>
    <t>Run Recon. 4</t>
  </si>
  <si>
    <t xml:space="preserve">Massive landslide </t>
  </si>
  <si>
    <t>900,000  Chinook salmon stocked in  lake</t>
  </si>
  <si>
    <t>Other</t>
  </si>
  <si>
    <t>Contrast</t>
  </si>
  <si>
    <t>Cyanobacteria bloom</t>
  </si>
  <si>
    <t>Age 1.</t>
  </si>
  <si>
    <t>Brood Year</t>
  </si>
  <si>
    <t>Brood</t>
  </si>
  <si>
    <t>Years</t>
  </si>
  <si>
    <t>1983-1984</t>
  </si>
  <si>
    <t>1982-1983</t>
  </si>
  <si>
    <t>1985-1986</t>
  </si>
  <si>
    <t>1984-1985</t>
  </si>
  <si>
    <t>1988-1989</t>
  </si>
  <si>
    <t>1989-1990</t>
  </si>
  <si>
    <t>1990-1991</t>
  </si>
  <si>
    <t>1991-1992</t>
  </si>
  <si>
    <t>1992-1993</t>
  </si>
  <si>
    <t>1993-1994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</si>
  <si>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</si>
  <si>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</si>
  <si>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</si>
  <si>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</si>
  <si>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</si>
  <si>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</si>
  <si>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</si>
  <si>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</si>
  <si>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</si>
  <si>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</si>
  <si>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Fertilized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</si>
  <si>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</si>
  <si>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</si>
  <si>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</si>
  <si>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</si>
  <si>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</si>
  <si>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</si>
  <si>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</si>
  <si>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</si>
  <si>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</si>
  <si>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</si>
  <si>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Unfertilized</t>
  </si>
  <si>
    <t>Heavy Fertilized</t>
  </si>
  <si>
    <t>Light Fertilized</t>
  </si>
  <si>
    <t>Aug 4, 9; 2003 was the first year with the Redoubt Bay and Lake sockeye salmon Management plan in place (5 AAC 01.760).</t>
  </si>
  <si>
    <t>Commercial harvest estimates from Coonradt (ADF&amp;G AMB Sitka) 8-7-2019.</t>
  </si>
  <si>
    <t>Liquid fertilizer applied by boat from 1984 to 1995; dry granular fertilizer (Monoammonium Phosphate NPK ratio 12:61:0) suspended in bags and applied to beaches 1999+.</t>
  </si>
  <si>
    <t>Sport Fish harvest 1996+ from SWHS, provided by Eric Coonradt/Jason Pawluk 8-7-2019..</t>
  </si>
  <si>
    <t>Sport Fish harvest 1982-1995 and 2000-2002 from Geiger et al. (2003).</t>
  </si>
  <si>
    <t>First calculate 90% MSY =</t>
  </si>
  <si>
    <t>Run Reconstruction 1:</t>
  </si>
  <si>
    <t>Run Reconstruction 2:</t>
  </si>
  <si>
    <t>Run Reconstruction 3:</t>
  </si>
  <si>
    <t>Run Reconstruction 4:</t>
  </si>
  <si>
    <t>Brood years 1999-2013.</t>
  </si>
  <si>
    <t>Brood years 1982-2013; missing 1998 escapement imputed as average return for each age class, all brood years.</t>
  </si>
  <si>
    <t>Brood years 1982-2013; missing 1998 escapement imputed as average return for each age class brood years 1982-1990.</t>
  </si>
  <si>
    <t>Brood years 1982-2013; missing 1998 escapement estimated by regression of escapement on subsistence harvest; age based on average age at return, BY1982-1990 and 1996-2013.</t>
  </si>
  <si>
    <t>Stock-Recruit Summary:</t>
  </si>
  <si>
    <t>Yellow cells = brood years not fertilized.</t>
  </si>
  <si>
    <t>Bayesian</t>
  </si>
  <si>
    <t>Model1</t>
  </si>
  <si>
    <t>Model2</t>
  </si>
  <si>
    <t>Bayesian (Model 1)</t>
  </si>
  <si>
    <t>Bayesian (Model 2)</t>
  </si>
  <si>
    <t>alpha</t>
  </si>
  <si>
    <t>alpha'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</si>
</sst>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0.0_);\(0.0\)"/>
    <numFmt numFmtId="165" formatCode="#,##0.000_);\(#,##0.000\)"/>
    <numFmt numFmtId="166" formatCode="0.0000"/>
    <numFmt numFmtId="167" formatCode="0.000;[Red]0.000"/>
    <numFmt numFmtId="168" formatCode="0.0%"/>
    <numFmt numFmtId="169" formatCode="[$-409]d\-mmm;@"/>
    <numFmt numFmtId="170" formatCode="#,##0.0"/>
    <numFmt numFmtId="171" formatCode="#,##0.000"/>
    <numFmt numFmtId="172" formatCode="#,##0.000000"/>
    <numFmt numFmtId="173" formatCode="0.000000"/>
    <numFmt numFmtId="174" formatCode="0.00000000000E+00"/>
    <numFmt numFmtId="175" formatCode="0.0000000000000000"/>
    <numFmt numFmtId="176" formatCode="0.0000000"/>
    <numFmt numFmtId="177" formatCode="#,##0.0000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ourier"/>
      <family val="3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0">
    <xf numFmtId="0" fontId="0" fillId="0" borderId="0"/>
    <xf numFmtId="0" fontId="5" fillId="0" borderId="0"/>
    <xf numFmtId="0" fontId="5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3" fillId="0" borderId="0"/>
    <xf numFmtId="165" fontId="19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2" fillId="0" borderId="0"/>
  </cellStyleXfs>
  <cellXfs count="245">
    <xf numFmtId="0" fontId="0" fillId="0" borderId="0" xfId="0"/>
    <xf numFmtId="0" fontId="6" fillId="0" borderId="0" xfId="0" applyFont="1"/>
    <xf numFmtId="3" fontId="6" fillId="0" borderId="0" xfId="0" applyNumberFormat="1" applyFont="1" applyAlignment="1">
      <alignment horizontal="center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3" fontId="9" fillId="0" borderId="0" xfId="0" applyNumberFormat="1" applyFont="1" applyAlignment="1">
      <alignment horizontal="right"/>
    </xf>
    <xf numFmtId="3" fontId="16" fillId="0" borderId="0" xfId="0" applyNumberFormat="1" applyFont="1"/>
    <xf numFmtId="0" fontId="16" fillId="0" borderId="0" xfId="0" applyFont="1"/>
    <xf numFmtId="3" fontId="10" fillId="0" borderId="0" xfId="0" applyNumberFormat="1" applyFont="1"/>
    <xf numFmtId="0" fontId="15" fillId="0" borderId="0" xfId="10" applyFont="1" applyAlignment="1">
      <alignment horizontal="left"/>
    </xf>
    <xf numFmtId="0" fontId="15" fillId="0" borderId="0" xfId="0" applyFont="1" applyAlignment="1">
      <alignment horizontal="center"/>
    </xf>
    <xf numFmtId="3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9" fontId="16" fillId="0" borderId="0" xfId="4" applyFont="1"/>
    <xf numFmtId="9" fontId="16" fillId="0" borderId="0" xfId="0" applyNumberFormat="1" applyFont="1"/>
    <xf numFmtId="3" fontId="15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9" fontId="15" fillId="0" borderId="0" xfId="4" applyFont="1" applyAlignment="1">
      <alignment horizontal="center"/>
    </xf>
    <xf numFmtId="0" fontId="16" fillId="2" borderId="0" xfId="0" applyFont="1" applyFill="1"/>
    <xf numFmtId="3" fontId="16" fillId="2" borderId="0" xfId="0" applyNumberFormat="1" applyFont="1" applyFill="1"/>
    <xf numFmtId="0" fontId="15" fillId="2" borderId="0" xfId="0" applyFont="1" applyFill="1" applyAlignment="1">
      <alignment horizontal="center"/>
    </xf>
    <xf numFmtId="3" fontId="10" fillId="2" borderId="0" xfId="0" applyNumberFormat="1" applyFont="1" applyFill="1"/>
    <xf numFmtId="9" fontId="16" fillId="2" borderId="0" xfId="4" applyFont="1" applyFill="1"/>
    <xf numFmtId="0" fontId="15" fillId="0" borderId="1" xfId="0" applyFont="1" applyBorder="1" applyAlignment="1">
      <alignment horizontal="center"/>
    </xf>
    <xf numFmtId="3" fontId="15" fillId="2" borderId="1" xfId="0" applyNumberFormat="1" applyFont="1" applyFill="1" applyBorder="1" applyAlignment="1">
      <alignment horizontal="center"/>
    </xf>
    <xf numFmtId="0" fontId="16" fillId="0" borderId="2" xfId="0" applyFont="1" applyBorder="1"/>
    <xf numFmtId="0" fontId="15" fillId="2" borderId="2" xfId="9" applyFont="1" applyFill="1" applyBorder="1" applyAlignment="1">
      <alignment horizontal="left"/>
    </xf>
    <xf numFmtId="0" fontId="16" fillId="2" borderId="2" xfId="0" applyFont="1" applyFill="1" applyBorder="1"/>
    <xf numFmtId="0" fontId="15" fillId="2" borderId="2" xfId="9" applyFont="1" applyFill="1" applyBorder="1" applyAlignment="1">
      <alignment horizontal="center"/>
    </xf>
    <xf numFmtId="3" fontId="16" fillId="2" borderId="2" xfId="0" applyNumberFormat="1" applyFont="1" applyFill="1" applyBorder="1"/>
    <xf numFmtId="3" fontId="15" fillId="2" borderId="2" xfId="0" applyNumberFormat="1" applyFont="1" applyFill="1" applyBorder="1" applyAlignment="1">
      <alignment horizontal="center"/>
    </xf>
    <xf numFmtId="3" fontId="13" fillId="0" borderId="0" xfId="0" applyNumberFormat="1" applyFont="1" applyAlignment="1">
      <alignment horizontal="right" wrapText="1"/>
    </xf>
    <xf numFmtId="3" fontId="16" fillId="0" borderId="2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164" fontId="16" fillId="0" borderId="0" xfId="3" applyNumberFormat="1" applyFont="1" applyAlignment="1">
      <alignment horizontal="center"/>
    </xf>
    <xf numFmtId="3" fontId="18" fillId="0" borderId="0" xfId="0" applyNumberFormat="1" applyFont="1" applyAlignment="1">
      <alignment horizontal="left"/>
    </xf>
    <xf numFmtId="0" fontId="12" fillId="3" borderId="0" xfId="8" applyFont="1" applyFill="1"/>
    <xf numFmtId="9" fontId="16" fillId="0" borderId="0" xfId="0" applyNumberFormat="1" applyFont="1" applyAlignment="1">
      <alignment horizontal="center"/>
    </xf>
    <xf numFmtId="3" fontId="14" fillId="0" borderId="0" xfId="11" applyNumberFormat="1" applyFont="1"/>
    <xf numFmtId="0" fontId="3" fillId="0" borderId="0" xfId="11"/>
    <xf numFmtId="0" fontId="14" fillId="0" borderId="0" xfId="11" applyFont="1"/>
    <xf numFmtId="167" fontId="5" fillId="0" borderId="0" xfId="14" applyNumberFormat="1"/>
    <xf numFmtId="0" fontId="5" fillId="0" borderId="0" xfId="14"/>
    <xf numFmtId="0" fontId="5" fillId="0" borderId="0" xfId="14" applyAlignment="1">
      <alignment horizontal="right"/>
    </xf>
    <xf numFmtId="2" fontId="5" fillId="0" borderId="7" xfId="14" applyNumberFormat="1" applyBorder="1"/>
    <xf numFmtId="166" fontId="5" fillId="0" borderId="5" xfId="14" applyNumberFormat="1" applyBorder="1"/>
    <xf numFmtId="2" fontId="5" fillId="0" borderId="0" xfId="14" applyNumberFormat="1"/>
    <xf numFmtId="1" fontId="5" fillId="0" borderId="6" xfId="14" applyNumberFormat="1" applyBorder="1"/>
    <xf numFmtId="2" fontId="5" fillId="0" borderId="4" xfId="14" applyNumberFormat="1" applyBorder="1"/>
    <xf numFmtId="2" fontId="5" fillId="0" borderId="5" xfId="14" applyNumberFormat="1" applyBorder="1"/>
    <xf numFmtId="166" fontId="5" fillId="0" borderId="3" xfId="14" applyNumberFormat="1" applyBorder="1"/>
    <xf numFmtId="2" fontId="5" fillId="0" borderId="8" xfId="14" applyNumberFormat="1" applyBorder="1"/>
    <xf numFmtId="2" fontId="5" fillId="0" borderId="6" xfId="14" applyNumberFormat="1" applyBorder="1"/>
    <xf numFmtId="0" fontId="11" fillId="0" borderId="0" xfId="34" applyFont="1"/>
    <xf numFmtId="0" fontId="16" fillId="0" borderId="0" xfId="0" applyFont="1" applyAlignment="1">
      <alignment horizontal="right"/>
    </xf>
    <xf numFmtId="9" fontId="16" fillId="0" borderId="0" xfId="0" applyNumberFormat="1" applyFont="1" applyAlignment="1">
      <alignment horizontal="right"/>
    </xf>
    <xf numFmtId="2" fontId="16" fillId="0" borderId="0" xfId="0" applyNumberFormat="1" applyFont="1"/>
    <xf numFmtId="9" fontId="6" fillId="0" borderId="0" xfId="4" applyFont="1" applyAlignment="1">
      <alignment horizontal="center"/>
    </xf>
    <xf numFmtId="0" fontId="6" fillId="0" borderId="0" xfId="6" applyFont="1"/>
    <xf numFmtId="0" fontId="6" fillId="0" borderId="0" xfId="5" applyFont="1"/>
    <xf numFmtId="0" fontId="2" fillId="0" borderId="0" xfId="169"/>
    <xf numFmtId="0" fontId="2" fillId="0" borderId="0" xfId="169" applyAlignment="1">
      <alignment horizontal="center"/>
    </xf>
    <xf numFmtId="0" fontId="2" fillId="0" borderId="9" xfId="169" applyBorder="1" applyAlignment="1">
      <alignment horizontal="center"/>
    </xf>
    <xf numFmtId="0" fontId="2" fillId="0" borderId="9" xfId="169" applyBorder="1" applyAlignment="1">
      <alignment horizontal="center" wrapText="1"/>
    </xf>
    <xf numFmtId="3" fontId="2" fillId="0" borderId="0" xfId="169" applyNumberFormat="1" applyAlignment="1">
      <alignment horizontal="center"/>
    </xf>
    <xf numFmtId="0" fontId="5" fillId="0" borderId="0" xfId="0" applyFont="1"/>
    <xf numFmtId="15" fontId="5" fillId="0" borderId="0" xfId="0" quotePrefix="1" applyNumberFormat="1" applyFont="1"/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4" fillId="0" borderId="0" xfId="0" applyFont="1"/>
    <xf numFmtId="0" fontId="21" fillId="0" borderId="0" xfId="169" applyFont="1"/>
    <xf numFmtId="0" fontId="20" fillId="0" borderId="0" xfId="169" applyFont="1"/>
    <xf numFmtId="0" fontId="1" fillId="0" borderId="9" xfId="169" applyFont="1" applyBorder="1" applyAlignment="1">
      <alignment horizontal="center" wrapText="1"/>
    </xf>
    <xf numFmtId="0" fontId="12" fillId="0" borderId="0" xfId="169" applyFont="1"/>
    <xf numFmtId="0" fontId="1" fillId="0" borderId="0" xfId="169" applyFont="1"/>
    <xf numFmtId="3" fontId="2" fillId="0" borderId="0" xfId="169" applyNumberFormat="1" applyAlignment="1">
      <alignment horizontal="left"/>
    </xf>
    <xf numFmtId="0" fontId="2" fillId="0" borderId="1" xfId="169" applyBorder="1" applyAlignment="1">
      <alignment horizontal="center"/>
    </xf>
    <xf numFmtId="3" fontId="2" fillId="0" borderId="1" xfId="169" applyNumberFormat="1" applyBorder="1" applyAlignment="1">
      <alignment horizontal="center"/>
    </xf>
    <xf numFmtId="0" fontId="12" fillId="0" borderId="1" xfId="169" applyFont="1" applyBorder="1"/>
    <xf numFmtId="3" fontId="2" fillId="0" borderId="1" xfId="169" applyNumberFormat="1" applyBorder="1" applyAlignment="1">
      <alignment horizontal="left"/>
    </xf>
    <xf numFmtId="3" fontId="2" fillId="0" borderId="0" xfId="169" applyNumberFormat="1" applyAlignment="1">
      <alignment horizontal="right"/>
    </xf>
    <xf numFmtId="9" fontId="16" fillId="3" borderId="0" xfId="163" applyFont="1" applyFill="1"/>
    <xf numFmtId="9" fontId="16" fillId="0" borderId="0" xfId="163" applyFont="1"/>
    <xf numFmtId="0" fontId="6" fillId="0" borderId="9" xfId="0" applyFont="1" applyBorder="1" applyAlignment="1">
      <alignment horizontal="center"/>
    </xf>
    <xf numFmtId="0" fontId="6" fillId="0" borderId="9" xfId="0" applyFont="1" applyBorder="1"/>
    <xf numFmtId="16" fontId="6" fillId="0" borderId="0" xfId="0" applyNumberFormat="1" applyFont="1" applyAlignment="1">
      <alignment horizontal="center"/>
    </xf>
    <xf numFmtId="1" fontId="6" fillId="4" borderId="0" xfId="0" applyNumberFormat="1" applyFont="1" applyFill="1"/>
    <xf numFmtId="1" fontId="6" fillId="0" borderId="0" xfId="0" applyNumberFormat="1" applyFont="1"/>
    <xf numFmtId="1" fontId="6" fillId="4" borderId="0" xfId="0" applyNumberFormat="1" applyFont="1" applyFill="1" applyAlignment="1">
      <alignment horizontal="right"/>
    </xf>
    <xf numFmtId="1" fontId="6" fillId="4" borderId="0" xfId="5" applyNumberFormat="1" applyFont="1" applyFill="1" applyAlignment="1">
      <alignment horizontal="right"/>
    </xf>
    <xf numFmtId="1" fontId="6" fillId="4" borderId="10" xfId="5" applyNumberFormat="1" applyFont="1" applyFill="1" applyBorder="1" applyAlignment="1">
      <alignment horizontal="right"/>
    </xf>
    <xf numFmtId="1" fontId="6" fillId="5" borderId="11" xfId="0" applyNumberFormat="1" applyFont="1" applyFill="1" applyBorder="1"/>
    <xf numFmtId="1" fontId="6" fillId="0" borderId="0" xfId="5" applyNumberFormat="1" applyFont="1" applyAlignment="1">
      <alignment horizontal="right"/>
    </xf>
    <xf numFmtId="3" fontId="6" fillId="0" borderId="0" xfId="5" applyNumberFormat="1" applyFont="1" applyAlignment="1">
      <alignment horizontal="right"/>
    </xf>
    <xf numFmtId="1" fontId="6" fillId="5" borderId="12" xfId="0" applyNumberFormat="1" applyFont="1" applyFill="1" applyBorder="1"/>
    <xf numFmtId="1" fontId="6" fillId="5" borderId="12" xfId="5" applyNumberFormat="1" applyFont="1" applyFill="1" applyBorder="1" applyAlignment="1">
      <alignment horizontal="right"/>
    </xf>
    <xf numFmtId="1" fontId="6" fillId="5" borderId="13" xfId="0" applyNumberFormat="1" applyFont="1" applyFill="1" applyBorder="1"/>
    <xf numFmtId="1" fontId="6" fillId="5" borderId="14" xfId="0" applyNumberFormat="1" applyFont="1" applyFill="1" applyBorder="1"/>
    <xf numFmtId="3" fontId="6" fillId="0" borderId="2" xfId="0" applyNumberFormat="1" applyFont="1" applyBorder="1" applyAlignment="1">
      <alignment vertical="center"/>
    </xf>
    <xf numFmtId="3" fontId="6" fillId="0" borderId="0" xfId="0" applyNumberFormat="1" applyFont="1" applyAlignment="1">
      <alignment vertical="center"/>
    </xf>
    <xf numFmtId="168" fontId="6" fillId="0" borderId="1" xfId="163" applyNumberFormat="1" applyFont="1" applyBorder="1"/>
    <xf numFmtId="3" fontId="6" fillId="2" borderId="0" xfId="0" applyNumberFormat="1" applyFont="1" applyFill="1"/>
    <xf numFmtId="0" fontId="26" fillId="0" borderId="0" xfId="0" applyFont="1"/>
    <xf numFmtId="1" fontId="6" fillId="0" borderId="0" xfId="0" applyNumberFormat="1" applyFont="1" applyAlignment="1">
      <alignment horizontal="right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" fontId="6" fillId="5" borderId="15" xfId="0" applyNumberFormat="1" applyFont="1" applyFill="1" applyBorder="1"/>
    <xf numFmtId="1" fontId="6" fillId="5" borderId="11" xfId="5" applyNumberFormat="1" applyFont="1" applyFill="1" applyBorder="1" applyAlignment="1">
      <alignment horizontal="right"/>
    </xf>
    <xf numFmtId="1" fontId="5" fillId="4" borderId="0" xfId="0" applyNumberFormat="1" applyFont="1" applyFill="1"/>
    <xf numFmtId="1" fontId="5" fillId="4" borderId="1" xfId="0" applyNumberFormat="1" applyFont="1" applyFill="1" applyBorder="1"/>
    <xf numFmtId="1" fontId="5" fillId="0" borderId="0" xfId="0" applyNumberFormat="1" applyFont="1"/>
    <xf numFmtId="1" fontId="5" fillId="0" borderId="0" xfId="5" applyNumberFormat="1" applyAlignment="1">
      <alignment horizontal="right"/>
    </xf>
    <xf numFmtId="164" fontId="16" fillId="0" borderId="0" xfId="3" applyNumberFormat="1" applyFont="1" applyFill="1" applyAlignment="1">
      <alignment horizontal="center"/>
    </xf>
    <xf numFmtId="9" fontId="10" fillId="0" borderId="0" xfId="4" applyFont="1"/>
    <xf numFmtId="0" fontId="6" fillId="0" borderId="1" xfId="0" applyFont="1" applyBorder="1"/>
    <xf numFmtId="169" fontId="6" fillId="0" borderId="0" xfId="0" applyNumberFormat="1" applyFont="1"/>
    <xf numFmtId="0" fontId="12" fillId="0" borderId="0" xfId="8" applyFont="1" applyAlignment="1">
      <alignment horizontal="center"/>
    </xf>
    <xf numFmtId="0" fontId="12" fillId="0" borderId="0" xfId="8" quotePrefix="1" applyFont="1" applyAlignment="1">
      <alignment horizontal="center"/>
    </xf>
    <xf numFmtId="0" fontId="1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14" fillId="0" borderId="2" xfId="0" applyFont="1" applyBorder="1" applyAlignment="1">
      <alignment horizontal="center"/>
    </xf>
    <xf numFmtId="3" fontId="14" fillId="0" borderId="2" xfId="0" applyNumberFormat="1" applyFont="1" applyBorder="1" applyAlignment="1">
      <alignment horizontal="center"/>
    </xf>
    <xf numFmtId="0" fontId="14" fillId="0" borderId="2" xfId="0" applyFont="1" applyBorder="1"/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3" fontId="14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170" fontId="6" fillId="0" borderId="0" xfId="0" applyNumberFormat="1" applyFont="1"/>
    <xf numFmtId="4" fontId="6" fillId="0" borderId="0" xfId="0" applyNumberFormat="1" applyFont="1"/>
    <xf numFmtId="171" fontId="6" fillId="0" borderId="0" xfId="0" applyNumberFormat="1" applyFont="1"/>
    <xf numFmtId="172" fontId="6" fillId="0" borderId="0" xfId="0" applyNumberFormat="1" applyFont="1"/>
    <xf numFmtId="173" fontId="16" fillId="0" borderId="0" xfId="0" applyNumberFormat="1" applyFont="1"/>
    <xf numFmtId="3" fontId="15" fillId="0" borderId="0" xfId="0" applyNumberFormat="1" applyFont="1" applyAlignment="1">
      <alignment horizontal="right"/>
    </xf>
    <xf numFmtId="171" fontId="16" fillId="0" borderId="0" xfId="0" applyNumberFormat="1" applyFont="1"/>
    <xf numFmtId="170" fontId="16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right"/>
    </xf>
    <xf numFmtId="2" fontId="6" fillId="0" borderId="0" xfId="0" applyNumberFormat="1" applyFont="1"/>
    <xf numFmtId="9" fontId="6" fillId="0" borderId="0" xfId="4" applyFont="1"/>
    <xf numFmtId="0" fontId="28" fillId="0" borderId="0" xfId="0" applyFont="1"/>
    <xf numFmtId="3" fontId="16" fillId="0" borderId="0" xfId="0" applyNumberFormat="1" applyFont="1" applyAlignment="1">
      <alignment horizontal="left"/>
    </xf>
    <xf numFmtId="0" fontId="27" fillId="0" borderId="0" xfId="0" applyFont="1"/>
    <xf numFmtId="3" fontId="0" fillId="0" borderId="0" xfId="0" applyNumberFormat="1"/>
    <xf numFmtId="0" fontId="28" fillId="0" borderId="0" xfId="0" applyFont="1" applyAlignment="1">
      <alignment horizontal="right"/>
    </xf>
    <xf numFmtId="174" fontId="0" fillId="0" borderId="16" xfId="0" applyNumberFormat="1" applyBorder="1"/>
    <xf numFmtId="175" fontId="16" fillId="0" borderId="0" xfId="0" applyNumberFormat="1" applyFont="1"/>
    <xf numFmtId="0" fontId="12" fillId="6" borderId="0" xfId="8" applyFont="1" applyFill="1"/>
    <xf numFmtId="9" fontId="16" fillId="6" borderId="0" xfId="163" applyFont="1" applyFill="1"/>
    <xf numFmtId="0" fontId="12" fillId="7" borderId="0" xfId="8" applyFont="1" applyFill="1"/>
    <xf numFmtId="0" fontId="15" fillId="7" borderId="0" xfId="0" applyFont="1" applyFill="1"/>
    <xf numFmtId="9" fontId="16" fillId="7" borderId="0" xfId="163" applyFont="1" applyFill="1"/>
    <xf numFmtId="0" fontId="15" fillId="8" borderId="0" xfId="0" applyFont="1" applyFill="1"/>
    <xf numFmtId="0" fontId="12" fillId="8" borderId="0" xfId="8" applyFont="1" applyFill="1"/>
    <xf numFmtId="9" fontId="16" fillId="8" borderId="0" xfId="163" applyFont="1" applyFill="1"/>
    <xf numFmtId="0" fontId="16" fillId="9" borderId="0" xfId="0" applyFont="1" applyFill="1"/>
    <xf numFmtId="0" fontId="15" fillId="0" borderId="0" xfId="0" applyFont="1"/>
    <xf numFmtId="0" fontId="1" fillId="0" borderId="0" xfId="8" applyFont="1"/>
    <xf numFmtId="9" fontId="16" fillId="0" borderId="0" xfId="163" applyFont="1" applyFill="1"/>
    <xf numFmtId="9" fontId="16" fillId="9" borderId="0" xfId="4" applyFont="1" applyFill="1"/>
    <xf numFmtId="0" fontId="15" fillId="0" borderId="0" xfId="0" applyFont="1" applyAlignment="1">
      <alignment horizontal="right"/>
    </xf>
    <xf numFmtId="9" fontId="12" fillId="0" borderId="0" xfId="0" applyNumberFormat="1" applyFont="1"/>
    <xf numFmtId="172" fontId="16" fillId="0" borderId="0" xfId="0" applyNumberFormat="1" applyFont="1"/>
    <xf numFmtId="9" fontId="15" fillId="0" borderId="0" xfId="0" applyNumberFormat="1" applyFont="1" applyAlignment="1">
      <alignment horizontal="right"/>
    </xf>
    <xf numFmtId="0" fontId="20" fillId="0" borderId="0" xfId="34" applyFont="1"/>
    <xf numFmtId="176" fontId="16" fillId="0" borderId="0" xfId="0" applyNumberFormat="1" applyFont="1"/>
    <xf numFmtId="0" fontId="15" fillId="0" borderId="18" xfId="0" applyFont="1" applyBorder="1" applyAlignment="1">
      <alignment horizontal="center"/>
    </xf>
    <xf numFmtId="2" fontId="16" fillId="0" borderId="19" xfId="0" applyNumberFormat="1" applyFont="1" applyBorder="1"/>
    <xf numFmtId="176" fontId="16" fillId="0" borderId="19" xfId="0" applyNumberFormat="1" applyFont="1" applyBorder="1"/>
    <xf numFmtId="3" fontId="16" fillId="0" borderId="19" xfId="0" applyNumberFormat="1" applyFont="1" applyBorder="1"/>
    <xf numFmtId="0" fontId="15" fillId="0" borderId="22" xfId="0" applyFont="1" applyBorder="1" applyAlignment="1">
      <alignment horizontal="center"/>
    </xf>
    <xf numFmtId="2" fontId="16" fillId="0" borderId="23" xfId="0" applyNumberFormat="1" applyFont="1" applyBorder="1"/>
    <xf numFmtId="176" fontId="16" fillId="0" borderId="23" xfId="0" applyNumberFormat="1" applyFont="1" applyBorder="1"/>
    <xf numFmtId="3" fontId="16" fillId="0" borderId="23" xfId="0" applyNumberFormat="1" applyFont="1" applyBorder="1"/>
    <xf numFmtId="0" fontId="15" fillId="0" borderId="24" xfId="0" applyFont="1" applyBorder="1" applyAlignment="1">
      <alignment horizontal="center"/>
    </xf>
    <xf numFmtId="2" fontId="16" fillId="0" borderId="25" xfId="0" applyNumberFormat="1" applyFont="1" applyBorder="1"/>
    <xf numFmtId="176" fontId="16" fillId="0" borderId="25" xfId="0" applyNumberFormat="1" applyFont="1" applyBorder="1"/>
    <xf numFmtId="3" fontId="16" fillId="0" borderId="25" xfId="0" applyNumberFormat="1" applyFont="1" applyBorder="1"/>
    <xf numFmtId="0" fontId="15" fillId="0" borderId="1" xfId="0" applyFont="1" applyBorder="1" applyAlignment="1">
      <alignment horizontal="right"/>
    </xf>
    <xf numFmtId="3" fontId="16" fillId="0" borderId="18" xfId="0" applyNumberFormat="1" applyFont="1" applyBorder="1"/>
    <xf numFmtId="3" fontId="16" fillId="0" borderId="22" xfId="0" applyNumberFormat="1" applyFont="1" applyBorder="1"/>
    <xf numFmtId="3" fontId="16" fillId="0" borderId="24" xfId="0" applyNumberFormat="1" applyFont="1" applyBorder="1"/>
    <xf numFmtId="3" fontId="16" fillId="0" borderId="1" xfId="0" applyNumberFormat="1" applyFont="1" applyBorder="1"/>
    <xf numFmtId="0" fontId="16" fillId="0" borderId="1" xfId="0" applyFont="1" applyBorder="1"/>
    <xf numFmtId="3" fontId="6" fillId="0" borderId="0" xfId="0" applyNumberFormat="1" applyFont="1" applyAlignment="1">
      <alignment horizontal="left"/>
    </xf>
    <xf numFmtId="3" fontId="14" fillId="0" borderId="0" xfId="0" applyNumberFormat="1" applyFont="1"/>
    <xf numFmtId="3" fontId="13" fillId="0" borderId="0" xfId="0" applyNumberFormat="1" applyFont="1"/>
    <xf numFmtId="0" fontId="6" fillId="0" borderId="2" xfId="0" applyFont="1" applyBorder="1"/>
    <xf numFmtId="3" fontId="6" fillId="0" borderId="2" xfId="0" applyNumberFormat="1" applyFont="1" applyBorder="1" applyAlignment="1">
      <alignment horizontal="center"/>
    </xf>
    <xf numFmtId="0" fontId="14" fillId="2" borderId="2" xfId="9" applyFont="1" applyFill="1" applyBorder="1" applyAlignment="1">
      <alignment horizontal="left"/>
    </xf>
    <xf numFmtId="0" fontId="6" fillId="2" borderId="2" xfId="0" applyFont="1" applyFill="1" applyBorder="1"/>
    <xf numFmtId="0" fontId="14" fillId="2" borderId="2" xfId="9" applyFont="1" applyFill="1" applyBorder="1" applyAlignment="1">
      <alignment horizontal="center"/>
    </xf>
    <xf numFmtId="3" fontId="6" fillId="2" borderId="2" xfId="0" applyNumberFormat="1" applyFont="1" applyFill="1" applyBorder="1"/>
    <xf numFmtId="3" fontId="14" fillId="2" borderId="2" xfId="0" applyNumberFormat="1" applyFont="1" applyFill="1" applyBorder="1" applyAlignment="1">
      <alignment horizontal="center"/>
    </xf>
    <xf numFmtId="0" fontId="14" fillId="0" borderId="0" xfId="10" applyFont="1" applyAlignment="1">
      <alignment horizontal="left"/>
    </xf>
    <xf numFmtId="0" fontId="14" fillId="2" borderId="0" xfId="9" applyFont="1" applyFill="1" applyAlignment="1">
      <alignment horizontal="left"/>
    </xf>
    <xf numFmtId="3" fontId="14" fillId="2" borderId="0" xfId="0" applyNumberFormat="1" applyFont="1" applyFill="1" applyAlignment="1">
      <alignment horizontal="center"/>
    </xf>
    <xf numFmtId="0" fontId="6" fillId="2" borderId="0" xfId="0" applyFont="1" applyFill="1"/>
    <xf numFmtId="0" fontId="14" fillId="2" borderId="0" xfId="9" applyFont="1" applyFill="1" applyAlignment="1">
      <alignment horizontal="center"/>
    </xf>
    <xf numFmtId="3" fontId="14" fillId="2" borderId="1" xfId="0" applyNumberFormat="1" applyFont="1" applyFill="1" applyBorder="1" applyAlignment="1">
      <alignment horizontal="center"/>
    </xf>
    <xf numFmtId="0" fontId="30" fillId="2" borderId="0" xfId="8" applyFont="1" applyFill="1" applyAlignment="1">
      <alignment horizontal="center"/>
    </xf>
    <xf numFmtId="0" fontId="6" fillId="2" borderId="1" xfId="0" applyFont="1" applyFill="1" applyBorder="1"/>
    <xf numFmtId="0" fontId="14" fillId="2" borderId="0" xfId="0" applyFont="1" applyFill="1" applyAlignment="1">
      <alignment horizontal="center"/>
    </xf>
    <xf numFmtId="3" fontId="13" fillId="2" borderId="0" xfId="0" applyNumberFormat="1" applyFont="1" applyFill="1"/>
    <xf numFmtId="9" fontId="6" fillId="0" borderId="0" xfId="0" applyNumberFormat="1" applyFont="1" applyAlignment="1">
      <alignment horizontal="center"/>
    </xf>
    <xf numFmtId="9" fontId="6" fillId="0" borderId="0" xfId="0" applyNumberFormat="1" applyFont="1"/>
    <xf numFmtId="9" fontId="6" fillId="2" borderId="0" xfId="4" applyFont="1" applyFill="1"/>
    <xf numFmtId="9" fontId="14" fillId="0" borderId="0" xfId="4" applyFont="1" applyAlignment="1">
      <alignment horizontal="center"/>
    </xf>
    <xf numFmtId="3" fontId="14" fillId="0" borderId="0" xfId="0" applyNumberFormat="1" applyFont="1" applyAlignment="1">
      <alignment horizontal="right"/>
    </xf>
    <xf numFmtId="0" fontId="6" fillId="10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164" fontId="27" fillId="0" borderId="0" xfId="3" applyNumberFormat="1" applyFont="1" applyAlignment="1">
      <alignment horizontal="center"/>
    </xf>
    <xf numFmtId="170" fontId="16" fillId="0" borderId="0" xfId="0" applyNumberFormat="1" applyFont="1"/>
    <xf numFmtId="0" fontId="2" fillId="0" borderId="0" xfId="169" applyAlignment="1">
      <alignment horizontal="center" wrapText="1"/>
    </xf>
    <xf numFmtId="3" fontId="2" fillId="0" borderId="1" xfId="169" applyNumberFormat="1" applyBorder="1" applyAlignment="1">
      <alignment horizontal="right"/>
    </xf>
    <xf numFmtId="0" fontId="15" fillId="7" borderId="24" xfId="0" applyFont="1" applyFill="1" applyBorder="1" applyAlignment="1">
      <alignment horizontal="center"/>
    </xf>
    <xf numFmtId="2" fontId="16" fillId="7" borderId="25" xfId="0" applyNumberFormat="1" applyFont="1" applyFill="1" applyBorder="1"/>
    <xf numFmtId="176" fontId="16" fillId="7" borderId="25" xfId="0" applyNumberFormat="1" applyFont="1" applyFill="1" applyBorder="1"/>
    <xf numFmtId="3" fontId="16" fillId="7" borderId="25" xfId="0" applyNumberFormat="1" applyFont="1" applyFill="1" applyBorder="1"/>
    <xf numFmtId="3" fontId="16" fillId="7" borderId="24" xfId="0" applyNumberFormat="1" applyFont="1" applyFill="1" applyBorder="1"/>
    <xf numFmtId="0" fontId="16" fillId="0" borderId="0" xfId="0" applyFont="1" applyAlignment="1">
      <alignment horizontal="left"/>
    </xf>
    <xf numFmtId="0" fontId="23" fillId="0" borderId="0" xfId="0" applyFont="1"/>
    <xf numFmtId="0" fontId="6" fillId="7" borderId="20" xfId="0" applyFont="1" applyFill="1" applyBorder="1"/>
    <xf numFmtId="0" fontId="14" fillId="0" borderId="20" xfId="0" applyFont="1" applyBorder="1" applyAlignment="1">
      <alignment horizontal="center"/>
    </xf>
    <xf numFmtId="0" fontId="6" fillId="10" borderId="0" xfId="0" applyFont="1" applyFill="1" applyAlignment="1">
      <alignment horizontal="left"/>
    </xf>
    <xf numFmtId="0" fontId="15" fillId="12" borderId="0" xfId="0" applyFont="1" applyFill="1" applyAlignment="1">
      <alignment horizontal="center"/>
    </xf>
    <xf numFmtId="3" fontId="16" fillId="12" borderId="0" xfId="0" applyNumberFormat="1" applyFont="1" applyFill="1"/>
    <xf numFmtId="3" fontId="10" fillId="12" borderId="0" xfId="0" applyNumberFormat="1" applyFont="1" applyFill="1"/>
    <xf numFmtId="9" fontId="16" fillId="12" borderId="0" xfId="4" applyFont="1" applyFill="1"/>
    <xf numFmtId="177" fontId="6" fillId="0" borderId="0" xfId="0" applyNumberFormat="1" applyFont="1"/>
    <xf numFmtId="4" fontId="16" fillId="0" borderId="0" xfId="0" applyNumberFormat="1" applyFont="1"/>
    <xf numFmtId="3" fontId="16" fillId="10" borderId="0" xfId="0" applyNumberFormat="1" applyFont="1" applyFill="1"/>
    <xf numFmtId="11" fontId="16" fillId="0" borderId="0" xfId="0" applyNumberFormat="1" applyFont="1"/>
    <xf numFmtId="3" fontId="14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21" xfId="0" applyFont="1" applyBorder="1" applyAlignment="1">
      <alignment horizontal="center"/>
    </xf>
  </cellXfs>
  <cellStyles count="170">
    <cellStyle name="Comma" xfId="3" builtinId="3"/>
    <cellStyle name="Normal" xfId="0" builtinId="0"/>
    <cellStyle name="Normal 10" xfId="20" xr:uid="{00000000-0005-0000-0000-000002000000}"/>
    <cellStyle name="Normal 11" xfId="9" xr:uid="{00000000-0005-0000-0000-000003000000}"/>
    <cellStyle name="Normal 12" xfId="10" xr:uid="{00000000-0005-0000-0000-000004000000}"/>
    <cellStyle name="Normal 13" xfId="39" xr:uid="{00000000-0005-0000-0000-000005000000}"/>
    <cellStyle name="Normal 13 2" xfId="73" xr:uid="{00000000-0005-0000-0000-000006000000}"/>
    <cellStyle name="Normal 13 3" xfId="102" xr:uid="{00000000-0005-0000-0000-000007000000}"/>
    <cellStyle name="Normal 13 4" xfId="130" xr:uid="{00000000-0005-0000-0000-000008000000}"/>
    <cellStyle name="Normal 14" xfId="41" xr:uid="{00000000-0005-0000-0000-000009000000}"/>
    <cellStyle name="Normal 14 2" xfId="75" xr:uid="{00000000-0005-0000-0000-00000A000000}"/>
    <cellStyle name="Normal 14 3" xfId="104" xr:uid="{00000000-0005-0000-0000-00000B000000}"/>
    <cellStyle name="Normal 14 4" xfId="132" xr:uid="{00000000-0005-0000-0000-00000C000000}"/>
    <cellStyle name="Normal 15" xfId="42" xr:uid="{00000000-0005-0000-0000-00000D000000}"/>
    <cellStyle name="Normal 15 2" xfId="76" xr:uid="{00000000-0005-0000-0000-00000E000000}"/>
    <cellStyle name="Normal 15 3" xfId="105" xr:uid="{00000000-0005-0000-0000-00000F000000}"/>
    <cellStyle name="Normal 15 4" xfId="133" xr:uid="{00000000-0005-0000-0000-000010000000}"/>
    <cellStyle name="Normal 16" xfId="43" xr:uid="{00000000-0005-0000-0000-000011000000}"/>
    <cellStyle name="Normal 16 2" xfId="77" xr:uid="{00000000-0005-0000-0000-000012000000}"/>
    <cellStyle name="Normal 16 3" xfId="106" xr:uid="{00000000-0005-0000-0000-000013000000}"/>
    <cellStyle name="Normal 16 4" xfId="134" xr:uid="{00000000-0005-0000-0000-000014000000}"/>
    <cellStyle name="Normal 17" xfId="44" xr:uid="{00000000-0005-0000-0000-000015000000}"/>
    <cellStyle name="Normal 17 2" xfId="78" xr:uid="{00000000-0005-0000-0000-000016000000}"/>
    <cellStyle name="Normal 17 3" xfId="107" xr:uid="{00000000-0005-0000-0000-000017000000}"/>
    <cellStyle name="Normal 17 4" xfId="135" xr:uid="{00000000-0005-0000-0000-000018000000}"/>
    <cellStyle name="Normal 18" xfId="45" xr:uid="{00000000-0005-0000-0000-000019000000}"/>
    <cellStyle name="Normal 18 2" xfId="79" xr:uid="{00000000-0005-0000-0000-00001A000000}"/>
    <cellStyle name="Normal 18 3" xfId="108" xr:uid="{00000000-0005-0000-0000-00001B000000}"/>
    <cellStyle name="Normal 18 4" xfId="136" xr:uid="{00000000-0005-0000-0000-00001C000000}"/>
    <cellStyle name="Normal 19" xfId="46" xr:uid="{00000000-0005-0000-0000-00001D000000}"/>
    <cellStyle name="Normal 19 2" xfId="80" xr:uid="{00000000-0005-0000-0000-00001E000000}"/>
    <cellStyle name="Normal 19 3" xfId="109" xr:uid="{00000000-0005-0000-0000-00001F000000}"/>
    <cellStyle name="Normal 19 4" xfId="137" xr:uid="{00000000-0005-0000-0000-000020000000}"/>
    <cellStyle name="Normal 2" xfId="5" xr:uid="{00000000-0005-0000-0000-000021000000}"/>
    <cellStyle name="Normal 2 2" xfId="12" xr:uid="{00000000-0005-0000-0000-000022000000}"/>
    <cellStyle name="Normal 2 2 2" xfId="16" xr:uid="{00000000-0005-0000-0000-000023000000}"/>
    <cellStyle name="Normal 2 2 3" xfId="166" xr:uid="{00000000-0005-0000-0000-000024000000}"/>
    <cellStyle name="Normal 2 3" xfId="19" xr:uid="{00000000-0005-0000-0000-000025000000}"/>
    <cellStyle name="Normal 2 4" xfId="21" xr:uid="{00000000-0005-0000-0000-000026000000}"/>
    <cellStyle name="Normal 2 5" xfId="22" xr:uid="{00000000-0005-0000-0000-000027000000}"/>
    <cellStyle name="Normal 2 6" xfId="157" xr:uid="{00000000-0005-0000-0000-000028000000}"/>
    <cellStyle name="Normal 2 7" xfId="165" xr:uid="{00000000-0005-0000-0000-000029000000}"/>
    <cellStyle name="Normal 2 8" xfId="18" xr:uid="{00000000-0005-0000-0000-00002A000000}"/>
    <cellStyle name="Normal 20" xfId="47" xr:uid="{00000000-0005-0000-0000-00002B000000}"/>
    <cellStyle name="Normal 20 2" xfId="81" xr:uid="{00000000-0005-0000-0000-00002C000000}"/>
    <cellStyle name="Normal 20 3" xfId="110" xr:uid="{00000000-0005-0000-0000-00002D000000}"/>
    <cellStyle name="Normal 20 4" xfId="138" xr:uid="{00000000-0005-0000-0000-00002E000000}"/>
    <cellStyle name="Normal 21" xfId="48" xr:uid="{00000000-0005-0000-0000-00002F000000}"/>
    <cellStyle name="Normal 21 2" xfId="82" xr:uid="{00000000-0005-0000-0000-000030000000}"/>
    <cellStyle name="Normal 21 3" xfId="111" xr:uid="{00000000-0005-0000-0000-000031000000}"/>
    <cellStyle name="Normal 21 4" xfId="139" xr:uid="{00000000-0005-0000-0000-000032000000}"/>
    <cellStyle name="Normal 22" xfId="49" xr:uid="{00000000-0005-0000-0000-000033000000}"/>
    <cellStyle name="Normal 22 2" xfId="83" xr:uid="{00000000-0005-0000-0000-000034000000}"/>
    <cellStyle name="Normal 22 3" xfId="112" xr:uid="{00000000-0005-0000-0000-000035000000}"/>
    <cellStyle name="Normal 22 4" xfId="140" xr:uid="{00000000-0005-0000-0000-000036000000}"/>
    <cellStyle name="Normal 23" xfId="50" xr:uid="{00000000-0005-0000-0000-000037000000}"/>
    <cellStyle name="Normal 23 2" xfId="84" xr:uid="{00000000-0005-0000-0000-000038000000}"/>
    <cellStyle name="Normal 23 3" xfId="113" xr:uid="{00000000-0005-0000-0000-000039000000}"/>
    <cellStyle name="Normal 23 4" xfId="141" xr:uid="{00000000-0005-0000-0000-00003A000000}"/>
    <cellStyle name="Normal 24" xfId="51" xr:uid="{00000000-0005-0000-0000-00003B000000}"/>
    <cellStyle name="Normal 24 2" xfId="85" xr:uid="{00000000-0005-0000-0000-00003C000000}"/>
    <cellStyle name="Normal 24 3" xfId="114" xr:uid="{00000000-0005-0000-0000-00003D000000}"/>
    <cellStyle name="Normal 24 4" xfId="142" xr:uid="{00000000-0005-0000-0000-00003E000000}"/>
    <cellStyle name="Normal 25" xfId="52" xr:uid="{00000000-0005-0000-0000-00003F000000}"/>
    <cellStyle name="Normal 25 2" xfId="86" xr:uid="{00000000-0005-0000-0000-000040000000}"/>
    <cellStyle name="Normal 25 3" xfId="115" xr:uid="{00000000-0005-0000-0000-000041000000}"/>
    <cellStyle name="Normal 25 4" xfId="143" xr:uid="{00000000-0005-0000-0000-000042000000}"/>
    <cellStyle name="Normal 26" xfId="53" xr:uid="{00000000-0005-0000-0000-000043000000}"/>
    <cellStyle name="Normal 26 2" xfId="87" xr:uid="{00000000-0005-0000-0000-000044000000}"/>
    <cellStyle name="Normal 26 3" xfId="116" xr:uid="{00000000-0005-0000-0000-000045000000}"/>
    <cellStyle name="Normal 26 4" xfId="144" xr:uid="{00000000-0005-0000-0000-000046000000}"/>
    <cellStyle name="Normal 27" xfId="54" xr:uid="{00000000-0005-0000-0000-000047000000}"/>
    <cellStyle name="Normal 27 2" xfId="88" xr:uid="{00000000-0005-0000-0000-000048000000}"/>
    <cellStyle name="Normal 27 3" xfId="117" xr:uid="{00000000-0005-0000-0000-000049000000}"/>
    <cellStyle name="Normal 27 4" xfId="145" xr:uid="{00000000-0005-0000-0000-00004A000000}"/>
    <cellStyle name="Normal 28" xfId="55" xr:uid="{00000000-0005-0000-0000-00004B000000}"/>
    <cellStyle name="Normal 28 2" xfId="89" xr:uid="{00000000-0005-0000-0000-00004C000000}"/>
    <cellStyle name="Normal 28 3" xfId="118" xr:uid="{00000000-0005-0000-0000-00004D000000}"/>
    <cellStyle name="Normal 28 4" xfId="146" xr:uid="{00000000-0005-0000-0000-00004E000000}"/>
    <cellStyle name="Normal 29" xfId="56" xr:uid="{00000000-0005-0000-0000-00004F000000}"/>
    <cellStyle name="Normal 29 2" xfId="90" xr:uid="{00000000-0005-0000-0000-000050000000}"/>
    <cellStyle name="Normal 29 3" xfId="119" xr:uid="{00000000-0005-0000-0000-000051000000}"/>
    <cellStyle name="Normal 29 4" xfId="147" xr:uid="{00000000-0005-0000-0000-000052000000}"/>
    <cellStyle name="Normal 3" xfId="6" xr:uid="{00000000-0005-0000-0000-000053000000}"/>
    <cellStyle name="Normal 3 10" xfId="162" xr:uid="{00000000-0005-0000-0000-000054000000}"/>
    <cellStyle name="Normal 3 2" xfId="40" xr:uid="{00000000-0005-0000-0000-000055000000}"/>
    <cellStyle name="Normal 3 2 2" xfId="23" xr:uid="{00000000-0005-0000-0000-000056000000}"/>
    <cellStyle name="Normal 3 2 3" xfId="159" xr:uid="{00000000-0005-0000-0000-000057000000}"/>
    <cellStyle name="Normal 3 2 4" xfId="164" xr:uid="{00000000-0005-0000-0000-000058000000}"/>
    <cellStyle name="Normal 3 3" xfId="24" xr:uid="{00000000-0005-0000-0000-000059000000}"/>
    <cellStyle name="Normal 3 4" xfId="25" xr:uid="{00000000-0005-0000-0000-00005A000000}"/>
    <cellStyle name="Normal 3 5" xfId="36" xr:uid="{00000000-0005-0000-0000-00005B000000}"/>
    <cellStyle name="Normal 3 6" xfId="74" xr:uid="{00000000-0005-0000-0000-00005C000000}"/>
    <cellStyle name="Normal 3 7" xfId="103" xr:uid="{00000000-0005-0000-0000-00005D000000}"/>
    <cellStyle name="Normal 3 8" xfId="131" xr:uid="{00000000-0005-0000-0000-00005E000000}"/>
    <cellStyle name="Normal 3 9" xfId="160" xr:uid="{00000000-0005-0000-0000-00005F000000}"/>
    <cellStyle name="Normal 30" xfId="57" xr:uid="{00000000-0005-0000-0000-000060000000}"/>
    <cellStyle name="Normal 30 2" xfId="91" xr:uid="{00000000-0005-0000-0000-000061000000}"/>
    <cellStyle name="Normal 30 3" xfId="120" xr:uid="{00000000-0005-0000-0000-000062000000}"/>
    <cellStyle name="Normal 30 4" xfId="148" xr:uid="{00000000-0005-0000-0000-000063000000}"/>
    <cellStyle name="Normal 31" xfId="65" xr:uid="{00000000-0005-0000-0000-000064000000}"/>
    <cellStyle name="Normal 32" xfId="58" xr:uid="{00000000-0005-0000-0000-000065000000}"/>
    <cellStyle name="Normal 32 2" xfId="92" xr:uid="{00000000-0005-0000-0000-000066000000}"/>
    <cellStyle name="Normal 32 3" xfId="121" xr:uid="{00000000-0005-0000-0000-000067000000}"/>
    <cellStyle name="Normal 32 4" xfId="149" xr:uid="{00000000-0005-0000-0000-000068000000}"/>
    <cellStyle name="Normal 33" xfId="59" xr:uid="{00000000-0005-0000-0000-000069000000}"/>
    <cellStyle name="Normal 33 2" xfId="93" xr:uid="{00000000-0005-0000-0000-00006A000000}"/>
    <cellStyle name="Normal 33 3" xfId="122" xr:uid="{00000000-0005-0000-0000-00006B000000}"/>
    <cellStyle name="Normal 33 4" xfId="150" xr:uid="{00000000-0005-0000-0000-00006C000000}"/>
    <cellStyle name="Normal 34" xfId="60" xr:uid="{00000000-0005-0000-0000-00006D000000}"/>
    <cellStyle name="Normal 34 2" xfId="94" xr:uid="{00000000-0005-0000-0000-00006E000000}"/>
    <cellStyle name="Normal 34 3" xfId="123" xr:uid="{00000000-0005-0000-0000-00006F000000}"/>
    <cellStyle name="Normal 34 4" xfId="151" xr:uid="{00000000-0005-0000-0000-000070000000}"/>
    <cellStyle name="Normal 35" xfId="61" xr:uid="{00000000-0005-0000-0000-000071000000}"/>
    <cellStyle name="Normal 35 2" xfId="95" xr:uid="{00000000-0005-0000-0000-000072000000}"/>
    <cellStyle name="Normal 35 3" xfId="124" xr:uid="{00000000-0005-0000-0000-000073000000}"/>
    <cellStyle name="Normal 35 4" xfId="152" xr:uid="{00000000-0005-0000-0000-000074000000}"/>
    <cellStyle name="Normal 36" xfId="62" xr:uid="{00000000-0005-0000-0000-000075000000}"/>
    <cellStyle name="Normal 36 2" xfId="96" xr:uid="{00000000-0005-0000-0000-000076000000}"/>
    <cellStyle name="Normal 36 3" xfId="125" xr:uid="{00000000-0005-0000-0000-000077000000}"/>
    <cellStyle name="Normal 36 4" xfId="153" xr:uid="{00000000-0005-0000-0000-000078000000}"/>
    <cellStyle name="Normal 37" xfId="63" xr:uid="{00000000-0005-0000-0000-000079000000}"/>
    <cellStyle name="Normal 37 2" xfId="97" xr:uid="{00000000-0005-0000-0000-00007A000000}"/>
    <cellStyle name="Normal 37 3" xfId="126" xr:uid="{00000000-0005-0000-0000-00007B000000}"/>
    <cellStyle name="Normal 37 4" xfId="154" xr:uid="{00000000-0005-0000-0000-00007C000000}"/>
    <cellStyle name="Normal 38" xfId="64" xr:uid="{00000000-0005-0000-0000-00007D000000}"/>
    <cellStyle name="Normal 38 2" xfId="98" xr:uid="{00000000-0005-0000-0000-00007E000000}"/>
    <cellStyle name="Normal 38 3" xfId="127" xr:uid="{00000000-0005-0000-0000-00007F000000}"/>
    <cellStyle name="Normal 38 4" xfId="155" xr:uid="{00000000-0005-0000-0000-000080000000}"/>
    <cellStyle name="Normal 39" xfId="66" xr:uid="{00000000-0005-0000-0000-000081000000}"/>
    <cellStyle name="Normal 4" xfId="1" xr:uid="{00000000-0005-0000-0000-000082000000}"/>
    <cellStyle name="Normal 4 2" xfId="26" xr:uid="{00000000-0005-0000-0000-000083000000}"/>
    <cellStyle name="Normal 4 3" xfId="27" xr:uid="{00000000-0005-0000-0000-000084000000}"/>
    <cellStyle name="Normal 4 4" xfId="28" xr:uid="{00000000-0005-0000-0000-000085000000}"/>
    <cellStyle name="Normal 4 5" xfId="37" xr:uid="{00000000-0005-0000-0000-000086000000}"/>
    <cellStyle name="Normal 4 6" xfId="67" xr:uid="{00000000-0005-0000-0000-000087000000}"/>
    <cellStyle name="Normal 4 7" xfId="72" xr:uid="{00000000-0005-0000-0000-000088000000}"/>
    <cellStyle name="Normal 4 8" xfId="70" xr:uid="{00000000-0005-0000-0000-000089000000}"/>
    <cellStyle name="Normal 40" xfId="13" xr:uid="{00000000-0005-0000-0000-00008A000000}"/>
    <cellStyle name="Normal 40 2" xfId="99" xr:uid="{00000000-0005-0000-0000-00008B000000}"/>
    <cellStyle name="Normal 40 3" xfId="128" xr:uid="{00000000-0005-0000-0000-00008C000000}"/>
    <cellStyle name="Normal 40 4" xfId="156" xr:uid="{00000000-0005-0000-0000-00008D000000}"/>
    <cellStyle name="Normal 41" xfId="69" xr:uid="{00000000-0005-0000-0000-00008E000000}"/>
    <cellStyle name="Normal 42" xfId="15" xr:uid="{00000000-0005-0000-0000-00008F000000}"/>
    <cellStyle name="Normal 43" xfId="158" xr:uid="{00000000-0005-0000-0000-000090000000}"/>
    <cellStyle name="Normal 44" xfId="34" xr:uid="{00000000-0005-0000-0000-000091000000}"/>
    <cellStyle name="Normal 45" xfId="14" xr:uid="{00000000-0005-0000-0000-000092000000}"/>
    <cellStyle name="Normal 46" xfId="169" xr:uid="{00000000-0005-0000-0000-000093000000}"/>
    <cellStyle name="Normal 5" xfId="2" xr:uid="{00000000-0005-0000-0000-000094000000}"/>
    <cellStyle name="Normal 5 2" xfId="29" xr:uid="{00000000-0005-0000-0000-000095000000}"/>
    <cellStyle name="Normal 5 3" xfId="30" xr:uid="{00000000-0005-0000-0000-000096000000}"/>
    <cellStyle name="Normal 5 4" xfId="31" xr:uid="{00000000-0005-0000-0000-000097000000}"/>
    <cellStyle name="Normal 5 5" xfId="38" xr:uid="{00000000-0005-0000-0000-000098000000}"/>
    <cellStyle name="Normal 5 6" xfId="68" xr:uid="{00000000-0005-0000-0000-000099000000}"/>
    <cellStyle name="Normal 5 7" xfId="71" xr:uid="{00000000-0005-0000-0000-00009A000000}"/>
    <cellStyle name="Normal 5 8" xfId="101" xr:uid="{00000000-0005-0000-0000-00009B000000}"/>
    <cellStyle name="Normal 6" xfId="11" xr:uid="{00000000-0005-0000-0000-00009C000000}"/>
    <cellStyle name="Normal 6 2" xfId="17" xr:uid="{00000000-0005-0000-0000-00009D000000}"/>
    <cellStyle name="Normal 6 3" xfId="32" xr:uid="{00000000-0005-0000-0000-00009E000000}"/>
    <cellStyle name="Normal 6 4" xfId="167" xr:uid="{00000000-0005-0000-0000-00009F000000}"/>
    <cellStyle name="Normal 7" xfId="33" xr:uid="{00000000-0005-0000-0000-0000A0000000}"/>
    <cellStyle name="Normal 8" xfId="7" xr:uid="{00000000-0005-0000-0000-0000A1000000}"/>
    <cellStyle name="Normal 9" xfId="8" xr:uid="{00000000-0005-0000-0000-0000A2000000}"/>
    <cellStyle name="Normal 9 2" xfId="35" xr:uid="{00000000-0005-0000-0000-0000A3000000}"/>
    <cellStyle name="Normal 9 3" xfId="100" xr:uid="{00000000-0005-0000-0000-0000A4000000}"/>
    <cellStyle name="Normal 9 4" xfId="129" xr:uid="{00000000-0005-0000-0000-0000A5000000}"/>
    <cellStyle name="Normal 9 5" xfId="168" xr:uid="{00000000-0005-0000-0000-0000A6000000}"/>
    <cellStyle name="Percent" xfId="4" builtinId="5"/>
    <cellStyle name="Percent 3" xfId="163" xr:uid="{00000000-0005-0000-0000-0000A8000000}"/>
    <cellStyle name="Percent 4" xfId="161" xr:uid="{00000000-0005-0000-0000-0000A9000000}"/>
  </cellStyles>
  <dxfs count="0"/>
  <tableStyles count="0" defaultTableStyle="TableStyleMedium9" defaultPivotStyle="PivotStyleLight16"/>
  <colors>
    <mruColors>
      <color rgb="FFCCFFCC"/>
      <color rgb="FFFFFFCC"/>
      <color rgb="FFFFCC99"/>
      <color rgb="FFCCECFF"/>
      <color rgb="FFCCFFFF"/>
      <color rgb="FF99FFCC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9988466639497"/>
          <c:y val="4.4049078994734585E-2"/>
          <c:w val="0.85213205784317714"/>
          <c:h val="0.81136243928364826"/>
        </c:manualLayout>
      </c:layout>
      <c:lineChart>
        <c:grouping val="standard"/>
        <c:varyColors val="0"/>
        <c:ser>
          <c:idx val="0"/>
          <c:order val="0"/>
          <c:tx>
            <c:v>Lower Bound</c:v>
          </c:tx>
          <c:spPr>
            <a:ln w="50800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'Summary Data'!$A$6:$A$42</c:f>
              <c:numCache>
                <c:formatCode>General</c:formatCode>
                <c:ptCount val="37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</c:numCache>
            </c:numRef>
          </c:cat>
          <c:val>
            <c:numRef>
              <c:f>'Summary Data'!$K$6:$K$42</c:f>
              <c:numCache>
                <c:formatCode>General</c:formatCode>
                <c:ptCount val="37"/>
                <c:pt idx="21" formatCode="#,##0">
                  <c:v>7000</c:v>
                </c:pt>
                <c:pt idx="22" formatCode="#,##0">
                  <c:v>7000</c:v>
                </c:pt>
                <c:pt idx="23" formatCode="#,##0">
                  <c:v>7000</c:v>
                </c:pt>
                <c:pt idx="24" formatCode="#,##0">
                  <c:v>7000</c:v>
                </c:pt>
                <c:pt idx="25" formatCode="#,##0">
                  <c:v>7000</c:v>
                </c:pt>
                <c:pt idx="26" formatCode="#,##0">
                  <c:v>7000</c:v>
                </c:pt>
                <c:pt idx="27" formatCode="#,##0">
                  <c:v>7000</c:v>
                </c:pt>
                <c:pt idx="28" formatCode="#,##0">
                  <c:v>7000</c:v>
                </c:pt>
                <c:pt idx="29" formatCode="#,##0">
                  <c:v>7000</c:v>
                </c:pt>
                <c:pt idx="30" formatCode="#,##0">
                  <c:v>7000</c:v>
                </c:pt>
                <c:pt idx="31" formatCode="#,##0">
                  <c:v>7000</c:v>
                </c:pt>
                <c:pt idx="32" formatCode="#,##0">
                  <c:v>7000</c:v>
                </c:pt>
                <c:pt idx="33" formatCode="#,##0">
                  <c:v>7000</c:v>
                </c:pt>
                <c:pt idx="34" formatCode="#,##0">
                  <c:v>7000</c:v>
                </c:pt>
                <c:pt idx="35" formatCode="#,##0">
                  <c:v>7000</c:v>
                </c:pt>
                <c:pt idx="36" formatCode="#,##0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4-4431-A43F-20ED09B69E49}"/>
            </c:ext>
          </c:extLst>
        </c:ser>
        <c:ser>
          <c:idx val="2"/>
          <c:order val="1"/>
          <c:tx>
            <c:v>Escapement Index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dPt>
            <c:idx val="16"/>
            <c:marker>
              <c:spPr>
                <a:solidFill>
                  <a:schemeClr val="bg1"/>
                </a:solidFill>
                <a:ln w="25400">
                  <a:solidFill>
                    <a:schemeClr val="tx1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F34-4431-A43F-20ED09B69E49}"/>
              </c:ext>
            </c:extLst>
          </c:dPt>
          <c:cat>
            <c:numRef>
              <c:f>'Summary Data'!$A$6:$A$42</c:f>
              <c:numCache>
                <c:formatCode>General</c:formatCode>
                <c:ptCount val="37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</c:numCache>
            </c:numRef>
          </c:cat>
          <c:val>
            <c:numRef>
              <c:f>'Summary Data'!$C$6:$C$42</c:f>
              <c:numCache>
                <c:formatCode>#,##0</c:formatCode>
                <c:ptCount val="37"/>
                <c:pt idx="0">
                  <c:v>455.8408662342689</c:v>
                </c:pt>
                <c:pt idx="1">
                  <c:v>2539.7855103785087</c:v>
                </c:pt>
                <c:pt idx="2">
                  <c:v>11579.406940083547</c:v>
                </c:pt>
                <c:pt idx="3">
                  <c:v>10991.361364818644</c:v>
                </c:pt>
                <c:pt idx="4">
                  <c:v>9798.1703772778565</c:v>
                </c:pt>
                <c:pt idx="5">
                  <c:v>14251.358370057878</c:v>
                </c:pt>
                <c:pt idx="6">
                  <c:v>3252.0306691668725</c:v>
                </c:pt>
                <c:pt idx="7">
                  <c:v>31570.474732028444</c:v>
                </c:pt>
                <c:pt idx="8">
                  <c:v>73180.571660014248</c:v>
                </c:pt>
                <c:pt idx="9">
                  <c:v>45509.809180830263</c:v>
                </c:pt>
                <c:pt idx="10">
                  <c:v>10325.816536999801</c:v>
                </c:pt>
                <c:pt idx="11">
                  <c:v>25018.47288086998</c:v>
                </c:pt>
                <c:pt idx="12">
                  <c:v>39710.382989154925</c:v>
                </c:pt>
                <c:pt idx="13">
                  <c:v>34797.618320235895</c:v>
                </c:pt>
                <c:pt idx="14">
                  <c:v>19209.334767083867</c:v>
                </c:pt>
                <c:pt idx="15">
                  <c:v>28898.406062239013</c:v>
                </c:pt>
                <c:pt idx="17">
                  <c:v>57753.571103648006</c:v>
                </c:pt>
                <c:pt idx="18">
                  <c:v>3032.1982934523489</c:v>
                </c:pt>
                <c:pt idx="19">
                  <c:v>3666.9945177828154</c:v>
                </c:pt>
                <c:pt idx="20">
                  <c:v>23987.72021155481</c:v>
                </c:pt>
                <c:pt idx="21">
                  <c:v>69892.769729965003</c:v>
                </c:pt>
                <c:pt idx="22">
                  <c:v>77262.733888424016</c:v>
                </c:pt>
                <c:pt idx="23">
                  <c:v>65653.382797031678</c:v>
                </c:pt>
                <c:pt idx="24">
                  <c:v>103952.85531936215</c:v>
                </c:pt>
                <c:pt idx="25">
                  <c:v>66938.383311286743</c:v>
                </c:pt>
                <c:pt idx="26">
                  <c:v>10063.982960379346</c:v>
                </c:pt>
                <c:pt idx="27">
                  <c:v>12568.76061614167</c:v>
                </c:pt>
                <c:pt idx="28">
                  <c:v>17156.230945944797</c:v>
                </c:pt>
                <c:pt idx="29">
                  <c:v>22719.73299576675</c:v>
                </c:pt>
                <c:pt idx="30">
                  <c:v>40943.876533464463</c:v>
                </c:pt>
                <c:pt idx="31">
                  <c:v>49124.280737701352</c:v>
                </c:pt>
                <c:pt idx="32">
                  <c:v>19936.125357064222</c:v>
                </c:pt>
                <c:pt idx="33">
                  <c:v>13982.744429542156</c:v>
                </c:pt>
                <c:pt idx="34">
                  <c:v>22774</c:v>
                </c:pt>
                <c:pt idx="35">
                  <c:v>55702</c:v>
                </c:pt>
                <c:pt idx="36">
                  <c:v>73810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34-4431-A43F-20ED09B69E49}"/>
            </c:ext>
          </c:extLst>
        </c:ser>
        <c:ser>
          <c:idx val="1"/>
          <c:order val="2"/>
          <c:tx>
            <c:v>Upper Bound</c:v>
          </c:tx>
          <c:spPr>
            <a:ln w="508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'Summary Data'!$A$6:$A$42</c:f>
              <c:numCache>
                <c:formatCode>General</c:formatCode>
                <c:ptCount val="37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</c:numCache>
            </c:numRef>
          </c:cat>
          <c:val>
            <c:numRef>
              <c:f>'Summary Data'!$L$6:$L$42</c:f>
              <c:numCache>
                <c:formatCode>General</c:formatCode>
                <c:ptCount val="37"/>
                <c:pt idx="21" formatCode="#,##0">
                  <c:v>25000</c:v>
                </c:pt>
                <c:pt idx="22" formatCode="#,##0">
                  <c:v>25000</c:v>
                </c:pt>
                <c:pt idx="23" formatCode="#,##0">
                  <c:v>25000</c:v>
                </c:pt>
                <c:pt idx="24" formatCode="#,##0">
                  <c:v>25000</c:v>
                </c:pt>
                <c:pt idx="25" formatCode="#,##0">
                  <c:v>25000</c:v>
                </c:pt>
                <c:pt idx="26" formatCode="#,##0">
                  <c:v>25000</c:v>
                </c:pt>
                <c:pt idx="27" formatCode="#,##0">
                  <c:v>25000</c:v>
                </c:pt>
                <c:pt idx="28" formatCode="#,##0">
                  <c:v>25000</c:v>
                </c:pt>
                <c:pt idx="29" formatCode="#,##0">
                  <c:v>25000</c:v>
                </c:pt>
                <c:pt idx="30" formatCode="#,##0">
                  <c:v>25000</c:v>
                </c:pt>
                <c:pt idx="31" formatCode="#,##0">
                  <c:v>25000</c:v>
                </c:pt>
                <c:pt idx="32" formatCode="#,##0">
                  <c:v>25000</c:v>
                </c:pt>
                <c:pt idx="33" formatCode="#,##0">
                  <c:v>25000</c:v>
                </c:pt>
                <c:pt idx="34" formatCode="#,##0">
                  <c:v>25000</c:v>
                </c:pt>
                <c:pt idx="35" formatCode="#,##0">
                  <c:v>25000</c:v>
                </c:pt>
                <c:pt idx="36" formatCode="#,##0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34-4431-A43F-20ED09B6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332544"/>
        <c:axId val="218338432"/>
      </c:lineChart>
      <c:catAx>
        <c:axId val="21833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0"/>
            </a:pPr>
            <a:endParaRPr lang="en-US"/>
          </a:p>
        </c:txPr>
        <c:crossAx val="2183384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18338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2000" b="1"/>
                </a:pPr>
                <a:r>
                  <a:rPr lang="en-US" sz="2000" b="1"/>
                  <a:t>Escapement (thousands)</a:t>
                </a:r>
              </a:p>
            </c:rich>
          </c:tx>
          <c:layout>
            <c:manualLayout>
              <c:xMode val="edge"/>
              <c:yMode val="edge"/>
              <c:x val="3.0503173835583052E-3"/>
              <c:y val="0.243601728362636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0"/>
            </a:pPr>
            <a:endParaRPr lang="en-US"/>
          </a:p>
        </c:txPr>
        <c:crossAx val="218332544"/>
        <c:crosses val="autoZero"/>
        <c:crossBetween val="midCat"/>
        <c:dispUnits>
          <c:builtInUnit val="thousands"/>
        </c:dispUnits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3246730341268773"/>
          <c:y val="0.15542560318576196"/>
          <c:w val="0.21751456944137879"/>
          <c:h val="0.11439882455334408"/>
        </c:manualLayout>
      </c:layout>
      <c:overlay val="1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2916229221347537E-2"/>
                  <c:y val="-0.52461687080781549"/>
                </c:manualLayout>
              </c:layout>
              <c:numFmt formatCode="General" sourceLinked="0"/>
            </c:trendlineLbl>
          </c:trendline>
          <c:xVal>
            <c:numRef>
              <c:f>'Run Reconstruction 1'!$B$6:$B$37</c:f>
              <c:numCache>
                <c:formatCode>#,##0</c:formatCode>
                <c:ptCount val="32"/>
                <c:pt idx="0">
                  <c:v>455.8408662342689</c:v>
                </c:pt>
                <c:pt idx="1">
                  <c:v>2539.7855103785087</c:v>
                </c:pt>
                <c:pt idx="2">
                  <c:v>11579.406940083547</c:v>
                </c:pt>
                <c:pt idx="3">
                  <c:v>10991.361364818644</c:v>
                </c:pt>
                <c:pt idx="4">
                  <c:v>9798.1703772778565</c:v>
                </c:pt>
                <c:pt idx="5">
                  <c:v>14251.358370057878</c:v>
                </c:pt>
                <c:pt idx="6">
                  <c:v>3252.0306691668725</c:v>
                </c:pt>
                <c:pt idx="7">
                  <c:v>31570.474732028444</c:v>
                </c:pt>
                <c:pt idx="8">
                  <c:v>73180.571660014248</c:v>
                </c:pt>
                <c:pt idx="9">
                  <c:v>45509.809180830263</c:v>
                </c:pt>
                <c:pt idx="10">
                  <c:v>10325.816536999801</c:v>
                </c:pt>
                <c:pt idx="11">
                  <c:v>25018.47288086998</c:v>
                </c:pt>
                <c:pt idx="12">
                  <c:v>39710.382989154925</c:v>
                </c:pt>
                <c:pt idx="13">
                  <c:v>34797.618320235895</c:v>
                </c:pt>
                <c:pt idx="14">
                  <c:v>19209.334767083867</c:v>
                </c:pt>
                <c:pt idx="15">
                  <c:v>28898.406062239013</c:v>
                </c:pt>
                <c:pt idx="16">
                  <c:v>35267.524024574981</c:v>
                </c:pt>
                <c:pt idx="17">
                  <c:v>57753.571103648006</c:v>
                </c:pt>
                <c:pt idx="18">
                  <c:v>3032.1982934523489</c:v>
                </c:pt>
                <c:pt idx="19">
                  <c:v>3666.9945177828154</c:v>
                </c:pt>
                <c:pt idx="20">
                  <c:v>23987.72021155481</c:v>
                </c:pt>
                <c:pt idx="21">
                  <c:v>69892.769729965003</c:v>
                </c:pt>
                <c:pt idx="22">
                  <c:v>77262.733888424016</c:v>
                </c:pt>
                <c:pt idx="23">
                  <c:v>65653.382797031678</c:v>
                </c:pt>
                <c:pt idx="24">
                  <c:v>103952.85531936215</c:v>
                </c:pt>
                <c:pt idx="25">
                  <c:v>66938.383311286743</c:v>
                </c:pt>
                <c:pt idx="26">
                  <c:v>10063.982960379346</c:v>
                </c:pt>
                <c:pt idx="27">
                  <c:v>12568.76061614167</c:v>
                </c:pt>
                <c:pt idx="28">
                  <c:v>17156.230945944797</c:v>
                </c:pt>
                <c:pt idx="29">
                  <c:v>22719.73299576675</c:v>
                </c:pt>
                <c:pt idx="30">
                  <c:v>40943.876533464463</c:v>
                </c:pt>
                <c:pt idx="31">
                  <c:v>49124.280737701352</c:v>
                </c:pt>
              </c:numCache>
            </c:numRef>
          </c:xVal>
          <c:yVal>
            <c:numRef>
              <c:f>'Run Reconstruction 1'!$G$6:$G$37</c:f>
              <c:numCache>
                <c:formatCode>0.0_);\(0.0\)</c:formatCode>
                <c:ptCount val="32"/>
                <c:pt idx="0">
                  <c:v>2.7106872354276033</c:v>
                </c:pt>
                <c:pt idx="1">
                  <c:v>1.6207417339409731</c:v>
                </c:pt>
                <c:pt idx="2">
                  <c:v>1.4642923782202717</c:v>
                </c:pt>
                <c:pt idx="3">
                  <c:v>2.1688390564757563</c:v>
                </c:pt>
                <c:pt idx="4">
                  <c:v>0.10800863456137061</c:v>
                </c:pt>
                <c:pt idx="5">
                  <c:v>1.8333767211699991E-4</c:v>
                </c:pt>
                <c:pt idx="6">
                  <c:v>2.3053584264102267</c:v>
                </c:pt>
                <c:pt idx="7">
                  <c:v>-0.13536966331804387</c:v>
                </c:pt>
                <c:pt idx="8">
                  <c:v>-0.49098921490777647</c:v>
                </c:pt>
                <c:pt idx="9">
                  <c:v>-0.23708686195209211</c:v>
                </c:pt>
                <c:pt idx="10">
                  <c:v>1.1640400189763491</c:v>
                </c:pt>
                <c:pt idx="11">
                  <c:v>0.28077960349252812</c:v>
                </c:pt>
                <c:pt idx="12">
                  <c:v>0.69759767711251697</c:v>
                </c:pt>
                <c:pt idx="13">
                  <c:v>-2.227267624313281</c:v>
                </c:pt>
                <c:pt idx="14">
                  <c:v>-0.94934709163502107</c:v>
                </c:pt>
                <c:pt idx="15">
                  <c:v>-6.0897949554844968E-2</c:v>
                </c:pt>
                <c:pt idx="16">
                  <c:v>0.83732913155391731</c:v>
                </c:pt>
                <c:pt idx="17">
                  <c:v>7.1000460897775952E-2</c:v>
                </c:pt>
                <c:pt idx="18">
                  <c:v>3.3965421950155843</c:v>
                </c:pt>
                <c:pt idx="19">
                  <c:v>3.0170896355898207</c:v>
                </c:pt>
                <c:pt idx="20">
                  <c:v>1.7841000444283426</c:v>
                </c:pt>
                <c:pt idx="21">
                  <c:v>-1.738384518833928</c:v>
                </c:pt>
                <c:pt idx="22">
                  <c:v>-1.506075275782748</c:v>
                </c:pt>
                <c:pt idx="23">
                  <c:v>-1.8753285946104632</c:v>
                </c:pt>
                <c:pt idx="24">
                  <c:v>-1.2488756057409411</c:v>
                </c:pt>
                <c:pt idx="25">
                  <c:v>-0.80676330749116876</c:v>
                </c:pt>
                <c:pt idx="26">
                  <c:v>1.9067287049593928</c:v>
                </c:pt>
                <c:pt idx="27">
                  <c:v>0.65581947698846821</c:v>
                </c:pt>
                <c:pt idx="28">
                  <c:v>5.712974835934621E-3</c:v>
                </c:pt>
                <c:pt idx="29">
                  <c:v>0.11904455922805954</c:v>
                </c:pt>
                <c:pt idx="30">
                  <c:v>-3.3981624085310476E-2</c:v>
                </c:pt>
                <c:pt idx="31">
                  <c:v>-0.70980933914620647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4-409C-9E40-E1D5B9165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004352"/>
        <c:axId val="222101504"/>
      </c:scatterChart>
      <c:valAx>
        <c:axId val="22200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Spawners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222101504"/>
        <c:crosses val="autoZero"/>
        <c:crossBetween val="midCat"/>
      </c:valAx>
      <c:valAx>
        <c:axId val="222101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ln(Return/Spawner)</a:t>
                </a:r>
              </a:p>
            </c:rich>
          </c:tx>
          <c:layout>
            <c:manualLayout>
              <c:xMode val="edge"/>
              <c:yMode val="edge"/>
              <c:x val="1.1111111111111125E-2"/>
              <c:y val="0.25858194808982232"/>
            </c:manualLayout>
          </c:layout>
          <c:overlay val="0"/>
        </c:title>
        <c:numFmt formatCode="0.0_);\(0.0\)" sourceLinked="1"/>
        <c:majorTickMark val="out"/>
        <c:minorTickMark val="none"/>
        <c:tickLblPos val="nextTo"/>
        <c:crossAx val="22200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 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1'!$M$80:$M$110</c:f>
              <c:numCache>
                <c:formatCode>0%</c:formatCode>
                <c:ptCount val="31"/>
                <c:pt idx="0">
                  <c:v>0.67274297719729081</c:v>
                </c:pt>
                <c:pt idx="1">
                  <c:v>0.21694216798093732</c:v>
                </c:pt>
                <c:pt idx="2">
                  <c:v>0.5432391524847312</c:v>
                </c:pt>
                <c:pt idx="3">
                  <c:v>0.55531317982237927</c:v>
                </c:pt>
                <c:pt idx="4">
                  <c:v>0.29666315263425963</c:v>
                </c:pt>
                <c:pt idx="5">
                  <c:v>0.32935379739635628</c:v>
                </c:pt>
                <c:pt idx="6">
                  <c:v>0.43084068106125256</c:v>
                </c:pt>
                <c:pt idx="7">
                  <c:v>0.56011462652097133</c:v>
                </c:pt>
                <c:pt idx="8">
                  <c:v>0.64481396204139441</c:v>
                </c:pt>
                <c:pt idx="14">
                  <c:v>0.47214615528032666</c:v>
                </c:pt>
                <c:pt idx="15">
                  <c:v>0.48363007018920656</c:v>
                </c:pt>
                <c:pt idx="16">
                  <c:v>0.79410562302488186</c:v>
                </c:pt>
                <c:pt idx="17">
                  <c:v>0.82983297889142627</c:v>
                </c:pt>
                <c:pt idx="18">
                  <c:v>0.50941929421347398</c:v>
                </c:pt>
                <c:pt idx="19">
                  <c:v>0.5953984522910607</c:v>
                </c:pt>
                <c:pt idx="20">
                  <c:v>0.46834980573366819</c:v>
                </c:pt>
                <c:pt idx="21">
                  <c:v>0.58647757559965352</c:v>
                </c:pt>
                <c:pt idx="22">
                  <c:v>0.69293739053049952</c:v>
                </c:pt>
                <c:pt idx="23">
                  <c:v>0.47964090046695168</c:v>
                </c:pt>
                <c:pt idx="24">
                  <c:v>0.5185629735569055</c:v>
                </c:pt>
                <c:pt idx="25">
                  <c:v>0.56736995768406351</c:v>
                </c:pt>
                <c:pt idx="26">
                  <c:v>0.53745600621204381</c:v>
                </c:pt>
                <c:pt idx="27">
                  <c:v>0.428474137207913</c:v>
                </c:pt>
                <c:pt idx="28">
                  <c:v>0.50512225953795831</c:v>
                </c:pt>
                <c:pt idx="29">
                  <c:v>0.37990268816501682</c:v>
                </c:pt>
                <c:pt idx="30">
                  <c:v>0.5384354121735424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C-4E08-9090-E8110EE155D4}"/>
            </c:ext>
          </c:extLst>
        </c:ser>
        <c:ser>
          <c:idx val="1"/>
          <c:order val="1"/>
          <c:tx>
            <c:v>age 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1'!$O$80:$O$110</c:f>
              <c:numCache>
                <c:formatCode>0%</c:formatCode>
                <c:ptCount val="31"/>
                <c:pt idx="0">
                  <c:v>4.956288641711859E-2</c:v>
                </c:pt>
                <c:pt idx="1">
                  <c:v>0.31285713012443533</c:v>
                </c:pt>
                <c:pt idx="2">
                  <c:v>0.42097857064480482</c:v>
                </c:pt>
                <c:pt idx="3">
                  <c:v>0.41369709214476802</c:v>
                </c:pt>
                <c:pt idx="4">
                  <c:v>0.27836336707570419</c:v>
                </c:pt>
                <c:pt idx="5">
                  <c:v>0.2912069907063361</c:v>
                </c:pt>
                <c:pt idx="6">
                  <c:v>0.50960345748132008</c:v>
                </c:pt>
                <c:pt idx="7">
                  <c:v>7.4497402446897162E-2</c:v>
                </c:pt>
                <c:pt idx="8">
                  <c:v>6.8290678334423427E-2</c:v>
                </c:pt>
                <c:pt idx="14">
                  <c:v>0.35948122405222144</c:v>
                </c:pt>
                <c:pt idx="15">
                  <c:v>0.46623106135614828</c:v>
                </c:pt>
                <c:pt idx="16">
                  <c:v>7.1664122515603071E-2</c:v>
                </c:pt>
                <c:pt idx="17">
                  <c:v>9.8955526265726471E-2</c:v>
                </c:pt>
                <c:pt idx="18">
                  <c:v>0.13669774318444691</c:v>
                </c:pt>
                <c:pt idx="19">
                  <c:v>0.14601231474429624</c:v>
                </c:pt>
                <c:pt idx="20">
                  <c:v>1.6997050950139325E-2</c:v>
                </c:pt>
                <c:pt idx="21">
                  <c:v>3.4043909308054732E-2</c:v>
                </c:pt>
                <c:pt idx="22">
                  <c:v>0.20401394998827801</c:v>
                </c:pt>
                <c:pt idx="23">
                  <c:v>0.35725427914700325</c:v>
                </c:pt>
                <c:pt idx="24">
                  <c:v>6.5910250192451003E-2</c:v>
                </c:pt>
                <c:pt idx="25">
                  <c:v>0.31733125818892471</c:v>
                </c:pt>
                <c:pt idx="26">
                  <c:v>7.3750299444931555E-2</c:v>
                </c:pt>
                <c:pt idx="27">
                  <c:v>7.8240287579568121E-3</c:v>
                </c:pt>
                <c:pt idx="28">
                  <c:v>4.2641187922912119E-2</c:v>
                </c:pt>
                <c:pt idx="29">
                  <c:v>0.25027540011310934</c:v>
                </c:pt>
                <c:pt idx="30">
                  <c:v>2.9610935908505335E-2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9C-4E08-9090-E8110EE155D4}"/>
            </c:ext>
          </c:extLst>
        </c:ser>
        <c:ser>
          <c:idx val="2"/>
          <c:order val="2"/>
          <c:tx>
            <c:v>age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1'!$K$80:$K$110</c:f>
              <c:numCache>
                <c:formatCode>0%</c:formatCode>
                <c:ptCount val="31"/>
                <c:pt idx="0">
                  <c:v>0.26369751986202372</c:v>
                </c:pt>
                <c:pt idx="1">
                  <c:v>0.46317506003908404</c:v>
                </c:pt>
                <c:pt idx="2">
                  <c:v>9.3059161023313196E-3</c:v>
                </c:pt>
                <c:pt idx="3">
                  <c:v>2.8866675775338496E-2</c:v>
                </c:pt>
                <c:pt idx="4">
                  <c:v>0.38673680669841159</c:v>
                </c:pt>
                <c:pt idx="5">
                  <c:v>0.29439687979462809</c:v>
                </c:pt>
                <c:pt idx="6">
                  <c:v>5.325174474601807E-2</c:v>
                </c:pt>
                <c:pt idx="7">
                  <c:v>0.33802995938718539</c:v>
                </c:pt>
                <c:pt idx="8">
                  <c:v>0.2808940983983868</c:v>
                </c:pt>
                <c:pt idx="14">
                  <c:v>0.13973808070092963</c:v>
                </c:pt>
                <c:pt idx="15">
                  <c:v>4.7195437212096993E-2</c:v>
                </c:pt>
                <c:pt idx="16">
                  <c:v>0.13179155519544122</c:v>
                </c:pt>
                <c:pt idx="17">
                  <c:v>7.0490378568990611E-2</c:v>
                </c:pt>
                <c:pt idx="18">
                  <c:v>0.35151572274758491</c:v>
                </c:pt>
                <c:pt idx="19">
                  <c:v>0.24657936260731619</c:v>
                </c:pt>
                <c:pt idx="20">
                  <c:v>0.50550038570982769</c:v>
                </c:pt>
                <c:pt idx="21">
                  <c:v>0.3794785150922918</c:v>
                </c:pt>
                <c:pt idx="22">
                  <c:v>0.10304865948122237</c:v>
                </c:pt>
                <c:pt idx="23">
                  <c:v>0.16088774171859155</c:v>
                </c:pt>
                <c:pt idx="24">
                  <c:v>0.39695685940823872</c:v>
                </c:pt>
                <c:pt idx="25">
                  <c:v>0.11208283088511299</c:v>
                </c:pt>
                <c:pt idx="26">
                  <c:v>0.35281043523960942</c:v>
                </c:pt>
                <c:pt idx="27">
                  <c:v>0.41744374657038669</c:v>
                </c:pt>
                <c:pt idx="28">
                  <c:v>0.35816052649927899</c:v>
                </c:pt>
                <c:pt idx="29">
                  <c:v>0.25895307961820185</c:v>
                </c:pt>
                <c:pt idx="30">
                  <c:v>0.39309809027013665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9C-4E08-9090-E8110EE15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127752"/>
        <c:axId val="992134312"/>
      </c:lineChart>
      <c:catAx>
        <c:axId val="992127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34312"/>
        <c:crosses val="autoZero"/>
        <c:auto val="1"/>
        <c:lblAlgn val="ctr"/>
        <c:lblOffset val="100"/>
        <c:noMultiLvlLbl val="0"/>
      </c:catAx>
      <c:valAx>
        <c:axId val="99213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2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2916229221347537E-2"/>
                  <c:y val="-0.52461687080781549"/>
                </c:manualLayout>
              </c:layout>
              <c:numFmt formatCode="General" sourceLinked="0"/>
            </c:trendlineLbl>
          </c:trendline>
          <c:xVal>
            <c:numRef>
              <c:f>'Run Reconstruction 2'!$B$6:$B$37</c:f>
              <c:numCache>
                <c:formatCode>#,##0</c:formatCode>
                <c:ptCount val="32"/>
                <c:pt idx="0">
                  <c:v>455.8408662342689</c:v>
                </c:pt>
                <c:pt idx="1">
                  <c:v>2539.7855103785087</c:v>
                </c:pt>
                <c:pt idx="2">
                  <c:v>11579.406940083547</c:v>
                </c:pt>
                <c:pt idx="3">
                  <c:v>10991.361364818644</c:v>
                </c:pt>
                <c:pt idx="4">
                  <c:v>9798.1703772778565</c:v>
                </c:pt>
                <c:pt idx="5">
                  <c:v>14251.358370057878</c:v>
                </c:pt>
                <c:pt idx="6">
                  <c:v>3252.0306691668725</c:v>
                </c:pt>
                <c:pt idx="7">
                  <c:v>31570.474732028444</c:v>
                </c:pt>
                <c:pt idx="8">
                  <c:v>73180.571660014248</c:v>
                </c:pt>
                <c:pt idx="9">
                  <c:v>45509.809180830263</c:v>
                </c:pt>
                <c:pt idx="10">
                  <c:v>10325.816536999801</c:v>
                </c:pt>
                <c:pt idx="11">
                  <c:v>25018.47288086998</c:v>
                </c:pt>
                <c:pt idx="12">
                  <c:v>39710.382989154925</c:v>
                </c:pt>
                <c:pt idx="13">
                  <c:v>34797.618320235895</c:v>
                </c:pt>
                <c:pt idx="14">
                  <c:v>19209.334767083867</c:v>
                </c:pt>
                <c:pt idx="15">
                  <c:v>28898.406062239013</c:v>
                </c:pt>
                <c:pt idx="16">
                  <c:v>33793.830093398377</c:v>
                </c:pt>
                <c:pt idx="17">
                  <c:v>57753.571103648006</c:v>
                </c:pt>
                <c:pt idx="18">
                  <c:v>3032.1982934523489</c:v>
                </c:pt>
                <c:pt idx="19">
                  <c:v>3666.9945177828154</c:v>
                </c:pt>
                <c:pt idx="20">
                  <c:v>23987.72021155481</c:v>
                </c:pt>
                <c:pt idx="21">
                  <c:v>69892.769729965003</c:v>
                </c:pt>
                <c:pt idx="22">
                  <c:v>77262.733888424016</c:v>
                </c:pt>
                <c:pt idx="23">
                  <c:v>65653.382797031678</c:v>
                </c:pt>
                <c:pt idx="24">
                  <c:v>103952.85531936215</c:v>
                </c:pt>
                <c:pt idx="25">
                  <c:v>66938.383311286743</c:v>
                </c:pt>
                <c:pt idx="26">
                  <c:v>10063.982960379346</c:v>
                </c:pt>
                <c:pt idx="27">
                  <c:v>12568.76061614167</c:v>
                </c:pt>
                <c:pt idx="28">
                  <c:v>17156.230945944797</c:v>
                </c:pt>
                <c:pt idx="29">
                  <c:v>22719.73299576675</c:v>
                </c:pt>
                <c:pt idx="30">
                  <c:v>40943.876533464463</c:v>
                </c:pt>
                <c:pt idx="31">
                  <c:v>49124.280737701352</c:v>
                </c:pt>
              </c:numCache>
            </c:numRef>
          </c:xVal>
          <c:yVal>
            <c:numRef>
              <c:f>'Run Reconstruction 2'!$G$6:$G$37</c:f>
              <c:numCache>
                <c:formatCode>0.0_);\(0.0\)</c:formatCode>
                <c:ptCount val="32"/>
                <c:pt idx="0">
                  <c:v>2.7106872354276033</c:v>
                </c:pt>
                <c:pt idx="1">
                  <c:v>1.6207417339409731</c:v>
                </c:pt>
                <c:pt idx="2">
                  <c:v>1.4642923782202717</c:v>
                </c:pt>
                <c:pt idx="3">
                  <c:v>2.1688390564757563</c:v>
                </c:pt>
                <c:pt idx="4">
                  <c:v>0.10800863456137061</c:v>
                </c:pt>
                <c:pt idx="5">
                  <c:v>1.8333767211699991E-4</c:v>
                </c:pt>
                <c:pt idx="6">
                  <c:v>2.3053584264102267</c:v>
                </c:pt>
                <c:pt idx="7">
                  <c:v>-0.13536966331804387</c:v>
                </c:pt>
                <c:pt idx="8">
                  <c:v>-0.49098921490777647</c:v>
                </c:pt>
                <c:pt idx="9">
                  <c:v>-0.22969823704009223</c:v>
                </c:pt>
                <c:pt idx="10">
                  <c:v>1.2588468049607198</c:v>
                </c:pt>
                <c:pt idx="11">
                  <c:v>0.17645307117902953</c:v>
                </c:pt>
                <c:pt idx="12">
                  <c:v>0.67601902696607075</c:v>
                </c:pt>
                <c:pt idx="13">
                  <c:v>-2.2390223944937153</c:v>
                </c:pt>
                <c:pt idx="14">
                  <c:v>-0.94934709163502107</c:v>
                </c:pt>
                <c:pt idx="15">
                  <c:v>-6.0897949554844968E-2</c:v>
                </c:pt>
                <c:pt idx="16">
                  <c:v>0.88001342851945064</c:v>
                </c:pt>
                <c:pt idx="17">
                  <c:v>7.1000460897775952E-2</c:v>
                </c:pt>
                <c:pt idx="18">
                  <c:v>3.3965421950155843</c:v>
                </c:pt>
                <c:pt idx="19">
                  <c:v>3.0170896355898207</c:v>
                </c:pt>
                <c:pt idx="20">
                  <c:v>1.7841000444283426</c:v>
                </c:pt>
                <c:pt idx="21">
                  <c:v>-1.738384518833928</c:v>
                </c:pt>
                <c:pt idx="22">
                  <c:v>-1.506075275782748</c:v>
                </c:pt>
                <c:pt idx="23">
                  <c:v>-1.8753285946104632</c:v>
                </c:pt>
                <c:pt idx="24">
                  <c:v>-1.2488756057409411</c:v>
                </c:pt>
                <c:pt idx="25">
                  <c:v>-0.80676330749116876</c:v>
                </c:pt>
                <c:pt idx="26">
                  <c:v>1.9067287049593928</c:v>
                </c:pt>
                <c:pt idx="27">
                  <c:v>0.65581947698846821</c:v>
                </c:pt>
                <c:pt idx="28">
                  <c:v>5.712974835934621E-3</c:v>
                </c:pt>
                <c:pt idx="29">
                  <c:v>0.11904455922805954</c:v>
                </c:pt>
                <c:pt idx="30">
                  <c:v>-3.3981624085310476E-2</c:v>
                </c:pt>
                <c:pt idx="31">
                  <c:v>-0.70980933914620647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2C-48E0-B178-142A819C3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004352"/>
        <c:axId val="222101504"/>
      </c:scatterChart>
      <c:valAx>
        <c:axId val="22200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Spawners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222101504"/>
        <c:crosses val="autoZero"/>
        <c:crossBetween val="midCat"/>
      </c:valAx>
      <c:valAx>
        <c:axId val="222101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ln(Return/Spawner)</a:t>
                </a:r>
              </a:p>
            </c:rich>
          </c:tx>
          <c:layout>
            <c:manualLayout>
              <c:xMode val="edge"/>
              <c:yMode val="edge"/>
              <c:x val="1.1111111111111125E-2"/>
              <c:y val="0.25858194808982232"/>
            </c:manualLayout>
          </c:layout>
          <c:overlay val="0"/>
        </c:title>
        <c:numFmt formatCode="0.0_);\(0.0\)" sourceLinked="1"/>
        <c:majorTickMark val="out"/>
        <c:minorTickMark val="none"/>
        <c:tickLblPos val="nextTo"/>
        <c:crossAx val="22200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 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2'!$M$80:$M$110</c:f>
              <c:numCache>
                <c:formatCode>0%</c:formatCode>
                <c:ptCount val="31"/>
                <c:pt idx="0">
                  <c:v>0.67274297719729081</c:v>
                </c:pt>
                <c:pt idx="1">
                  <c:v>0.21694216798093732</c:v>
                </c:pt>
                <c:pt idx="2">
                  <c:v>0.5432391524847312</c:v>
                </c:pt>
                <c:pt idx="3">
                  <c:v>0.55531317982237927</c:v>
                </c:pt>
                <c:pt idx="4">
                  <c:v>0.29666315263425963</c:v>
                </c:pt>
                <c:pt idx="5">
                  <c:v>0.32935379739635628</c:v>
                </c:pt>
                <c:pt idx="6">
                  <c:v>0.43084068106125256</c:v>
                </c:pt>
                <c:pt idx="7">
                  <c:v>0.56011462652097133</c:v>
                </c:pt>
                <c:pt idx="8">
                  <c:v>0.64481396204139441</c:v>
                </c:pt>
                <c:pt idx="14">
                  <c:v>0.47214615528032666</c:v>
                </c:pt>
                <c:pt idx="15">
                  <c:v>0.48363007018920656</c:v>
                </c:pt>
                <c:pt idx="16">
                  <c:v>0.79410562302488186</c:v>
                </c:pt>
                <c:pt idx="17">
                  <c:v>0.82983297889142627</c:v>
                </c:pt>
                <c:pt idx="18">
                  <c:v>0.50941929421347398</c:v>
                </c:pt>
                <c:pt idx="19">
                  <c:v>0.5953984522910607</c:v>
                </c:pt>
                <c:pt idx="20">
                  <c:v>0.46834980573366819</c:v>
                </c:pt>
                <c:pt idx="21">
                  <c:v>0.58647757559965352</c:v>
                </c:pt>
                <c:pt idx="22">
                  <c:v>0.69293739053049952</c:v>
                </c:pt>
                <c:pt idx="23">
                  <c:v>0.47964090046695168</c:v>
                </c:pt>
                <c:pt idx="24">
                  <c:v>0.5185629735569055</c:v>
                </c:pt>
                <c:pt idx="25">
                  <c:v>0.56736995768406351</c:v>
                </c:pt>
                <c:pt idx="26">
                  <c:v>0.53745600621204381</c:v>
                </c:pt>
                <c:pt idx="27">
                  <c:v>0.428474137207913</c:v>
                </c:pt>
                <c:pt idx="28">
                  <c:v>0.50512225953795831</c:v>
                </c:pt>
                <c:pt idx="29">
                  <c:v>0.37990268816501682</c:v>
                </c:pt>
                <c:pt idx="30">
                  <c:v>0.5384354121735424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E-465D-A1CE-3D9CD9284A9A}"/>
            </c:ext>
          </c:extLst>
        </c:ser>
        <c:ser>
          <c:idx val="1"/>
          <c:order val="1"/>
          <c:tx>
            <c:v>age 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2'!$O$80:$O$110</c:f>
              <c:numCache>
                <c:formatCode>0%</c:formatCode>
                <c:ptCount val="31"/>
                <c:pt idx="0">
                  <c:v>4.956288641711859E-2</c:v>
                </c:pt>
                <c:pt idx="1">
                  <c:v>0.31285713012443533</c:v>
                </c:pt>
                <c:pt idx="2">
                  <c:v>0.42097857064480482</c:v>
                </c:pt>
                <c:pt idx="3">
                  <c:v>0.41369709214476802</c:v>
                </c:pt>
                <c:pt idx="4">
                  <c:v>0.27836336707570419</c:v>
                </c:pt>
                <c:pt idx="5">
                  <c:v>0.2912069907063361</c:v>
                </c:pt>
                <c:pt idx="6">
                  <c:v>0.50960345748132008</c:v>
                </c:pt>
                <c:pt idx="7">
                  <c:v>7.4497402446897162E-2</c:v>
                </c:pt>
                <c:pt idx="8">
                  <c:v>6.8290678334423427E-2</c:v>
                </c:pt>
                <c:pt idx="14">
                  <c:v>0.35948122405222144</c:v>
                </c:pt>
                <c:pt idx="15">
                  <c:v>0.46623106135614828</c:v>
                </c:pt>
                <c:pt idx="16">
                  <c:v>7.1664122515603071E-2</c:v>
                </c:pt>
                <c:pt idx="17">
                  <c:v>9.8955526265726471E-2</c:v>
                </c:pt>
                <c:pt idx="18">
                  <c:v>0.13669774318444691</c:v>
                </c:pt>
                <c:pt idx="19">
                  <c:v>0.14601231474429624</c:v>
                </c:pt>
                <c:pt idx="20">
                  <c:v>1.6997050950139325E-2</c:v>
                </c:pt>
                <c:pt idx="21">
                  <c:v>3.4043909308054732E-2</c:v>
                </c:pt>
                <c:pt idx="22">
                  <c:v>0.20401394998827801</c:v>
                </c:pt>
                <c:pt idx="23">
                  <c:v>0.35725427914700325</c:v>
                </c:pt>
                <c:pt idx="24">
                  <c:v>6.5910250192451003E-2</c:v>
                </c:pt>
                <c:pt idx="25">
                  <c:v>0.31733125818892471</c:v>
                </c:pt>
                <c:pt idx="26">
                  <c:v>7.3750299444931555E-2</c:v>
                </c:pt>
                <c:pt idx="27">
                  <c:v>7.8240287579568121E-3</c:v>
                </c:pt>
                <c:pt idx="28">
                  <c:v>4.2641187922912119E-2</c:v>
                </c:pt>
                <c:pt idx="29">
                  <c:v>0.25027540011310934</c:v>
                </c:pt>
                <c:pt idx="30">
                  <c:v>2.9610935908505335E-2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E-465D-A1CE-3D9CD9284A9A}"/>
            </c:ext>
          </c:extLst>
        </c:ser>
        <c:ser>
          <c:idx val="2"/>
          <c:order val="2"/>
          <c:tx>
            <c:v>age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2'!$K$80:$K$110</c:f>
              <c:numCache>
                <c:formatCode>0%</c:formatCode>
                <c:ptCount val="31"/>
                <c:pt idx="0">
                  <c:v>0.26369751986202372</c:v>
                </c:pt>
                <c:pt idx="1">
                  <c:v>0.46317506003908404</c:v>
                </c:pt>
                <c:pt idx="2">
                  <c:v>9.3059161023313196E-3</c:v>
                </c:pt>
                <c:pt idx="3">
                  <c:v>2.8866675775338496E-2</c:v>
                </c:pt>
                <c:pt idx="4">
                  <c:v>0.38673680669841159</c:v>
                </c:pt>
                <c:pt idx="5">
                  <c:v>0.29439687979462809</c:v>
                </c:pt>
                <c:pt idx="6">
                  <c:v>5.325174474601807E-2</c:v>
                </c:pt>
                <c:pt idx="7">
                  <c:v>0.33802995938718539</c:v>
                </c:pt>
                <c:pt idx="8">
                  <c:v>0.2808940983983868</c:v>
                </c:pt>
                <c:pt idx="14">
                  <c:v>0.13973808070092963</c:v>
                </c:pt>
                <c:pt idx="15">
                  <c:v>4.7195437212096993E-2</c:v>
                </c:pt>
                <c:pt idx="16">
                  <c:v>0.13179155519544122</c:v>
                </c:pt>
                <c:pt idx="17">
                  <c:v>7.0490378568990611E-2</c:v>
                </c:pt>
                <c:pt idx="18">
                  <c:v>0.35151572274758491</c:v>
                </c:pt>
                <c:pt idx="19">
                  <c:v>0.24657936260731619</c:v>
                </c:pt>
                <c:pt idx="20">
                  <c:v>0.50550038570982769</c:v>
                </c:pt>
                <c:pt idx="21">
                  <c:v>0.3794785150922918</c:v>
                </c:pt>
                <c:pt idx="22">
                  <c:v>0.10304865948122237</c:v>
                </c:pt>
                <c:pt idx="23">
                  <c:v>0.16088774171859155</c:v>
                </c:pt>
                <c:pt idx="24">
                  <c:v>0.39695685940823872</c:v>
                </c:pt>
                <c:pt idx="25">
                  <c:v>0.11208283088511299</c:v>
                </c:pt>
                <c:pt idx="26">
                  <c:v>0.35281043523960942</c:v>
                </c:pt>
                <c:pt idx="27">
                  <c:v>0.41744374657038669</c:v>
                </c:pt>
                <c:pt idx="28">
                  <c:v>0.35816052649927899</c:v>
                </c:pt>
                <c:pt idx="29">
                  <c:v>0.25895307961820185</c:v>
                </c:pt>
                <c:pt idx="30">
                  <c:v>0.39309809027013665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5E-465D-A1CE-3D9CD9284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127752"/>
        <c:axId val="992134312"/>
      </c:lineChart>
      <c:catAx>
        <c:axId val="992127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34312"/>
        <c:crosses val="autoZero"/>
        <c:auto val="1"/>
        <c:lblAlgn val="ctr"/>
        <c:lblOffset val="100"/>
        <c:noMultiLvlLbl val="0"/>
      </c:catAx>
      <c:valAx>
        <c:axId val="99213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2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2916229221347537E-2"/>
                  <c:y val="-0.52461687080781549"/>
                </c:manualLayout>
              </c:layout>
              <c:numFmt formatCode="General" sourceLinked="0"/>
            </c:trendlineLbl>
          </c:trendline>
          <c:xVal>
            <c:numRef>
              <c:f>'Run Reconstruction 3'!$B$6:$B$37</c:f>
              <c:numCache>
                <c:formatCode>#,##0</c:formatCode>
                <c:ptCount val="32"/>
                <c:pt idx="0">
                  <c:v>455.8408662342689</c:v>
                </c:pt>
                <c:pt idx="1">
                  <c:v>2539.7855103785087</c:v>
                </c:pt>
                <c:pt idx="2">
                  <c:v>11579.406940083547</c:v>
                </c:pt>
                <c:pt idx="3">
                  <c:v>10991.361364818644</c:v>
                </c:pt>
                <c:pt idx="4">
                  <c:v>9798.1703772778565</c:v>
                </c:pt>
                <c:pt idx="5">
                  <c:v>14251.358370057878</c:v>
                </c:pt>
                <c:pt idx="6">
                  <c:v>3252.0306691668725</c:v>
                </c:pt>
                <c:pt idx="7">
                  <c:v>31570.474732028444</c:v>
                </c:pt>
                <c:pt idx="8">
                  <c:v>73180.571660014248</c:v>
                </c:pt>
                <c:pt idx="9">
                  <c:v>45509.809180830263</c:v>
                </c:pt>
                <c:pt idx="10">
                  <c:v>10325.816536999801</c:v>
                </c:pt>
                <c:pt idx="11">
                  <c:v>25018.47288086998</c:v>
                </c:pt>
                <c:pt idx="12">
                  <c:v>39710.382989154925</c:v>
                </c:pt>
                <c:pt idx="13">
                  <c:v>34797.618320235895</c:v>
                </c:pt>
                <c:pt idx="14">
                  <c:v>19209.334767083867</c:v>
                </c:pt>
                <c:pt idx="15">
                  <c:v>28898.406062239013</c:v>
                </c:pt>
                <c:pt idx="16">
                  <c:v>40441.341810884172</c:v>
                </c:pt>
                <c:pt idx="17">
                  <c:v>57753.571103648006</c:v>
                </c:pt>
                <c:pt idx="18">
                  <c:v>3032.1982934523489</c:v>
                </c:pt>
                <c:pt idx="19">
                  <c:v>3666.9945177828154</c:v>
                </c:pt>
                <c:pt idx="20">
                  <c:v>23987.72021155481</c:v>
                </c:pt>
                <c:pt idx="21">
                  <c:v>69892.769729965003</c:v>
                </c:pt>
                <c:pt idx="22">
                  <c:v>77262.733888424016</c:v>
                </c:pt>
                <c:pt idx="23">
                  <c:v>65653.382797031678</c:v>
                </c:pt>
                <c:pt idx="24">
                  <c:v>103952.85531936215</c:v>
                </c:pt>
                <c:pt idx="25">
                  <c:v>66938.383311286743</c:v>
                </c:pt>
                <c:pt idx="26">
                  <c:v>10063.982960379346</c:v>
                </c:pt>
                <c:pt idx="27">
                  <c:v>12568.76061614167</c:v>
                </c:pt>
                <c:pt idx="28">
                  <c:v>17156.230945944797</c:v>
                </c:pt>
                <c:pt idx="29">
                  <c:v>22719.73299576675</c:v>
                </c:pt>
                <c:pt idx="30">
                  <c:v>40943.876533464463</c:v>
                </c:pt>
                <c:pt idx="31">
                  <c:v>49124.280737701352</c:v>
                </c:pt>
              </c:numCache>
            </c:numRef>
          </c:xVal>
          <c:yVal>
            <c:numRef>
              <c:f>'Run Reconstruction 3'!$G$6:$G$37</c:f>
              <c:numCache>
                <c:formatCode>0.0_);\(0.0\)</c:formatCode>
                <c:ptCount val="32"/>
                <c:pt idx="0">
                  <c:v>2.7106872354276033</c:v>
                </c:pt>
                <c:pt idx="1">
                  <c:v>1.6207417339409731</c:v>
                </c:pt>
                <c:pt idx="2">
                  <c:v>1.4642923782202717</c:v>
                </c:pt>
                <c:pt idx="3">
                  <c:v>2.1688390564757563</c:v>
                </c:pt>
                <c:pt idx="4">
                  <c:v>0.10800863456137061</c:v>
                </c:pt>
                <c:pt idx="5">
                  <c:v>1.8333767211699991E-4</c:v>
                </c:pt>
                <c:pt idx="6">
                  <c:v>2.3053584264102267</c:v>
                </c:pt>
                <c:pt idx="7">
                  <c:v>-0.13536966331804387</c:v>
                </c:pt>
                <c:pt idx="8">
                  <c:v>-0.49098921490777647</c:v>
                </c:pt>
                <c:pt idx="9">
                  <c:v>-0.23524338235008607</c:v>
                </c:pt>
                <c:pt idx="10">
                  <c:v>1.2563040287935001</c:v>
                </c:pt>
                <c:pt idx="11">
                  <c:v>0.50969047711235704</c:v>
                </c:pt>
                <c:pt idx="12">
                  <c:v>0.59676794291702329</c:v>
                </c:pt>
                <c:pt idx="13">
                  <c:v>-1.9830993095810003</c:v>
                </c:pt>
                <c:pt idx="14">
                  <c:v>-0.94934709163502107</c:v>
                </c:pt>
                <c:pt idx="15">
                  <c:v>-6.0897949554844968E-2</c:v>
                </c:pt>
                <c:pt idx="16">
                  <c:v>0.7004390988394994</c:v>
                </c:pt>
                <c:pt idx="17">
                  <c:v>7.1000460897775952E-2</c:v>
                </c:pt>
                <c:pt idx="18">
                  <c:v>3.3965421950155843</c:v>
                </c:pt>
                <c:pt idx="19">
                  <c:v>3.0170896355898207</c:v>
                </c:pt>
                <c:pt idx="20">
                  <c:v>1.7841000444283426</c:v>
                </c:pt>
                <c:pt idx="21">
                  <c:v>-1.738384518833928</c:v>
                </c:pt>
                <c:pt idx="22">
                  <c:v>-1.506075275782748</c:v>
                </c:pt>
                <c:pt idx="23">
                  <c:v>-1.8753285946104632</c:v>
                </c:pt>
                <c:pt idx="24">
                  <c:v>-1.2488756057409411</c:v>
                </c:pt>
                <c:pt idx="25">
                  <c:v>-0.80676330749116876</c:v>
                </c:pt>
                <c:pt idx="26">
                  <c:v>1.9067287049593928</c:v>
                </c:pt>
                <c:pt idx="27">
                  <c:v>0.65581947698846821</c:v>
                </c:pt>
                <c:pt idx="28">
                  <c:v>5.712974835934621E-3</c:v>
                </c:pt>
                <c:pt idx="29">
                  <c:v>0.11904455922805954</c:v>
                </c:pt>
                <c:pt idx="30">
                  <c:v>-3.3981624085310476E-2</c:v>
                </c:pt>
                <c:pt idx="31">
                  <c:v>-0.70980933914620647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2B-40D2-8592-63B54E23C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004352"/>
        <c:axId val="222101504"/>
      </c:scatterChart>
      <c:valAx>
        <c:axId val="22200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Spawners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222101504"/>
        <c:crosses val="autoZero"/>
        <c:crossBetween val="midCat"/>
      </c:valAx>
      <c:valAx>
        <c:axId val="222101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ln(Return/Spawner)</a:t>
                </a:r>
              </a:p>
            </c:rich>
          </c:tx>
          <c:layout>
            <c:manualLayout>
              <c:xMode val="edge"/>
              <c:yMode val="edge"/>
              <c:x val="1.1111111111111125E-2"/>
              <c:y val="0.25858194808982232"/>
            </c:manualLayout>
          </c:layout>
          <c:overlay val="0"/>
        </c:title>
        <c:numFmt formatCode="0.0_);\(0.0\)" sourceLinked="1"/>
        <c:majorTickMark val="out"/>
        <c:minorTickMark val="none"/>
        <c:tickLblPos val="nextTo"/>
        <c:crossAx val="22200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 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3'!$M$80:$M$110</c:f>
              <c:numCache>
                <c:formatCode>0%</c:formatCode>
                <c:ptCount val="31"/>
                <c:pt idx="0">
                  <c:v>0.67274297719729081</c:v>
                </c:pt>
                <c:pt idx="1">
                  <c:v>0.21694216798093732</c:v>
                </c:pt>
                <c:pt idx="2">
                  <c:v>0.5432391524847312</c:v>
                </c:pt>
                <c:pt idx="3">
                  <c:v>0.55531317982237927</c:v>
                </c:pt>
                <c:pt idx="4">
                  <c:v>0.29666315263425963</c:v>
                </c:pt>
                <c:pt idx="5">
                  <c:v>0.32935379739635628</c:v>
                </c:pt>
                <c:pt idx="6">
                  <c:v>0.43084068106125256</c:v>
                </c:pt>
                <c:pt idx="7">
                  <c:v>0.56011462652097133</c:v>
                </c:pt>
                <c:pt idx="8">
                  <c:v>0.64481396204139441</c:v>
                </c:pt>
                <c:pt idx="14">
                  <c:v>0.47214615528032666</c:v>
                </c:pt>
                <c:pt idx="15">
                  <c:v>0.48363007018920656</c:v>
                </c:pt>
                <c:pt idx="16">
                  <c:v>0.79410562302488186</c:v>
                </c:pt>
                <c:pt idx="17">
                  <c:v>0.82983297889142627</c:v>
                </c:pt>
                <c:pt idx="18">
                  <c:v>0.50941929421347398</c:v>
                </c:pt>
                <c:pt idx="19">
                  <c:v>0.5953984522910607</c:v>
                </c:pt>
                <c:pt idx="20">
                  <c:v>0.46834980573366819</c:v>
                </c:pt>
                <c:pt idx="21">
                  <c:v>0.58647757559965352</c:v>
                </c:pt>
                <c:pt idx="22">
                  <c:v>0.69293739053049952</c:v>
                </c:pt>
                <c:pt idx="23">
                  <c:v>0.47964090046695168</c:v>
                </c:pt>
                <c:pt idx="24">
                  <c:v>0.5185629735569055</c:v>
                </c:pt>
                <c:pt idx="25">
                  <c:v>0.56736995768406351</c:v>
                </c:pt>
                <c:pt idx="26">
                  <c:v>0.53745600621204381</c:v>
                </c:pt>
                <c:pt idx="27">
                  <c:v>0.428474137207913</c:v>
                </c:pt>
                <c:pt idx="28">
                  <c:v>0.50512225953795831</c:v>
                </c:pt>
                <c:pt idx="29">
                  <c:v>0.37990268816501682</c:v>
                </c:pt>
                <c:pt idx="30">
                  <c:v>0.5384354121735424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D-4C3B-A5FC-FA97B7E332D3}"/>
            </c:ext>
          </c:extLst>
        </c:ser>
        <c:ser>
          <c:idx val="1"/>
          <c:order val="1"/>
          <c:tx>
            <c:v>age 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3'!$O$80:$O$110</c:f>
              <c:numCache>
                <c:formatCode>0%</c:formatCode>
                <c:ptCount val="31"/>
                <c:pt idx="0">
                  <c:v>4.956288641711859E-2</c:v>
                </c:pt>
                <c:pt idx="1">
                  <c:v>0.31285713012443533</c:v>
                </c:pt>
                <c:pt idx="2">
                  <c:v>0.42097857064480482</c:v>
                </c:pt>
                <c:pt idx="3">
                  <c:v>0.41369709214476802</c:v>
                </c:pt>
                <c:pt idx="4">
                  <c:v>0.27836336707570419</c:v>
                </c:pt>
                <c:pt idx="5">
                  <c:v>0.2912069907063361</c:v>
                </c:pt>
                <c:pt idx="6">
                  <c:v>0.50960345748132008</c:v>
                </c:pt>
                <c:pt idx="7">
                  <c:v>7.4497402446897162E-2</c:v>
                </c:pt>
                <c:pt idx="8">
                  <c:v>6.8290678334423427E-2</c:v>
                </c:pt>
                <c:pt idx="14">
                  <c:v>0.35948122405222144</c:v>
                </c:pt>
                <c:pt idx="15">
                  <c:v>0.46623106135614828</c:v>
                </c:pt>
                <c:pt idx="16">
                  <c:v>7.1664122515603071E-2</c:v>
                </c:pt>
                <c:pt idx="17">
                  <c:v>9.8955526265726471E-2</c:v>
                </c:pt>
                <c:pt idx="18">
                  <c:v>0.13669774318444691</c:v>
                </c:pt>
                <c:pt idx="19">
                  <c:v>0.14601231474429624</c:v>
                </c:pt>
                <c:pt idx="20">
                  <c:v>1.6997050950139325E-2</c:v>
                </c:pt>
                <c:pt idx="21">
                  <c:v>3.4043909308054732E-2</c:v>
                </c:pt>
                <c:pt idx="22">
                  <c:v>0.20401394998827801</c:v>
                </c:pt>
                <c:pt idx="23">
                  <c:v>0.35725427914700325</c:v>
                </c:pt>
                <c:pt idx="24">
                  <c:v>6.5910250192451003E-2</c:v>
                </c:pt>
                <c:pt idx="25">
                  <c:v>0.31733125818892471</c:v>
                </c:pt>
                <c:pt idx="26">
                  <c:v>7.3750299444931555E-2</c:v>
                </c:pt>
                <c:pt idx="27">
                  <c:v>7.8240287579568121E-3</c:v>
                </c:pt>
                <c:pt idx="28">
                  <c:v>4.2641187922912119E-2</c:v>
                </c:pt>
                <c:pt idx="29">
                  <c:v>0.25027540011310934</c:v>
                </c:pt>
                <c:pt idx="30">
                  <c:v>2.9610935908505335E-2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D-4C3B-A5FC-FA97B7E332D3}"/>
            </c:ext>
          </c:extLst>
        </c:ser>
        <c:ser>
          <c:idx val="2"/>
          <c:order val="2"/>
          <c:tx>
            <c:v>age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3'!$K$80:$K$110</c:f>
              <c:numCache>
                <c:formatCode>0%</c:formatCode>
                <c:ptCount val="31"/>
                <c:pt idx="0">
                  <c:v>0.26369751986202372</c:v>
                </c:pt>
                <c:pt idx="1">
                  <c:v>0.46317506003908404</c:v>
                </c:pt>
                <c:pt idx="2">
                  <c:v>9.3059161023313196E-3</c:v>
                </c:pt>
                <c:pt idx="3">
                  <c:v>2.8866675775338496E-2</c:v>
                </c:pt>
                <c:pt idx="4">
                  <c:v>0.38673680669841159</c:v>
                </c:pt>
                <c:pt idx="5">
                  <c:v>0.29439687979462809</c:v>
                </c:pt>
                <c:pt idx="6">
                  <c:v>5.325174474601807E-2</c:v>
                </c:pt>
                <c:pt idx="7">
                  <c:v>0.33802995938718539</c:v>
                </c:pt>
                <c:pt idx="8">
                  <c:v>0.2808940983983868</c:v>
                </c:pt>
                <c:pt idx="14">
                  <c:v>0.13973808070092963</c:v>
                </c:pt>
                <c:pt idx="15">
                  <c:v>4.7195437212096993E-2</c:v>
                </c:pt>
                <c:pt idx="16">
                  <c:v>0.13179155519544122</c:v>
                </c:pt>
                <c:pt idx="17">
                  <c:v>7.0490378568990611E-2</c:v>
                </c:pt>
                <c:pt idx="18">
                  <c:v>0.35151572274758491</c:v>
                </c:pt>
                <c:pt idx="19">
                  <c:v>0.24657936260731619</c:v>
                </c:pt>
                <c:pt idx="20">
                  <c:v>0.50550038570982769</c:v>
                </c:pt>
                <c:pt idx="21">
                  <c:v>0.3794785150922918</c:v>
                </c:pt>
                <c:pt idx="22">
                  <c:v>0.10304865948122237</c:v>
                </c:pt>
                <c:pt idx="23">
                  <c:v>0.16088774171859155</c:v>
                </c:pt>
                <c:pt idx="24">
                  <c:v>0.39695685940823872</c:v>
                </c:pt>
                <c:pt idx="25">
                  <c:v>0.11208283088511299</c:v>
                </c:pt>
                <c:pt idx="26">
                  <c:v>0.35281043523960942</c:v>
                </c:pt>
                <c:pt idx="27">
                  <c:v>0.41744374657038669</c:v>
                </c:pt>
                <c:pt idx="28">
                  <c:v>0.35816052649927899</c:v>
                </c:pt>
                <c:pt idx="29">
                  <c:v>0.25895307961820185</c:v>
                </c:pt>
                <c:pt idx="30">
                  <c:v>0.39309809027013665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DD-4C3B-A5FC-FA97B7E33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127752"/>
        <c:axId val="992134312"/>
      </c:lineChart>
      <c:catAx>
        <c:axId val="992127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34312"/>
        <c:crosses val="autoZero"/>
        <c:auto val="1"/>
        <c:lblAlgn val="ctr"/>
        <c:lblOffset val="100"/>
        <c:noMultiLvlLbl val="0"/>
      </c:catAx>
      <c:valAx>
        <c:axId val="99213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2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Regression</a:t>
            </a:r>
          </a:p>
        </c:rich>
      </c:tx>
      <c:layout>
        <c:manualLayout>
          <c:xMode val="edge"/>
          <c:yMode val="edge"/>
          <c:x val="0.43100435677863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'Run Reconstruction 3'!$C$46:$C$81</c:f>
              <c:numCache>
                <c:formatCode>#,##0</c:formatCode>
                <c:ptCount val="36"/>
                <c:pt idx="0">
                  <c:v>97</c:v>
                </c:pt>
                <c:pt idx="1">
                  <c:v>36</c:v>
                </c:pt>
                <c:pt idx="2">
                  <c:v>175</c:v>
                </c:pt>
                <c:pt idx="3">
                  <c:v>97</c:v>
                </c:pt>
                <c:pt idx="4">
                  <c:v>86</c:v>
                </c:pt>
                <c:pt idx="5">
                  <c:v>199</c:v>
                </c:pt>
                <c:pt idx="6">
                  <c:v>334</c:v>
                </c:pt>
                <c:pt idx="7">
                  <c:v>2685</c:v>
                </c:pt>
                <c:pt idx="8">
                  <c:v>5326</c:v>
                </c:pt>
                <c:pt idx="9">
                  <c:v>3105</c:v>
                </c:pt>
                <c:pt idx="10">
                  <c:v>96</c:v>
                </c:pt>
                <c:pt idx="11">
                  <c:v>2326</c:v>
                </c:pt>
                <c:pt idx="12">
                  <c:v>4120</c:v>
                </c:pt>
                <c:pt idx="13">
                  <c:v>2968</c:v>
                </c:pt>
                <c:pt idx="14">
                  <c:v>3337</c:v>
                </c:pt>
                <c:pt idx="15">
                  <c:v>2253</c:v>
                </c:pt>
                <c:pt idx="16">
                  <c:v>6761</c:v>
                </c:pt>
                <c:pt idx="17">
                  <c:v>35</c:v>
                </c:pt>
                <c:pt idx="18">
                  <c:v>16</c:v>
                </c:pt>
                <c:pt idx="19">
                  <c:v>1255</c:v>
                </c:pt>
                <c:pt idx="20">
                  <c:v>10591</c:v>
                </c:pt>
                <c:pt idx="21">
                  <c:v>9338</c:v>
                </c:pt>
                <c:pt idx="22">
                  <c:v>5299</c:v>
                </c:pt>
                <c:pt idx="23">
                  <c:v>13683</c:v>
                </c:pt>
                <c:pt idx="24">
                  <c:v>8711</c:v>
                </c:pt>
                <c:pt idx="25">
                  <c:v>679</c:v>
                </c:pt>
                <c:pt idx="26">
                  <c:v>1149</c:v>
                </c:pt>
                <c:pt idx="27">
                  <c:v>1656</c:v>
                </c:pt>
                <c:pt idx="28">
                  <c:v>1402</c:v>
                </c:pt>
                <c:pt idx="29">
                  <c:v>4975</c:v>
                </c:pt>
                <c:pt idx="30">
                  <c:v>4352</c:v>
                </c:pt>
                <c:pt idx="31">
                  <c:v>1892</c:v>
                </c:pt>
                <c:pt idx="32">
                  <c:v>599</c:v>
                </c:pt>
                <c:pt idx="33">
                  <c:v>2489</c:v>
                </c:pt>
                <c:pt idx="34">
                  <c:v>4294</c:v>
                </c:pt>
                <c:pt idx="35">
                  <c:v>9175</c:v>
                </c:pt>
              </c:numCache>
            </c:numRef>
          </c:xVal>
          <c:yVal>
            <c:numRef>
              <c:f>'Run Reconstruction 3'!$B$46:$B$81</c:f>
              <c:numCache>
                <c:formatCode>#,##0</c:formatCode>
                <c:ptCount val="36"/>
                <c:pt idx="0">
                  <c:v>455.8408662342689</c:v>
                </c:pt>
                <c:pt idx="1">
                  <c:v>2539.7855103785087</c:v>
                </c:pt>
                <c:pt idx="2">
                  <c:v>11579.406940083547</c:v>
                </c:pt>
                <c:pt idx="3">
                  <c:v>10991.361364818644</c:v>
                </c:pt>
                <c:pt idx="4">
                  <c:v>9798.1703772778565</c:v>
                </c:pt>
                <c:pt idx="5">
                  <c:v>14251.358370057878</c:v>
                </c:pt>
                <c:pt idx="6">
                  <c:v>3252.0306691668725</c:v>
                </c:pt>
                <c:pt idx="7">
                  <c:v>31570.474732028444</c:v>
                </c:pt>
                <c:pt idx="8">
                  <c:v>73180.571660014248</c:v>
                </c:pt>
                <c:pt idx="9">
                  <c:v>45509.809180830263</c:v>
                </c:pt>
                <c:pt idx="10">
                  <c:v>10325.816536999801</c:v>
                </c:pt>
                <c:pt idx="11">
                  <c:v>25018.47288086998</c:v>
                </c:pt>
                <c:pt idx="12">
                  <c:v>39710.382989154925</c:v>
                </c:pt>
                <c:pt idx="13">
                  <c:v>34797.618320235895</c:v>
                </c:pt>
                <c:pt idx="14">
                  <c:v>19209.334767083867</c:v>
                </c:pt>
                <c:pt idx="15">
                  <c:v>28898.406062239013</c:v>
                </c:pt>
                <c:pt idx="16">
                  <c:v>57753.571103648006</c:v>
                </c:pt>
                <c:pt idx="17">
                  <c:v>3032.1982934523489</c:v>
                </c:pt>
                <c:pt idx="18">
                  <c:v>3666.9945177828154</c:v>
                </c:pt>
                <c:pt idx="19">
                  <c:v>23987.72021155481</c:v>
                </c:pt>
                <c:pt idx="20">
                  <c:v>69892.769729965003</c:v>
                </c:pt>
                <c:pt idx="21">
                  <c:v>77262.733888424016</c:v>
                </c:pt>
                <c:pt idx="22">
                  <c:v>65653.382797031678</c:v>
                </c:pt>
                <c:pt idx="23">
                  <c:v>103952.85531936215</c:v>
                </c:pt>
                <c:pt idx="24">
                  <c:v>66938.383311286743</c:v>
                </c:pt>
                <c:pt idx="25">
                  <c:v>10063.982960379346</c:v>
                </c:pt>
                <c:pt idx="26">
                  <c:v>12568.76061614167</c:v>
                </c:pt>
                <c:pt idx="27">
                  <c:v>17156.230945944797</c:v>
                </c:pt>
                <c:pt idx="28">
                  <c:v>22719.73299576675</c:v>
                </c:pt>
                <c:pt idx="29">
                  <c:v>40943.876533464463</c:v>
                </c:pt>
                <c:pt idx="30">
                  <c:v>49124.280737701352</c:v>
                </c:pt>
                <c:pt idx="31">
                  <c:v>19936.125357064222</c:v>
                </c:pt>
                <c:pt idx="32">
                  <c:v>13982.744429542156</c:v>
                </c:pt>
                <c:pt idx="33">
                  <c:v>22774</c:v>
                </c:pt>
                <c:pt idx="34">
                  <c:v>55702</c:v>
                </c:pt>
                <c:pt idx="35">
                  <c:v>73810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5-47E3-9D84-9DBEF2728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722920"/>
        <c:axId val="796727840"/>
      </c:scatterChart>
      <c:valAx>
        <c:axId val="79672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Harvest</a:t>
                </a:r>
              </a:p>
            </c:rich>
          </c:tx>
          <c:layout>
            <c:manualLayout>
              <c:xMode val="edge"/>
              <c:yMode val="edge"/>
              <c:x val="0.47300218722659665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27840"/>
        <c:crosses val="autoZero"/>
        <c:crossBetween val="midCat"/>
      </c:valAx>
      <c:valAx>
        <c:axId val="79672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22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Brood Years 1999-2013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2916229221347537E-2"/>
                  <c:y val="-0.52461687080781549"/>
                </c:manualLayout>
              </c:layout>
              <c:numFmt formatCode="General" sourceLinked="0"/>
            </c:trendlineLbl>
          </c:trendline>
          <c:xVal>
            <c:numRef>
              <c:f>'Run Reconstruction 4'!$B$23:$B$37</c:f>
              <c:numCache>
                <c:formatCode>#,##0</c:formatCode>
                <c:ptCount val="15"/>
                <c:pt idx="0">
                  <c:v>57753.571103648006</c:v>
                </c:pt>
                <c:pt idx="1">
                  <c:v>3032.1982934523489</c:v>
                </c:pt>
                <c:pt idx="2">
                  <c:v>3666.9945177828154</c:v>
                </c:pt>
                <c:pt idx="3">
                  <c:v>23987.72021155481</c:v>
                </c:pt>
                <c:pt idx="4">
                  <c:v>69892.769729965003</c:v>
                </c:pt>
                <c:pt idx="5">
                  <c:v>77262.733888424016</c:v>
                </c:pt>
                <c:pt idx="6">
                  <c:v>65653.382797031678</c:v>
                </c:pt>
                <c:pt idx="7">
                  <c:v>103952.85531936215</c:v>
                </c:pt>
                <c:pt idx="8">
                  <c:v>66938.383311286743</c:v>
                </c:pt>
                <c:pt idx="9">
                  <c:v>10063.982960379346</c:v>
                </c:pt>
                <c:pt idx="10">
                  <c:v>12568.76061614167</c:v>
                </c:pt>
                <c:pt idx="11">
                  <c:v>17156.230945944797</c:v>
                </c:pt>
                <c:pt idx="12">
                  <c:v>22719.73299576675</c:v>
                </c:pt>
                <c:pt idx="13">
                  <c:v>40943.876533464463</c:v>
                </c:pt>
                <c:pt idx="14">
                  <c:v>49124.280737701352</c:v>
                </c:pt>
              </c:numCache>
            </c:numRef>
          </c:xVal>
          <c:yVal>
            <c:numRef>
              <c:f>'Run Reconstruction 4'!$G$23:$G$37</c:f>
              <c:numCache>
                <c:formatCode>0.0_);\(0.0\)</c:formatCode>
                <c:ptCount val="15"/>
                <c:pt idx="0">
                  <c:v>7.1000460897775952E-2</c:v>
                </c:pt>
                <c:pt idx="1">
                  <c:v>3.3965421950155843</c:v>
                </c:pt>
                <c:pt idx="2">
                  <c:v>3.0170896355898207</c:v>
                </c:pt>
                <c:pt idx="3">
                  <c:v>1.7841000444283426</c:v>
                </c:pt>
                <c:pt idx="4">
                  <c:v>-1.738384518833928</c:v>
                </c:pt>
                <c:pt idx="5">
                  <c:v>-1.506075275782748</c:v>
                </c:pt>
                <c:pt idx="6">
                  <c:v>-1.8753285946104632</c:v>
                </c:pt>
                <c:pt idx="7">
                  <c:v>-1.2488756057409411</c:v>
                </c:pt>
                <c:pt idx="8">
                  <c:v>-0.80676330749116876</c:v>
                </c:pt>
                <c:pt idx="9">
                  <c:v>1.9067287049593928</c:v>
                </c:pt>
                <c:pt idx="10">
                  <c:v>0.65581947698846821</c:v>
                </c:pt>
                <c:pt idx="11">
                  <c:v>5.712974835934621E-3</c:v>
                </c:pt>
                <c:pt idx="12">
                  <c:v>0.11904455922805954</c:v>
                </c:pt>
                <c:pt idx="13">
                  <c:v>-3.3981624085310476E-2</c:v>
                </c:pt>
                <c:pt idx="14">
                  <c:v>-0.70980933914620647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C-4524-B85B-0C71B2930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004352"/>
        <c:axId val="222101504"/>
      </c:scatterChart>
      <c:valAx>
        <c:axId val="22200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Spawners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222101504"/>
        <c:crosses val="autoZero"/>
        <c:crossBetween val="midCat"/>
      </c:valAx>
      <c:valAx>
        <c:axId val="222101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ln(Return/Spawner)</a:t>
                </a:r>
              </a:p>
            </c:rich>
          </c:tx>
          <c:layout>
            <c:manualLayout>
              <c:xMode val="edge"/>
              <c:yMode val="edge"/>
              <c:x val="1.1111111111111125E-2"/>
              <c:y val="0.25858194808982232"/>
            </c:manualLayout>
          </c:layout>
          <c:overlay val="0"/>
        </c:title>
        <c:numFmt formatCode="0.0_);\(0.0\)" sourceLinked="1"/>
        <c:majorTickMark val="out"/>
        <c:minorTickMark val="none"/>
        <c:tickLblPos val="nextTo"/>
        <c:crossAx val="22200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 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4'!$M$80:$M$110</c:f>
              <c:numCache>
                <c:formatCode>0%</c:formatCode>
                <c:ptCount val="31"/>
                <c:pt idx="0">
                  <c:v>0.67274297719729081</c:v>
                </c:pt>
                <c:pt idx="1">
                  <c:v>0.21694216798093732</c:v>
                </c:pt>
                <c:pt idx="2">
                  <c:v>0.5432391524847312</c:v>
                </c:pt>
                <c:pt idx="3">
                  <c:v>0.55531317982237927</c:v>
                </c:pt>
                <c:pt idx="4">
                  <c:v>0.29666315263425963</c:v>
                </c:pt>
                <c:pt idx="5">
                  <c:v>0.32935379739635628</c:v>
                </c:pt>
                <c:pt idx="6">
                  <c:v>0.43084068106125256</c:v>
                </c:pt>
                <c:pt idx="7">
                  <c:v>0.56011462652097133</c:v>
                </c:pt>
                <c:pt idx="8">
                  <c:v>0.64481396204139441</c:v>
                </c:pt>
                <c:pt idx="14">
                  <c:v>0.47214615528032666</c:v>
                </c:pt>
                <c:pt idx="15">
                  <c:v>0.48363007018920656</c:v>
                </c:pt>
                <c:pt idx="16">
                  <c:v>0.79410562302488186</c:v>
                </c:pt>
                <c:pt idx="17">
                  <c:v>0.82983297889142627</c:v>
                </c:pt>
                <c:pt idx="18">
                  <c:v>0.50941929421347398</c:v>
                </c:pt>
                <c:pt idx="19">
                  <c:v>0.5953984522910607</c:v>
                </c:pt>
                <c:pt idx="20">
                  <c:v>0.46834980573366819</c:v>
                </c:pt>
                <c:pt idx="21">
                  <c:v>0.58647757559965352</c:v>
                </c:pt>
                <c:pt idx="22">
                  <c:v>0.69293739053049952</c:v>
                </c:pt>
                <c:pt idx="23">
                  <c:v>0.47964090046695168</c:v>
                </c:pt>
                <c:pt idx="24">
                  <c:v>0.5185629735569055</c:v>
                </c:pt>
                <c:pt idx="25">
                  <c:v>0.56736995768406351</c:v>
                </c:pt>
                <c:pt idx="26">
                  <c:v>0.53745600621204381</c:v>
                </c:pt>
                <c:pt idx="27">
                  <c:v>0.428474137207913</c:v>
                </c:pt>
                <c:pt idx="28">
                  <c:v>0.50512225953795831</c:v>
                </c:pt>
                <c:pt idx="29">
                  <c:v>0.37990268816501682</c:v>
                </c:pt>
                <c:pt idx="30">
                  <c:v>0.5384354121735424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1-428C-AE16-BFA4DF2DC2D1}"/>
            </c:ext>
          </c:extLst>
        </c:ser>
        <c:ser>
          <c:idx val="1"/>
          <c:order val="1"/>
          <c:tx>
            <c:v>age 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4'!$O$80:$O$110</c:f>
              <c:numCache>
                <c:formatCode>0%</c:formatCode>
                <c:ptCount val="31"/>
                <c:pt idx="0">
                  <c:v>4.956288641711859E-2</c:v>
                </c:pt>
                <c:pt idx="1">
                  <c:v>0.31285713012443533</c:v>
                </c:pt>
                <c:pt idx="2">
                  <c:v>0.42097857064480482</c:v>
                </c:pt>
                <c:pt idx="3">
                  <c:v>0.41369709214476802</c:v>
                </c:pt>
                <c:pt idx="4">
                  <c:v>0.27836336707570419</c:v>
                </c:pt>
                <c:pt idx="5">
                  <c:v>0.2912069907063361</c:v>
                </c:pt>
                <c:pt idx="6">
                  <c:v>0.50960345748132008</c:v>
                </c:pt>
                <c:pt idx="7">
                  <c:v>7.4497402446897162E-2</c:v>
                </c:pt>
                <c:pt idx="8">
                  <c:v>6.8290678334423427E-2</c:v>
                </c:pt>
                <c:pt idx="14">
                  <c:v>0.35948122405222144</c:v>
                </c:pt>
                <c:pt idx="15">
                  <c:v>0.46623106135614828</c:v>
                </c:pt>
                <c:pt idx="16">
                  <c:v>7.1664122515603071E-2</c:v>
                </c:pt>
                <c:pt idx="17">
                  <c:v>9.8955526265726471E-2</c:v>
                </c:pt>
                <c:pt idx="18">
                  <c:v>0.13669774318444691</c:v>
                </c:pt>
                <c:pt idx="19">
                  <c:v>0.14601231474429624</c:v>
                </c:pt>
                <c:pt idx="20">
                  <c:v>1.6997050950139325E-2</c:v>
                </c:pt>
                <c:pt idx="21">
                  <c:v>3.4043909308054732E-2</c:v>
                </c:pt>
                <c:pt idx="22">
                  <c:v>0.20401394998827801</c:v>
                </c:pt>
                <c:pt idx="23">
                  <c:v>0.35725427914700325</c:v>
                </c:pt>
                <c:pt idx="24">
                  <c:v>6.5910250192451003E-2</c:v>
                </c:pt>
                <c:pt idx="25">
                  <c:v>0.31733125818892471</c:v>
                </c:pt>
                <c:pt idx="26">
                  <c:v>7.3750299444931555E-2</c:v>
                </c:pt>
                <c:pt idx="27">
                  <c:v>7.8240287579568121E-3</c:v>
                </c:pt>
                <c:pt idx="28">
                  <c:v>4.2641187922912119E-2</c:v>
                </c:pt>
                <c:pt idx="29">
                  <c:v>0.25027540011310934</c:v>
                </c:pt>
                <c:pt idx="30">
                  <c:v>2.9610935908505335E-2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1-428C-AE16-BFA4DF2DC2D1}"/>
            </c:ext>
          </c:extLst>
        </c:ser>
        <c:ser>
          <c:idx val="2"/>
          <c:order val="2"/>
          <c:tx>
            <c:v>age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'Run Reconstruction 4'!$K$80:$K$110</c:f>
              <c:numCache>
                <c:formatCode>0%</c:formatCode>
                <c:ptCount val="31"/>
                <c:pt idx="0">
                  <c:v>0.26369751986202372</c:v>
                </c:pt>
                <c:pt idx="1">
                  <c:v>0.46317506003908404</c:v>
                </c:pt>
                <c:pt idx="2">
                  <c:v>9.3059161023313196E-3</c:v>
                </c:pt>
                <c:pt idx="3">
                  <c:v>2.8866675775338496E-2</c:v>
                </c:pt>
                <c:pt idx="4">
                  <c:v>0.38673680669841159</c:v>
                </c:pt>
                <c:pt idx="5">
                  <c:v>0.29439687979462809</c:v>
                </c:pt>
                <c:pt idx="6">
                  <c:v>5.325174474601807E-2</c:v>
                </c:pt>
                <c:pt idx="7">
                  <c:v>0.33802995938718539</c:v>
                </c:pt>
                <c:pt idx="8">
                  <c:v>0.2808940983983868</c:v>
                </c:pt>
                <c:pt idx="14">
                  <c:v>0.13973808070092963</c:v>
                </c:pt>
                <c:pt idx="15">
                  <c:v>4.7195437212096993E-2</c:v>
                </c:pt>
                <c:pt idx="16">
                  <c:v>0.13179155519544122</c:v>
                </c:pt>
                <c:pt idx="17">
                  <c:v>7.0490378568990611E-2</c:v>
                </c:pt>
                <c:pt idx="18">
                  <c:v>0.35151572274758491</c:v>
                </c:pt>
                <c:pt idx="19">
                  <c:v>0.24657936260731619</c:v>
                </c:pt>
                <c:pt idx="20">
                  <c:v>0.50550038570982769</c:v>
                </c:pt>
                <c:pt idx="21">
                  <c:v>0.3794785150922918</c:v>
                </c:pt>
                <c:pt idx="22">
                  <c:v>0.10304865948122237</c:v>
                </c:pt>
                <c:pt idx="23">
                  <c:v>0.16088774171859155</c:v>
                </c:pt>
                <c:pt idx="24">
                  <c:v>0.39695685940823872</c:v>
                </c:pt>
                <c:pt idx="25">
                  <c:v>0.11208283088511299</c:v>
                </c:pt>
                <c:pt idx="26">
                  <c:v>0.35281043523960942</c:v>
                </c:pt>
                <c:pt idx="27">
                  <c:v>0.41744374657038669</c:v>
                </c:pt>
                <c:pt idx="28">
                  <c:v>0.35816052649927899</c:v>
                </c:pt>
                <c:pt idx="29">
                  <c:v>0.25895307961820185</c:v>
                </c:pt>
                <c:pt idx="30">
                  <c:v>0.39309809027013665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81-428C-AE16-BFA4DF2DC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127752"/>
        <c:axId val="992134312"/>
      </c:lineChart>
      <c:catAx>
        <c:axId val="992127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34312"/>
        <c:crosses val="autoZero"/>
        <c:auto val="1"/>
        <c:lblAlgn val="ctr"/>
        <c:lblOffset val="100"/>
        <c:noMultiLvlLbl val="0"/>
      </c:catAx>
      <c:valAx>
        <c:axId val="99213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2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'Escapement Age'!$AJ$6:$AJ$42</c:f>
              <c:numCache>
                <c:formatCode>0%</c:formatCode>
                <c:ptCount val="37"/>
                <c:pt idx="0">
                  <c:v>0.67567567567567566</c:v>
                </c:pt>
                <c:pt idx="1">
                  <c:v>0.63758389261744963</c:v>
                </c:pt>
                <c:pt idx="2">
                  <c:v>0.28997289972899726</c:v>
                </c:pt>
                <c:pt idx="3">
                  <c:v>0.11212814645308924</c:v>
                </c:pt>
                <c:pt idx="4">
                  <c:v>0.27159533073929965</c:v>
                </c:pt>
                <c:pt idx="5">
                  <c:v>0.43814919735599622</c:v>
                </c:pt>
                <c:pt idx="6">
                  <c:v>0.32702702702702702</c:v>
                </c:pt>
                <c:pt idx="7">
                  <c:v>0.291442250149611</c:v>
                </c:pt>
                <c:pt idx="8">
                  <c:v>0.14900398406374502</c:v>
                </c:pt>
                <c:pt idx="9">
                  <c:v>0.11022222222222222</c:v>
                </c:pt>
                <c:pt idx="10">
                  <c:v>0.47891566265060243</c:v>
                </c:pt>
                <c:pt idx="11">
                  <c:v>0.39965620971207566</c:v>
                </c:pt>
                <c:pt idx="12">
                  <c:v>0.58204334365325083</c:v>
                </c:pt>
                <c:pt idx="13">
                  <c:v>0.85874730021598278</c:v>
                </c:pt>
                <c:pt idx="14">
                  <c:v>0.52425960932577187</c:v>
                </c:pt>
                <c:pt idx="15">
                  <c:v>0.56362046348928729</c:v>
                </c:pt>
                <c:pt idx="17">
                  <c:v>0.84824462061155159</c:v>
                </c:pt>
                <c:pt idx="18">
                  <c:v>0.98326055312954874</c:v>
                </c:pt>
                <c:pt idx="19">
                  <c:v>0.9406986190089357</c:v>
                </c:pt>
                <c:pt idx="20">
                  <c:v>0.48695246971109041</c:v>
                </c:pt>
                <c:pt idx="21">
                  <c:v>0.13169754631947922</c:v>
                </c:pt>
                <c:pt idx="22">
                  <c:v>0.90153001176932124</c:v>
                </c:pt>
                <c:pt idx="23">
                  <c:v>0.6386306001690617</c:v>
                </c:pt>
                <c:pt idx="24">
                  <c:v>0.75049900199600805</c:v>
                </c:pt>
                <c:pt idx="25">
                  <c:v>0.83297180043383956</c:v>
                </c:pt>
                <c:pt idx="26">
                  <c:v>0.72505543237250547</c:v>
                </c:pt>
                <c:pt idx="27">
                  <c:v>0.54405286343612336</c:v>
                </c:pt>
                <c:pt idx="28">
                  <c:v>0.67835051546391756</c:v>
                </c:pt>
                <c:pt idx="29">
                  <c:v>0.68623481781376516</c:v>
                </c:pt>
                <c:pt idx="30">
                  <c:v>0.5709342560553633</c:v>
                </c:pt>
                <c:pt idx="31">
                  <c:v>0.4</c:v>
                </c:pt>
                <c:pt idx="32">
                  <c:v>0.7247191011235955</c:v>
                </c:pt>
                <c:pt idx="33">
                  <c:v>0.55498721227621484</c:v>
                </c:pt>
                <c:pt idx="34">
                  <c:v>0.67906066536203524</c:v>
                </c:pt>
                <c:pt idx="35">
                  <c:v>0.818359375</c:v>
                </c:pt>
                <c:pt idx="36">
                  <c:v>0.91256830601092898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A-4A7F-ACBD-272E45C83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725312"/>
        <c:axId val="846721048"/>
      </c:lineChart>
      <c:catAx>
        <c:axId val="846725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721048"/>
        <c:crosses val="autoZero"/>
        <c:auto val="1"/>
        <c:lblAlgn val="ctr"/>
        <c:lblOffset val="100"/>
        <c:noMultiLvlLbl val="0"/>
      </c:catAx>
      <c:valAx>
        <c:axId val="84672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72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 Age 1. by Brood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Age 1.</c:v>
          </c:tx>
          <c:spPr>
            <a:ln w="95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B3F-4DDD-BA9C-846BDF91881A}"/>
              </c:ext>
            </c:extLst>
          </c:dPt>
          <c:dPt>
            <c:idx val="1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B3F-4DDD-BA9C-846BDF91881A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B3F-4DDD-BA9C-846BDF91881A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B3F-4DDD-BA9C-846BDF91881A}"/>
              </c:ext>
            </c:extLst>
          </c:dPt>
          <c:dPt>
            <c:idx val="4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B3F-4DDD-BA9C-846BDF91881A}"/>
              </c:ext>
            </c:extLst>
          </c:dPt>
          <c:dPt>
            <c:idx val="5"/>
            <c:marker>
              <c:symbol val="circle"/>
              <c:size val="8"/>
              <c:spPr>
                <a:solidFill>
                  <a:srgbClr val="FF00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B3F-4DDD-BA9C-846BDF91881A}"/>
              </c:ext>
            </c:extLst>
          </c:dPt>
          <c:dPt>
            <c:idx val="6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B3F-4DDD-BA9C-846BDF91881A}"/>
              </c:ext>
            </c:extLst>
          </c:dPt>
          <c:dPt>
            <c:idx val="7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B3F-4DDD-BA9C-846BDF91881A}"/>
              </c:ext>
            </c:extLst>
          </c:dPt>
          <c:dPt>
            <c:idx val="8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B3F-4DDD-BA9C-846BDF91881A}"/>
              </c:ext>
            </c:extLst>
          </c:dPt>
          <c:dPt>
            <c:idx val="14"/>
            <c:marker>
              <c:symbol val="circle"/>
              <c:size val="8"/>
              <c:spPr>
                <a:solidFill>
                  <a:srgbClr val="FF00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B3F-4DDD-BA9C-846BDF91881A}"/>
              </c:ext>
            </c:extLst>
          </c:dPt>
          <c:cat>
            <c:numRef>
              <c:f>'Return Age'!$A$7:$A$37</c:f>
              <c:numCache>
                <c:formatCode>General</c:formatCode>
                <c:ptCount val="31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</c:numCache>
            </c:numRef>
          </c:cat>
          <c:val>
            <c:numRef>
              <c:f>'Return Age'!$AC$47:$AC$77</c:f>
              <c:numCache>
                <c:formatCode>0%</c:formatCode>
                <c:ptCount val="31"/>
                <c:pt idx="0">
                  <c:v>0.65511596861946675</c:v>
                </c:pt>
                <c:pt idx="1">
                  <c:v>0.32985322200811262</c:v>
                </c:pt>
                <c:pt idx="2">
                  <c:v>0.17047520284485052</c:v>
                </c:pt>
                <c:pt idx="3">
                  <c:v>9.4225929977027986E-2</c:v>
                </c:pt>
                <c:pt idx="4">
                  <c:v>0.5375966018828916</c:v>
                </c:pt>
                <c:pt idx="5">
                  <c:v>0.5113722481487305</c:v>
                </c:pt>
                <c:pt idx="6">
                  <c:v>0.1036009308841143</c:v>
                </c:pt>
                <c:pt idx="7">
                  <c:v>0.85334880571836125</c:v>
                </c:pt>
                <c:pt idx="8">
                  <c:v>0.87609828538789658</c:v>
                </c:pt>
                <c:pt idx="14">
                  <c:v>0.62062948563081488</c:v>
                </c:pt>
                <c:pt idx="15">
                  <c:v>0.13663305492051556</c:v>
                </c:pt>
                <c:pt idx="16">
                  <c:v>0.21267172285748442</c:v>
                </c:pt>
                <c:pt idx="17">
                  <c:v>0.85857959250673876</c:v>
                </c:pt>
                <c:pt idx="18">
                  <c:v>0.70921227277786625</c:v>
                </c:pt>
                <c:pt idx="19">
                  <c:v>0.50864629609385015</c:v>
                </c:pt>
                <c:pt idx="20">
                  <c:v>0.96233596163314228</c:v>
                </c:pt>
                <c:pt idx="21">
                  <c:v>0.9306010595387747</c:v>
                </c:pt>
                <c:pt idx="22">
                  <c:v>0.43710663092867141</c:v>
                </c:pt>
                <c:pt idx="23">
                  <c:v>0.32443511620299392</c:v>
                </c:pt>
                <c:pt idx="24">
                  <c:v>0.86215501070949752</c:v>
                </c:pt>
                <c:pt idx="25">
                  <c:v>9.8826045332730816E-2</c:v>
                </c:pt>
                <c:pt idx="26">
                  <c:v>0.52168690010468077</c:v>
                </c:pt>
                <c:pt idx="27">
                  <c:v>0.95469967074752105</c:v>
                </c:pt>
                <c:pt idx="28">
                  <c:v>0.6443765903573544</c:v>
                </c:pt>
                <c:pt idx="29">
                  <c:v>0.35380675190693378</c:v>
                </c:pt>
                <c:pt idx="30">
                  <c:v>0.88105316696782221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8-401E-A931-8857A307C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746232"/>
        <c:axId val="847738032"/>
      </c:lineChart>
      <c:catAx>
        <c:axId val="847746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layout>
            <c:manualLayout>
              <c:xMode val="edge"/>
              <c:yMode val="edge"/>
              <c:x val="0.4456237970253718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38032"/>
        <c:crosses val="autoZero"/>
        <c:auto val="1"/>
        <c:lblAlgn val="ctr"/>
        <c:lblOffset val="100"/>
        <c:noMultiLvlLbl val="0"/>
      </c:catAx>
      <c:valAx>
        <c:axId val="8477380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46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2"/>
  <sheetViews>
    <sheetView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0.13066</cdr:x>
      <cdr:y>0.04537</cdr:y>
    </cdr:from>
    <cdr:to>
      <cdr:x>0.69613</cdr:x>
      <cdr:y>0.1815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33487" y="285734"/>
          <a:ext cx="4905363" cy="8572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>
            <a:spcAft>
              <a:spcPts val="600"/>
            </a:spcAft>
          </a:pPr>
          <a:r>
            <a:rPr lang="en-US" sz="1800"/>
            <a:t>Redoubt Lake sockeye</a:t>
          </a:r>
          <a:r>
            <a:rPr lang="en-US" sz="1800" baseline="0"/>
            <a:t> salmon escapement</a:t>
          </a:r>
        </a:p>
        <a:p xmlns:a="http://schemas.openxmlformats.org/drawingml/2006/main">
          <a:pPr>
            <a:spcAft>
              <a:spcPts val="600"/>
            </a:spcAft>
          </a:pPr>
          <a:r>
            <a:rPr lang="en-US" sz="1800" baseline="0"/>
            <a:t>Current escapement goal: OEG = 7,500 to 25,000</a:t>
          </a:r>
          <a:endParaRPr lang="en-US" sz="18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95250</xdr:colOff>
      <xdr:row>5</xdr:row>
      <xdr:rowOff>66675</xdr:rowOff>
    </xdr:from>
    <xdr:to>
      <xdr:col>31</xdr:col>
      <xdr:colOff>276225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409575</xdr:colOff>
      <xdr:row>88</xdr:row>
      <xdr:rowOff>152400</xdr:rowOff>
    </xdr:from>
    <xdr:to>
      <xdr:col>29</xdr:col>
      <xdr:colOff>466725</xdr:colOff>
      <xdr:row>103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C51699-53F1-4376-9A10-19E068946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38099</xdr:colOff>
      <xdr:row>45</xdr:row>
      <xdr:rowOff>66674</xdr:rowOff>
    </xdr:from>
    <xdr:to>
      <xdr:col>33</xdr:col>
      <xdr:colOff>400050</xdr:colOff>
      <xdr:row>58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8EAEB0-9D0B-4797-B3B9-84F6ACBEEAFA}"/>
            </a:ext>
          </a:extLst>
        </xdr:cNvPr>
        <xdr:cNvSpPr txBox="1"/>
      </xdr:nvSpPr>
      <xdr:spPr>
        <a:xfrm>
          <a:off x="12487274" y="8524874"/>
          <a:ext cx="5353051" cy="2543175"/>
        </a:xfrm>
        <a:prstGeom prst="rect">
          <a:avLst/>
        </a:prstGeom>
        <a:solidFill>
          <a:srgbClr val="99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To calculate 90% Smsy range using Solver:</a:t>
          </a:r>
        </a:p>
        <a:p>
          <a:r>
            <a:rPr lang="en-US" sz="1100"/>
            <a:t>1) Calculate</a:t>
          </a:r>
          <a:r>
            <a:rPr lang="en-US" sz="1100" baseline="0"/>
            <a:t> MSY, then 90% of MSY = 0.9*MSY.</a:t>
          </a:r>
        </a:p>
        <a:p>
          <a:r>
            <a:rPr lang="en-US" sz="1100" baseline="0"/>
            <a:t>2) Predicted Run at Smsy = Smsy^*EXP(lnalpha' +Smsy^*beta^)</a:t>
          </a:r>
        </a:p>
        <a:p>
          <a:r>
            <a:rPr lang="en-US" sz="1100" baseline="0"/>
            <a:t>3) Change cell with S to a value much lower than lower than Smsy (MSY value will change).</a:t>
          </a:r>
        </a:p>
        <a:p>
          <a:r>
            <a:rPr lang="en-US" sz="1100" baseline="0"/>
            <a:t>4) Set Solver:</a:t>
          </a:r>
        </a:p>
        <a:p>
          <a:r>
            <a:rPr lang="en-US" sz="1100" baseline="0"/>
            <a:t>          a) Set Objective: point to cell with MSY value.</a:t>
          </a:r>
        </a:p>
        <a:p>
          <a:r>
            <a:rPr lang="en-US" sz="1100" baseline="0"/>
            <a:t>          b) To:  check "Value Of" button and enter value of 90% MSY in box.</a:t>
          </a:r>
        </a:p>
        <a:p>
          <a:r>
            <a:rPr lang="en-US" sz="1100" baseline="0"/>
            <a:t>          c) By Changing Variable Cells: enter cell with S value.</a:t>
          </a:r>
        </a:p>
        <a:p>
          <a:r>
            <a:rPr lang="en-US" sz="1100" baseline="0"/>
            <a:t>          d) hit Solve.</a:t>
          </a:r>
        </a:p>
        <a:p>
          <a:r>
            <a:rPr lang="en-US" sz="1100" baseline="0"/>
            <a:t>5) Value in S cell should change to lower bound value and MSY cell should change to 90% MSY value. Save value of S in another cell.</a:t>
          </a:r>
        </a:p>
        <a:p>
          <a:r>
            <a:rPr lang="en-US" sz="1100" baseline="0"/>
            <a:t>6) Change cell with S to a value much higher than Smsy (MSY cell will change).</a:t>
          </a:r>
        </a:p>
        <a:p>
          <a:r>
            <a:rPr lang="en-US" sz="1100" baseline="0"/>
            <a:t>7) Repeat Solver run. Value in S cell should change to upper bound value and MSY cell should change to 90% MSY value. Save Value of S in another cell.</a:t>
          </a:r>
          <a:endParaRPr lang="en-US" sz="1100"/>
        </a:p>
      </xdr:txBody>
    </xdr:sp>
    <xdr:clientData/>
  </xdr:twoCellAnchor>
  <xdr:twoCellAnchor>
    <xdr:from>
      <xdr:col>15</xdr:col>
      <xdr:colOff>142875</xdr:colOff>
      <xdr:row>0</xdr:row>
      <xdr:rowOff>0</xdr:rowOff>
    </xdr:from>
    <xdr:to>
      <xdr:col>19</xdr:col>
      <xdr:colOff>161925</xdr:colOff>
      <xdr:row>1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1F021F-0886-46E0-8872-077DEF12CBC8}"/>
            </a:ext>
          </a:extLst>
        </xdr:cNvPr>
        <xdr:cNvSpPr txBox="1"/>
      </xdr:nvSpPr>
      <xdr:spPr>
        <a:xfrm>
          <a:off x="8077200" y="0"/>
          <a:ext cx="1809750" cy="323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This</a:t>
          </a:r>
          <a:r>
            <a:rPr lang="en-US" sz="1100" b="0" baseline="0"/>
            <a:t> analysis was not used.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95250</xdr:colOff>
      <xdr:row>5</xdr:row>
      <xdr:rowOff>66675</xdr:rowOff>
    </xdr:from>
    <xdr:to>
      <xdr:col>31</xdr:col>
      <xdr:colOff>276225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62CA2-E5DF-4AE7-BE18-C585FB922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266700</xdr:colOff>
      <xdr:row>88</xdr:row>
      <xdr:rowOff>38100</xdr:rowOff>
    </xdr:from>
    <xdr:to>
      <xdr:col>29</xdr:col>
      <xdr:colOff>323850</xdr:colOff>
      <xdr:row>102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7EA62-CDB2-43A1-B6E4-EF0283008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38099</xdr:colOff>
      <xdr:row>45</xdr:row>
      <xdr:rowOff>66674</xdr:rowOff>
    </xdr:from>
    <xdr:to>
      <xdr:col>33</xdr:col>
      <xdr:colOff>400050</xdr:colOff>
      <xdr:row>58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D3380C6-ACDA-4C1F-AF9E-13736E199F64}"/>
            </a:ext>
          </a:extLst>
        </xdr:cNvPr>
        <xdr:cNvSpPr txBox="1"/>
      </xdr:nvSpPr>
      <xdr:spPr>
        <a:xfrm>
          <a:off x="12487274" y="8524874"/>
          <a:ext cx="5353051" cy="2543175"/>
        </a:xfrm>
        <a:prstGeom prst="rect">
          <a:avLst/>
        </a:prstGeom>
        <a:solidFill>
          <a:srgbClr val="99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To calculate 90% Smsy range using Solver:</a:t>
          </a:r>
        </a:p>
        <a:p>
          <a:r>
            <a:rPr lang="en-US" sz="1100"/>
            <a:t>1) Calculate</a:t>
          </a:r>
          <a:r>
            <a:rPr lang="en-US" sz="1100" baseline="0"/>
            <a:t> MSY, then 90% of MSY = 0.9*MSY.</a:t>
          </a:r>
        </a:p>
        <a:p>
          <a:r>
            <a:rPr lang="en-US" sz="1100" baseline="0"/>
            <a:t>2) Predicted Run at Smsy = Smsy^*EXP(lnalpha' +Smsy^*beta^)</a:t>
          </a:r>
        </a:p>
        <a:p>
          <a:r>
            <a:rPr lang="en-US" sz="1100" baseline="0"/>
            <a:t>3) Change cell with S to a value much lower than lower than Smsy (MSY value will change).</a:t>
          </a:r>
        </a:p>
        <a:p>
          <a:r>
            <a:rPr lang="en-US" sz="1100" baseline="0"/>
            <a:t>4) Set Solver:</a:t>
          </a:r>
        </a:p>
        <a:p>
          <a:r>
            <a:rPr lang="en-US" sz="1100" baseline="0"/>
            <a:t>          a) Set Objective: point to cell with MSY value.</a:t>
          </a:r>
        </a:p>
        <a:p>
          <a:r>
            <a:rPr lang="en-US" sz="1100" baseline="0"/>
            <a:t>          b) To:  check "Value Of" button and enter value of 90% MSY in box.</a:t>
          </a:r>
        </a:p>
        <a:p>
          <a:r>
            <a:rPr lang="en-US" sz="1100" baseline="0"/>
            <a:t>          c) By Changing Variable Cells: enter cell with S value.</a:t>
          </a:r>
        </a:p>
        <a:p>
          <a:r>
            <a:rPr lang="en-US" sz="1100" baseline="0"/>
            <a:t>          d) hit Solve.</a:t>
          </a:r>
        </a:p>
        <a:p>
          <a:r>
            <a:rPr lang="en-US" sz="1100" baseline="0"/>
            <a:t>5) Value in S cell should change to lower bound value and MSY cell should change to 90% MSY value. Save value of S in another cell.</a:t>
          </a:r>
        </a:p>
        <a:p>
          <a:r>
            <a:rPr lang="en-US" sz="1100" baseline="0"/>
            <a:t>6) Change cell with S to a value much higher than Smsy (MSY cell will change).</a:t>
          </a:r>
        </a:p>
        <a:p>
          <a:r>
            <a:rPr lang="en-US" sz="1100" baseline="0"/>
            <a:t>7) Repeat Solver run. Value in S cell should change to upper bound value and MSY cell should change to 90% MSY value. Save Value of S in another cell.</a:t>
          </a:r>
          <a:endParaRPr lang="en-US" sz="1100"/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16</xdr:col>
      <xdr:colOff>19050</xdr:colOff>
      <xdr:row>1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BFF2F9-12F4-44B9-BE4F-F5B8E2058E88}"/>
            </a:ext>
          </a:extLst>
        </xdr:cNvPr>
        <xdr:cNvSpPr txBox="1"/>
      </xdr:nvSpPr>
      <xdr:spPr>
        <a:xfrm>
          <a:off x="6591300" y="0"/>
          <a:ext cx="1809750" cy="323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This</a:t>
          </a:r>
          <a:r>
            <a:rPr lang="en-US" sz="1100" b="0" baseline="0"/>
            <a:t> analysis was not used.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95250</xdr:colOff>
      <xdr:row>5</xdr:row>
      <xdr:rowOff>66675</xdr:rowOff>
    </xdr:from>
    <xdr:to>
      <xdr:col>31</xdr:col>
      <xdr:colOff>276225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4E765-F57D-4200-9705-1876A2370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238125</xdr:colOff>
      <xdr:row>88</xdr:row>
      <xdr:rowOff>95250</xdr:rowOff>
    </xdr:from>
    <xdr:to>
      <xdr:col>29</xdr:col>
      <xdr:colOff>295275</xdr:colOff>
      <xdr:row>102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E62F9F-7764-4D2A-A284-D4D2ED023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1285874</xdr:colOff>
      <xdr:row>45</xdr:row>
      <xdr:rowOff>152399</xdr:rowOff>
    </xdr:from>
    <xdr:to>
      <xdr:col>33</xdr:col>
      <xdr:colOff>352425</xdr:colOff>
      <xdr:row>59</xdr:row>
      <xdr:rowOff>28574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14142BE-098A-490F-A08C-07A2A2B2BE96}"/>
            </a:ext>
          </a:extLst>
        </xdr:cNvPr>
        <xdr:cNvSpPr txBox="1"/>
      </xdr:nvSpPr>
      <xdr:spPr>
        <a:xfrm>
          <a:off x="13287374" y="8801099"/>
          <a:ext cx="5591176" cy="2543175"/>
        </a:xfrm>
        <a:prstGeom prst="rect">
          <a:avLst/>
        </a:prstGeom>
        <a:solidFill>
          <a:srgbClr val="99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To calculate 90% Smsy range using Solver:</a:t>
          </a:r>
        </a:p>
        <a:p>
          <a:r>
            <a:rPr lang="en-US" sz="1100"/>
            <a:t>1) Calculate</a:t>
          </a:r>
          <a:r>
            <a:rPr lang="en-US" sz="1100" baseline="0"/>
            <a:t> MSY, then 90% of MSY = 0.9*MSY.</a:t>
          </a:r>
        </a:p>
        <a:p>
          <a:r>
            <a:rPr lang="en-US" sz="1100" baseline="0"/>
            <a:t>2) Predicted Run at Smsy = Smsy^*EXP(lnalpha' +Smsy^*beta^)</a:t>
          </a:r>
        </a:p>
        <a:p>
          <a:r>
            <a:rPr lang="en-US" sz="1100" baseline="0"/>
            <a:t>3) Change cell with S to a value much lower than lower than Smsy (MSY value will change).</a:t>
          </a:r>
        </a:p>
        <a:p>
          <a:r>
            <a:rPr lang="en-US" sz="1100" baseline="0"/>
            <a:t>4) Set Solver:</a:t>
          </a:r>
        </a:p>
        <a:p>
          <a:r>
            <a:rPr lang="en-US" sz="1100" baseline="0"/>
            <a:t>          a) Set Objective: point to cell with MSY value.</a:t>
          </a:r>
        </a:p>
        <a:p>
          <a:r>
            <a:rPr lang="en-US" sz="1100" baseline="0"/>
            <a:t>          b) To:  check "Value Of" button and enter value of 90% MSY in box.</a:t>
          </a:r>
        </a:p>
        <a:p>
          <a:r>
            <a:rPr lang="en-US" sz="1100" baseline="0"/>
            <a:t>          c) By Changing Variable Cells: enter cell with S value.</a:t>
          </a:r>
        </a:p>
        <a:p>
          <a:r>
            <a:rPr lang="en-US" sz="1100" baseline="0"/>
            <a:t>          d) hit Solve.</a:t>
          </a:r>
        </a:p>
        <a:p>
          <a:r>
            <a:rPr lang="en-US" sz="1100" baseline="0"/>
            <a:t>5) Value in S cell should change to lower bound value and MSY cell should change to 90% MSY value. Save value of S in another cell.</a:t>
          </a:r>
        </a:p>
        <a:p>
          <a:r>
            <a:rPr lang="en-US" sz="1100" baseline="0"/>
            <a:t>6) Change cell with S to a value much higher than Smsy (MSY cell will change).</a:t>
          </a:r>
        </a:p>
        <a:p>
          <a:r>
            <a:rPr lang="en-US" sz="1100" baseline="0"/>
            <a:t>7) Repeat Solver run. Value in S cell should change to upper bound value and MSY cell should change to 90% MSY value. Save Value of S in another cell.</a:t>
          </a:r>
          <a:endParaRPr lang="en-US" sz="1100"/>
        </a:p>
      </xdr:txBody>
    </xdr:sp>
    <xdr:clientData/>
  </xdr:twoCellAnchor>
  <xdr:twoCellAnchor>
    <xdr:from>
      <xdr:col>20</xdr:col>
      <xdr:colOff>228600</xdr:colOff>
      <xdr:row>70</xdr:row>
      <xdr:rowOff>171450</xdr:rowOff>
    </xdr:from>
    <xdr:to>
      <xdr:col>29</xdr:col>
      <xdr:colOff>247650</xdr:colOff>
      <xdr:row>85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C3A18D-A664-4CA9-9A4C-5FB8D8ED1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200024</xdr:colOff>
      <xdr:row>0</xdr:row>
      <xdr:rowOff>104774</xdr:rowOff>
    </xdr:from>
    <xdr:to>
      <xdr:col>30</xdr:col>
      <xdr:colOff>361950</xdr:colOff>
      <xdr:row>5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7E84593-FC8E-47FA-8025-9D094B395849}"/>
            </a:ext>
          </a:extLst>
        </xdr:cNvPr>
        <xdr:cNvSpPr txBox="1"/>
      </xdr:nvSpPr>
      <xdr:spPr>
        <a:xfrm>
          <a:off x="10858499" y="104774"/>
          <a:ext cx="5114926" cy="9906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This</a:t>
          </a:r>
          <a:r>
            <a:rPr lang="en-US" sz="1100" b="0" baseline="0"/>
            <a:t> analysis was used in the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of Salmon Escapement Goals in Southeast Alaska, 2020 by Heinl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al. 2020. The expansion for age at return was not used in the analysis. 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/>
            <a:t>Instead, the</a:t>
          </a:r>
          <a:r>
            <a:rPr lang="en-US" sz="1100" baseline="0"/>
            <a:t> missing ages were based on average percent by age from years 1985-1993 and 1999-2016. This was considered Model 1 and also run as a Bayesian spawner recruit analysis.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95250</xdr:colOff>
      <xdr:row>5</xdr:row>
      <xdr:rowOff>66675</xdr:rowOff>
    </xdr:from>
    <xdr:to>
      <xdr:col>31</xdr:col>
      <xdr:colOff>276225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0600A-E5B2-40D2-AC1D-6C3395BF1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409575</xdr:colOff>
      <xdr:row>88</xdr:row>
      <xdr:rowOff>152400</xdr:rowOff>
    </xdr:from>
    <xdr:to>
      <xdr:col>29</xdr:col>
      <xdr:colOff>466725</xdr:colOff>
      <xdr:row>103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0CA270-1E99-408D-8B74-4B72E7CD8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38099</xdr:colOff>
      <xdr:row>45</xdr:row>
      <xdr:rowOff>66674</xdr:rowOff>
    </xdr:from>
    <xdr:to>
      <xdr:col>33</xdr:col>
      <xdr:colOff>400050</xdr:colOff>
      <xdr:row>58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4D41B9-31A8-4340-B3E6-89609E8E19B7}"/>
            </a:ext>
          </a:extLst>
        </xdr:cNvPr>
        <xdr:cNvSpPr txBox="1"/>
      </xdr:nvSpPr>
      <xdr:spPr>
        <a:xfrm>
          <a:off x="12487274" y="8715374"/>
          <a:ext cx="5619751" cy="2543175"/>
        </a:xfrm>
        <a:prstGeom prst="rect">
          <a:avLst/>
        </a:prstGeom>
        <a:solidFill>
          <a:srgbClr val="99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To calculate 90% Smsy range using Solver:</a:t>
          </a:r>
        </a:p>
        <a:p>
          <a:r>
            <a:rPr lang="en-US" sz="1100"/>
            <a:t>1) Calculate</a:t>
          </a:r>
          <a:r>
            <a:rPr lang="en-US" sz="1100" baseline="0"/>
            <a:t> MSY, then 90% of MSY = 0.9*MSY.</a:t>
          </a:r>
        </a:p>
        <a:p>
          <a:r>
            <a:rPr lang="en-US" sz="1100" baseline="0"/>
            <a:t>2) Predicted Run at Smsy = Smsy^*EXP(lnalpha' +Smsy^*beta^)</a:t>
          </a:r>
        </a:p>
        <a:p>
          <a:r>
            <a:rPr lang="en-US" sz="1100" baseline="0"/>
            <a:t>3) Change cell with S to a value much lower than lower than Smsy (MSY value will change).</a:t>
          </a:r>
        </a:p>
        <a:p>
          <a:r>
            <a:rPr lang="en-US" sz="1100" baseline="0"/>
            <a:t>4) Set Solver:</a:t>
          </a:r>
        </a:p>
        <a:p>
          <a:r>
            <a:rPr lang="en-US" sz="1100" baseline="0"/>
            <a:t>          a) Set Objective: point to cell with MSY value.</a:t>
          </a:r>
        </a:p>
        <a:p>
          <a:r>
            <a:rPr lang="en-US" sz="1100" baseline="0"/>
            <a:t>          b) To:  check "Value Of" button and enter value of 90% MSY in box.</a:t>
          </a:r>
        </a:p>
        <a:p>
          <a:r>
            <a:rPr lang="en-US" sz="1100" baseline="0"/>
            <a:t>          c) By Changing Variable Cells: enter cell with S value.</a:t>
          </a:r>
        </a:p>
        <a:p>
          <a:r>
            <a:rPr lang="en-US" sz="1100" baseline="0"/>
            <a:t>          d) hit Solve.</a:t>
          </a:r>
        </a:p>
        <a:p>
          <a:r>
            <a:rPr lang="en-US" sz="1100" baseline="0"/>
            <a:t>5) Value in S cell should change to lower bound value and MSY cell should change to 90% MSY value. Save value of S in another cell.</a:t>
          </a:r>
        </a:p>
        <a:p>
          <a:r>
            <a:rPr lang="en-US" sz="1100" baseline="0"/>
            <a:t>6) Change cell with S to a value much higher than Smsy (MSY cell will change).</a:t>
          </a:r>
        </a:p>
        <a:p>
          <a:r>
            <a:rPr lang="en-US" sz="1100" baseline="0"/>
            <a:t>7) Repeat Solver run. Value in S cell should change to upper bound value and MSY cell should change to 90% MSY value. Save Value of S in another cell.</a:t>
          </a:r>
          <a:endParaRPr lang="en-US" sz="1100"/>
        </a:p>
      </xdr:txBody>
    </xdr:sp>
    <xdr:clientData/>
  </xdr:twoCellAnchor>
  <xdr:twoCellAnchor>
    <xdr:from>
      <xdr:col>5</xdr:col>
      <xdr:colOff>381000</xdr:colOff>
      <xdr:row>0</xdr:row>
      <xdr:rowOff>0</xdr:rowOff>
    </xdr:from>
    <xdr:to>
      <xdr:col>24</xdr:col>
      <xdr:colOff>171450</xdr:colOff>
      <xdr:row>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8C608A-4B04-4780-9BCE-0DA31B4C9821}"/>
            </a:ext>
          </a:extLst>
        </xdr:cNvPr>
        <xdr:cNvSpPr txBox="1"/>
      </xdr:nvSpPr>
      <xdr:spPr>
        <a:xfrm>
          <a:off x="3600450" y="0"/>
          <a:ext cx="8572500" cy="6286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This</a:t>
          </a:r>
          <a:r>
            <a:rPr lang="en-US" sz="1100" b="0" baseline="0"/>
            <a:t> analysis was used in the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of Salmon Escapement Goals in Southeast Alaska, 2020 by Heinl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al. 2020. The expansion for age at return was not used in the analysis. </a:t>
          </a:r>
          <a:r>
            <a:rPr lang="en-US" sz="1100"/>
            <a:t>Instead, the</a:t>
          </a:r>
          <a:r>
            <a:rPr lang="en-US" sz="1100" baseline="0"/>
            <a:t> missing ages were based on average percent by age from years 1985-1993 and 1999-2016. This was considered Model 2 (only included years 1999-2003) and was also run as a Bayesian spawner recruit analysis.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39</xdr:row>
      <xdr:rowOff>152400</xdr:rowOff>
    </xdr:from>
    <xdr:to>
      <xdr:col>5</xdr:col>
      <xdr:colOff>762000</xdr:colOff>
      <xdr:row>54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0759C1-9310-4432-9430-3D394509F71F}"/>
            </a:ext>
          </a:extLst>
        </xdr:cNvPr>
        <xdr:cNvSpPr txBox="1"/>
      </xdr:nvSpPr>
      <xdr:spPr>
        <a:xfrm>
          <a:off x="171449" y="7953375"/>
          <a:ext cx="5124451" cy="2371725"/>
        </a:xfrm>
        <a:prstGeom prst="rect">
          <a:avLst/>
        </a:prstGeom>
        <a:solidFill>
          <a:srgbClr val="99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Also: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From: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Coonradt, Eric E (DFG) </a:t>
          </a:r>
          <a:b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Sent: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Thursday, May 30, 2013 9:00 AM</a:t>
          </a:r>
          <a:b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To: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Heinl, Steve (DFG)</a:t>
          </a:r>
          <a:b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Subject: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RE: Redoubt commercial harvest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We use the incidental harvest from Stat Areas 113-38 and 41. There is only one other sockeye system close by and it’s a very small system [Salmon Lake], so the assumption is that most of those sockeye were bound for Redoubt. -Eric</a:t>
          </a:r>
        </a:p>
        <a:p>
          <a:endParaRPr lang="en-US" sz="1100"/>
        </a:p>
        <a:p>
          <a:r>
            <a:rPr lang="en-US" sz="1100"/>
            <a:t>Includes all seine harvest from Statistical areas 113-40, 41 &amp; 38 including hatchery cost recovery</a:t>
          </a:r>
          <a:r>
            <a:rPr lang="en-US" sz="1100" baseline="0"/>
            <a:t> - Eric Coonradt, 8-7-2019.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261937</xdr:colOff>
      <xdr:row>21</xdr:row>
      <xdr:rowOff>0</xdr:rowOff>
    </xdr:from>
    <xdr:to>
      <xdr:col>43</xdr:col>
      <xdr:colOff>566737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4546A-A908-45B0-8CFB-BAC4A0CEE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92</xdr:row>
      <xdr:rowOff>19050</xdr:rowOff>
    </xdr:from>
    <xdr:to>
      <xdr:col>17</xdr:col>
      <xdr:colOff>114300</xdr:colOff>
      <xdr:row>106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E7A9FD-B331-4D34-B2C7-B9814C821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5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R11" sqref="R11"/>
    </sheetView>
  </sheetViews>
  <sheetFormatPr defaultColWidth="9.109375" defaultRowHeight="13.8" x14ac:dyDescent="0.3"/>
  <cols>
    <col min="1" max="1" width="9.109375" style="4"/>
    <col min="2" max="2" width="9.109375" style="2"/>
    <col min="3" max="4" width="10.33203125" style="2" bestFit="1" customWidth="1"/>
    <col min="5" max="5" width="9.109375" style="2"/>
    <col min="6" max="6" width="10.44140625" style="2" bestFit="1" customWidth="1"/>
    <col min="7" max="7" width="10.44140625" style="2" customWidth="1"/>
    <col min="8" max="9" width="9.109375" style="2"/>
    <col min="10" max="12" width="9.109375" style="1"/>
    <col min="13" max="16" width="9.109375" style="2"/>
    <col min="17" max="18" width="9.109375" style="4"/>
    <col min="19" max="19" width="11.109375" style="2" customWidth="1"/>
    <col min="20" max="21" width="9.109375" style="2"/>
    <col min="22" max="22" width="8.6640625" style="1" customWidth="1"/>
    <col min="23" max="23" width="9.109375" style="1"/>
    <col min="24" max="24" width="10.33203125" style="1" bestFit="1" customWidth="1"/>
    <col min="25" max="16384" width="9.109375" style="1"/>
  </cols>
  <sheetData>
    <row r="1" spans="1:29" ht="18" x14ac:dyDescent="0.35">
      <c r="A1" s="74" t="s">
        <v>165</v>
      </c>
    </row>
    <row r="2" spans="1:29" x14ac:dyDescent="0.3">
      <c r="A2" s="232" t="s">
        <v>232</v>
      </c>
      <c r="Q2" s="9"/>
      <c r="R2" s="9"/>
    </row>
    <row r="3" spans="1:29" x14ac:dyDescent="0.3">
      <c r="A3" s="127"/>
      <c r="B3" s="128"/>
      <c r="C3" s="128"/>
      <c r="D3" s="128"/>
      <c r="E3" s="128"/>
      <c r="F3" s="128"/>
      <c r="G3" s="128" t="s">
        <v>145</v>
      </c>
      <c r="H3" s="128"/>
      <c r="I3" s="128"/>
      <c r="J3" s="129"/>
      <c r="K3" s="129"/>
      <c r="L3" s="129"/>
      <c r="M3" s="128"/>
      <c r="N3" s="128"/>
      <c r="O3" s="128"/>
      <c r="P3" s="128"/>
      <c r="Q3" s="127" t="s">
        <v>21</v>
      </c>
      <c r="R3" s="127" t="s">
        <v>203</v>
      </c>
      <c r="S3" s="128"/>
      <c r="T3" s="128"/>
      <c r="U3" s="128"/>
    </row>
    <row r="4" spans="1:29" x14ac:dyDescent="0.3">
      <c r="A4" s="130"/>
      <c r="B4" s="131" t="s">
        <v>5</v>
      </c>
      <c r="C4" s="131" t="s">
        <v>1</v>
      </c>
      <c r="D4" s="131" t="s">
        <v>8</v>
      </c>
      <c r="E4" s="131" t="s">
        <v>10</v>
      </c>
      <c r="F4" s="131" t="s">
        <v>61</v>
      </c>
      <c r="G4" s="131" t="s">
        <v>61</v>
      </c>
      <c r="H4" s="131" t="s">
        <v>12</v>
      </c>
      <c r="I4" s="131" t="s">
        <v>12</v>
      </c>
      <c r="J4" s="130" t="s">
        <v>9</v>
      </c>
      <c r="K4" s="242" t="s">
        <v>4</v>
      </c>
      <c r="L4" s="242"/>
      <c r="M4" s="241" t="s">
        <v>18</v>
      </c>
      <c r="N4" s="241"/>
      <c r="O4" s="241" t="s">
        <v>19</v>
      </c>
      <c r="P4" s="241"/>
      <c r="Q4" s="130" t="s">
        <v>22</v>
      </c>
      <c r="R4" s="130" t="s">
        <v>181</v>
      </c>
      <c r="S4" s="192"/>
      <c r="T4" s="192"/>
      <c r="U4" s="192"/>
      <c r="W4" s="75" t="s">
        <v>105</v>
      </c>
    </row>
    <row r="5" spans="1:29" x14ac:dyDescent="0.3">
      <c r="A5" s="132" t="s">
        <v>0</v>
      </c>
      <c r="B5" s="133" t="s">
        <v>6</v>
      </c>
      <c r="C5" s="133" t="s">
        <v>7</v>
      </c>
      <c r="D5" s="133" t="s">
        <v>9</v>
      </c>
      <c r="E5" s="133" t="s">
        <v>9</v>
      </c>
      <c r="F5" s="133" t="s">
        <v>9</v>
      </c>
      <c r="G5" s="133" t="s">
        <v>146</v>
      </c>
      <c r="H5" s="133" t="s">
        <v>9</v>
      </c>
      <c r="I5" s="133" t="s">
        <v>27</v>
      </c>
      <c r="J5" s="132" t="s">
        <v>51</v>
      </c>
      <c r="K5" s="132" t="s">
        <v>2</v>
      </c>
      <c r="L5" s="132" t="s">
        <v>3</v>
      </c>
      <c r="M5" s="133" t="s">
        <v>14</v>
      </c>
      <c r="N5" s="133" t="s">
        <v>15</v>
      </c>
      <c r="O5" s="133" t="s">
        <v>16</v>
      </c>
      <c r="P5" s="133" t="s">
        <v>17</v>
      </c>
      <c r="Q5" s="132" t="s">
        <v>11</v>
      </c>
      <c r="R5" s="132" t="s">
        <v>182</v>
      </c>
      <c r="S5" s="133" t="s">
        <v>176</v>
      </c>
      <c r="T5" s="133"/>
      <c r="U5" s="133"/>
      <c r="W5" s="4" t="s">
        <v>0</v>
      </c>
      <c r="X5" s="8" t="s">
        <v>1</v>
      </c>
      <c r="Y5" s="8" t="s">
        <v>13</v>
      </c>
      <c r="Z5" s="8" t="s">
        <v>52</v>
      </c>
      <c r="AA5" s="8" t="s">
        <v>62</v>
      </c>
      <c r="AB5" s="4" t="s">
        <v>63</v>
      </c>
      <c r="AC5" s="4" t="s">
        <v>64</v>
      </c>
    </row>
    <row r="6" spans="1:29" x14ac:dyDescent="0.3">
      <c r="A6" s="4">
        <v>1982</v>
      </c>
      <c r="B6" s="5">
        <v>430</v>
      </c>
      <c r="C6" s="7">
        <v>455.8408662342689</v>
      </c>
      <c r="D6" s="7">
        <f>Harvest!D5</f>
        <v>97</v>
      </c>
      <c r="E6" s="7" t="s">
        <v>89</v>
      </c>
      <c r="F6" s="7" t="s">
        <v>89</v>
      </c>
      <c r="G6" s="7"/>
      <c r="H6" s="7">
        <f>SUM(D6:F6)</f>
        <v>97</v>
      </c>
      <c r="I6" s="7">
        <f t="shared" ref="I6:I21" si="0">SUM(C6,H6)</f>
        <v>552.8408662342689</v>
      </c>
      <c r="J6" s="63">
        <f t="shared" ref="J6:J42" si="1">H6/I6</f>
        <v>0.17545736200857445</v>
      </c>
      <c r="M6" s="7"/>
      <c r="N6" s="7"/>
      <c r="O6" s="7"/>
      <c r="P6" s="7"/>
      <c r="Q6" s="4" t="s">
        <v>24</v>
      </c>
      <c r="S6" s="7"/>
      <c r="T6" s="7"/>
      <c r="U6" s="7"/>
      <c r="W6" s="4">
        <v>1982</v>
      </c>
      <c r="X6" s="3">
        <v>456</v>
      </c>
      <c r="Y6" s="3">
        <v>6870</v>
      </c>
      <c r="Z6" s="135">
        <f>Y6/X6</f>
        <v>15.065789473684211</v>
      </c>
      <c r="AA6" s="136">
        <f>LN(Z6)</f>
        <v>2.712426575702009</v>
      </c>
      <c r="AB6" s="126">
        <f>X6/1000</f>
        <v>0.45600000000000002</v>
      </c>
      <c r="AC6" s="126">
        <f>Y6/1000</f>
        <v>6.87</v>
      </c>
    </row>
    <row r="7" spans="1:29" x14ac:dyDescent="0.3">
      <c r="A7" s="4">
        <v>1983</v>
      </c>
      <c r="B7" s="6">
        <v>2525</v>
      </c>
      <c r="C7" s="7">
        <v>2539.7855103785087</v>
      </c>
      <c r="D7" s="7">
        <v>36</v>
      </c>
      <c r="E7" s="7" t="s">
        <v>89</v>
      </c>
      <c r="F7" s="7" t="s">
        <v>89</v>
      </c>
      <c r="G7" s="7"/>
      <c r="H7" s="7">
        <f t="shared" ref="H7:H42" si="2">SUM(D7:F7)</f>
        <v>36</v>
      </c>
      <c r="I7" s="7">
        <f t="shared" si="0"/>
        <v>2575.7855103785087</v>
      </c>
      <c r="J7" s="63">
        <f t="shared" si="1"/>
        <v>1.3976319012179645E-2</v>
      </c>
      <c r="M7" s="7"/>
      <c r="N7" s="7"/>
      <c r="O7" s="7"/>
      <c r="P7" s="7"/>
      <c r="Q7" s="4" t="s">
        <v>24</v>
      </c>
      <c r="S7" s="7"/>
      <c r="T7" s="7"/>
      <c r="U7" s="7"/>
      <c r="W7" s="4">
        <v>1983</v>
      </c>
      <c r="X7" s="3">
        <v>2540</v>
      </c>
      <c r="Y7" s="3">
        <v>12928</v>
      </c>
      <c r="Z7" s="135">
        <f t="shared" ref="Z7:Z20" si="3">Y7/X7</f>
        <v>5.0897637795275594</v>
      </c>
      <c r="AA7" s="136">
        <f t="shared" ref="AA7:AA20" si="4">LN(Z7)</f>
        <v>1.6272314207482945</v>
      </c>
      <c r="AB7" s="126">
        <f t="shared" ref="AB7:AB20" si="5">X7/1000</f>
        <v>2.54</v>
      </c>
      <c r="AC7" s="126">
        <f t="shared" ref="AC7:AC20" si="6">Y7/1000</f>
        <v>12.928000000000001</v>
      </c>
    </row>
    <row r="8" spans="1:29" x14ac:dyDescent="0.3">
      <c r="A8" s="4">
        <v>1984</v>
      </c>
      <c r="B8" s="6">
        <v>11545</v>
      </c>
      <c r="C8" s="7">
        <v>11579.406940083547</v>
      </c>
      <c r="D8" s="7">
        <v>175</v>
      </c>
      <c r="E8" s="7" t="s">
        <v>89</v>
      </c>
      <c r="F8" s="7" t="s">
        <v>89</v>
      </c>
      <c r="G8" s="7"/>
      <c r="H8" s="7">
        <f t="shared" si="2"/>
        <v>175</v>
      </c>
      <c r="I8" s="7">
        <f t="shared" si="0"/>
        <v>11754.406940083547</v>
      </c>
      <c r="J8" s="63">
        <f t="shared" si="1"/>
        <v>1.4888033134469321E-2</v>
      </c>
      <c r="M8" s="7"/>
      <c r="N8" s="7"/>
      <c r="O8" s="7">
        <v>61</v>
      </c>
      <c r="P8" s="7">
        <v>1682</v>
      </c>
      <c r="Q8" s="4" t="s">
        <v>24</v>
      </c>
      <c r="R8" s="4" t="s">
        <v>184</v>
      </c>
      <c r="S8" s="7"/>
      <c r="T8" s="7"/>
      <c r="U8" s="7"/>
      <c r="W8" s="4">
        <v>1984</v>
      </c>
      <c r="X8" s="3">
        <v>11579</v>
      </c>
      <c r="Y8" s="3">
        <v>50507</v>
      </c>
      <c r="Z8" s="135">
        <f t="shared" si="3"/>
        <v>4.3619483547802052</v>
      </c>
      <c r="AA8" s="136">
        <f t="shared" si="4"/>
        <v>1.4729188279065506</v>
      </c>
      <c r="AB8" s="126">
        <f t="shared" si="5"/>
        <v>11.579000000000001</v>
      </c>
      <c r="AC8" s="126">
        <f t="shared" si="6"/>
        <v>50.506999999999998</v>
      </c>
    </row>
    <row r="9" spans="1:29" x14ac:dyDescent="0.3">
      <c r="A9" s="4">
        <v>1985</v>
      </c>
      <c r="B9" s="6">
        <v>10669</v>
      </c>
      <c r="C9" s="7">
        <v>10991.361364818644</v>
      </c>
      <c r="D9" s="7">
        <f>Harvest!D5</f>
        <v>97</v>
      </c>
      <c r="E9" s="7" t="s">
        <v>89</v>
      </c>
      <c r="F9" s="7">
        <f>Harvest!G5</f>
        <v>141</v>
      </c>
      <c r="G9" s="7"/>
      <c r="H9" s="7">
        <f t="shared" si="2"/>
        <v>238</v>
      </c>
      <c r="I9" s="7">
        <f t="shared" si="0"/>
        <v>11229.361364818644</v>
      </c>
      <c r="J9" s="63">
        <f t="shared" si="1"/>
        <v>2.119443771269567E-2</v>
      </c>
      <c r="M9" s="7"/>
      <c r="N9" s="7"/>
      <c r="O9" s="7">
        <v>65</v>
      </c>
      <c r="P9" s="7">
        <v>1763</v>
      </c>
      <c r="Q9" s="4" t="s">
        <v>24</v>
      </c>
      <c r="R9" s="4" t="s">
        <v>183</v>
      </c>
      <c r="S9" s="7"/>
      <c r="T9" s="7"/>
      <c r="U9" s="7"/>
      <c r="W9" s="4">
        <v>1985</v>
      </c>
      <c r="X9" s="3">
        <v>10991</v>
      </c>
      <c r="Y9" s="3">
        <v>96544</v>
      </c>
      <c r="Z9" s="135">
        <f t="shared" si="3"/>
        <v>8.7839141115458101</v>
      </c>
      <c r="AA9" s="136">
        <f t="shared" si="4"/>
        <v>2.1729221068898874</v>
      </c>
      <c r="AB9" s="126">
        <f t="shared" si="5"/>
        <v>10.991</v>
      </c>
      <c r="AC9" s="126">
        <f t="shared" si="6"/>
        <v>96.543999999999997</v>
      </c>
    </row>
    <row r="10" spans="1:29" x14ac:dyDescent="0.3">
      <c r="A10" s="4">
        <v>1986</v>
      </c>
      <c r="B10" s="6">
        <v>9414</v>
      </c>
      <c r="C10" s="7">
        <v>9798.1703772778565</v>
      </c>
      <c r="D10" s="7">
        <f>Harvest!D6</f>
        <v>86</v>
      </c>
      <c r="E10" s="7" t="s">
        <v>89</v>
      </c>
      <c r="F10" s="7">
        <f>Harvest!G6</f>
        <v>12</v>
      </c>
      <c r="G10" s="7"/>
      <c r="H10" s="7">
        <f t="shared" si="2"/>
        <v>98</v>
      </c>
      <c r="I10" s="7">
        <f t="shared" si="0"/>
        <v>9896.1703772778565</v>
      </c>
      <c r="J10" s="63">
        <f t="shared" si="1"/>
        <v>9.9028206128113274E-3</v>
      </c>
      <c r="M10" s="7" t="s">
        <v>25</v>
      </c>
      <c r="N10" s="7">
        <v>28220</v>
      </c>
      <c r="O10" s="7">
        <v>78</v>
      </c>
      <c r="P10" s="7">
        <v>2163</v>
      </c>
      <c r="Q10" s="4" t="s">
        <v>24</v>
      </c>
      <c r="R10" s="4" t="s">
        <v>186</v>
      </c>
      <c r="S10" s="191" t="s">
        <v>175</v>
      </c>
      <c r="T10" s="7"/>
      <c r="U10" s="10"/>
      <c r="W10" s="4">
        <v>1986</v>
      </c>
      <c r="X10" s="3">
        <v>9798</v>
      </c>
      <c r="Y10" s="3">
        <v>10935</v>
      </c>
      <c r="Z10" s="135">
        <f t="shared" si="3"/>
        <v>1.1160440906307409</v>
      </c>
      <c r="AA10" s="136">
        <f t="shared" si="4"/>
        <v>0.10979037091234808</v>
      </c>
      <c r="AB10" s="126">
        <f t="shared" si="5"/>
        <v>9.798</v>
      </c>
      <c r="AC10" s="126">
        <f t="shared" si="6"/>
        <v>10.935</v>
      </c>
    </row>
    <row r="11" spans="1:29" x14ac:dyDescent="0.3">
      <c r="A11" s="216">
        <v>1987</v>
      </c>
      <c r="B11" s="6">
        <v>12990</v>
      </c>
      <c r="C11" s="7">
        <v>14251.358370057878</v>
      </c>
      <c r="D11" s="7">
        <f>Harvest!D7</f>
        <v>199</v>
      </c>
      <c r="E11" s="7" t="s">
        <v>89</v>
      </c>
      <c r="F11" s="7">
        <f>Harvest!G7</f>
        <v>86</v>
      </c>
      <c r="G11" s="7"/>
      <c r="H11" s="7">
        <f t="shared" si="2"/>
        <v>285</v>
      </c>
      <c r="I11" s="7">
        <f t="shared" si="0"/>
        <v>14536.358370057878</v>
      </c>
      <c r="J11" s="63">
        <f t="shared" si="1"/>
        <v>1.9606010855307859E-2</v>
      </c>
      <c r="M11" s="7" t="s">
        <v>25</v>
      </c>
      <c r="N11" s="7">
        <v>28711</v>
      </c>
      <c r="O11" s="7">
        <v>75</v>
      </c>
      <c r="P11" s="7">
        <v>3045</v>
      </c>
      <c r="Q11" s="4" t="s">
        <v>24</v>
      </c>
      <c r="R11" s="4" t="s">
        <v>185</v>
      </c>
      <c r="S11" s="7"/>
      <c r="T11" s="7"/>
      <c r="U11" s="7"/>
      <c r="W11" s="4">
        <v>1987</v>
      </c>
      <c r="X11" s="3">
        <v>14251</v>
      </c>
      <c r="Y11" s="3">
        <v>14167</v>
      </c>
      <c r="Z11" s="135">
        <f t="shared" si="3"/>
        <v>0.99410567679461093</v>
      </c>
      <c r="AA11" s="136">
        <f t="shared" si="4"/>
        <v>-5.9117632938612066E-3</v>
      </c>
      <c r="AB11" s="126">
        <f t="shared" si="5"/>
        <v>14.250999999999999</v>
      </c>
      <c r="AC11" s="126">
        <f t="shared" si="6"/>
        <v>14.167</v>
      </c>
    </row>
    <row r="12" spans="1:29" x14ac:dyDescent="0.3">
      <c r="A12" s="4">
        <v>1988</v>
      </c>
      <c r="B12" s="6">
        <v>1889</v>
      </c>
      <c r="C12" s="7">
        <v>3252.0306691668725</v>
      </c>
      <c r="D12" s="7">
        <f>Harvest!D8</f>
        <v>334</v>
      </c>
      <c r="E12" s="7" t="s">
        <v>89</v>
      </c>
      <c r="F12" s="7">
        <f>Harvest!G8</f>
        <v>6</v>
      </c>
      <c r="G12" s="7"/>
      <c r="H12" s="7">
        <f t="shared" si="2"/>
        <v>340</v>
      </c>
      <c r="I12" s="7">
        <f t="shared" si="0"/>
        <v>3592.0306691668725</v>
      </c>
      <c r="J12" s="63">
        <f t="shared" si="1"/>
        <v>9.465398024534652E-2</v>
      </c>
      <c r="M12" s="7"/>
      <c r="N12" s="7"/>
      <c r="O12" s="7"/>
      <c r="P12" s="7"/>
      <c r="Q12" s="4" t="s">
        <v>24</v>
      </c>
      <c r="S12" s="7"/>
      <c r="T12" s="7"/>
      <c r="U12" s="7"/>
      <c r="W12" s="4">
        <v>1988</v>
      </c>
      <c r="X12" s="3">
        <v>3252</v>
      </c>
      <c r="Y12" s="3">
        <v>31862</v>
      </c>
      <c r="Z12" s="135">
        <f t="shared" si="3"/>
        <v>9.7976629766297663</v>
      </c>
      <c r="AA12" s="136">
        <f t="shared" si="4"/>
        <v>2.282143885465139</v>
      </c>
      <c r="AB12" s="126">
        <f t="shared" si="5"/>
        <v>3.2519999999999998</v>
      </c>
      <c r="AC12" s="126">
        <f t="shared" si="6"/>
        <v>31.861999999999998</v>
      </c>
    </row>
    <row r="13" spans="1:29" x14ac:dyDescent="0.3">
      <c r="A13" s="4">
        <v>1989</v>
      </c>
      <c r="B13" s="6">
        <v>28669</v>
      </c>
      <c r="C13" s="7">
        <v>31570.474732028444</v>
      </c>
      <c r="D13" s="7">
        <f>Harvest!D9</f>
        <v>2685</v>
      </c>
      <c r="E13" s="7" t="s">
        <v>89</v>
      </c>
      <c r="F13" s="7">
        <f>Harvest!G9</f>
        <v>1</v>
      </c>
      <c r="G13" s="7"/>
      <c r="H13" s="7">
        <f t="shared" si="2"/>
        <v>2686</v>
      </c>
      <c r="I13" s="7">
        <f t="shared" si="0"/>
        <v>34256.474732028444</v>
      </c>
      <c r="J13" s="63">
        <f t="shared" si="1"/>
        <v>7.8408535058299408E-2</v>
      </c>
      <c r="M13" s="7" t="s">
        <v>25</v>
      </c>
      <c r="N13" s="7">
        <v>38800</v>
      </c>
      <c r="O13" s="7"/>
      <c r="P13" s="7"/>
      <c r="Q13" s="4" t="s">
        <v>23</v>
      </c>
      <c r="S13" s="7"/>
      <c r="T13" s="7"/>
      <c r="U13" s="7"/>
      <c r="W13" s="4">
        <v>1989</v>
      </c>
      <c r="X13" s="3">
        <v>31570</v>
      </c>
      <c r="Y13" s="3">
        <v>26851</v>
      </c>
      <c r="Z13" s="135">
        <f t="shared" si="3"/>
        <v>0.85052264808362366</v>
      </c>
      <c r="AA13" s="136">
        <f t="shared" si="4"/>
        <v>-0.16190423836070678</v>
      </c>
      <c r="AB13" s="126">
        <f t="shared" si="5"/>
        <v>31.57</v>
      </c>
      <c r="AC13" s="126">
        <f t="shared" si="6"/>
        <v>26.850999999999999</v>
      </c>
    </row>
    <row r="14" spans="1:29" x14ac:dyDescent="0.3">
      <c r="A14" s="4">
        <v>1990</v>
      </c>
      <c r="B14" s="6">
        <v>72517</v>
      </c>
      <c r="C14" s="7">
        <v>73180.571660014248</v>
      </c>
      <c r="D14" s="7">
        <f>Harvest!D10</f>
        <v>5326</v>
      </c>
      <c r="E14" s="7">
        <v>703</v>
      </c>
      <c r="F14" s="7">
        <f>Harvest!G10</f>
        <v>0</v>
      </c>
      <c r="G14" s="7"/>
      <c r="H14" s="7">
        <f t="shared" si="2"/>
        <v>6029</v>
      </c>
      <c r="I14" s="7">
        <f t="shared" si="0"/>
        <v>79209.571660014248</v>
      </c>
      <c r="J14" s="63">
        <f t="shared" si="1"/>
        <v>7.6114538604978937E-2</v>
      </c>
      <c r="M14" s="7" t="s">
        <v>25</v>
      </c>
      <c r="N14" s="7">
        <v>59520</v>
      </c>
      <c r="O14" s="7">
        <v>107</v>
      </c>
      <c r="P14" s="7">
        <v>3045</v>
      </c>
      <c r="Q14" s="4" t="s">
        <v>24</v>
      </c>
      <c r="R14" s="4" t="s">
        <v>187</v>
      </c>
      <c r="S14" s="7"/>
      <c r="T14" s="7"/>
      <c r="U14" s="7"/>
      <c r="W14" s="4">
        <v>1990</v>
      </c>
      <c r="X14" s="3">
        <v>73181</v>
      </c>
      <c r="Y14" s="3">
        <v>42987</v>
      </c>
      <c r="Z14" s="135">
        <f t="shared" si="3"/>
        <v>0.58740656727839191</v>
      </c>
      <c r="AA14" s="136">
        <f t="shared" si="4"/>
        <v>-0.5320380800308957</v>
      </c>
      <c r="AB14" s="126">
        <f t="shared" si="5"/>
        <v>73.180999999999997</v>
      </c>
      <c r="AC14" s="126">
        <f t="shared" si="6"/>
        <v>42.987000000000002</v>
      </c>
    </row>
    <row r="15" spans="1:29" x14ac:dyDescent="0.3">
      <c r="A15" s="4">
        <v>1991</v>
      </c>
      <c r="B15" s="6">
        <v>45039</v>
      </c>
      <c r="C15" s="7">
        <v>45509.809180830263</v>
      </c>
      <c r="D15" s="7">
        <f>Harvest!D11</f>
        <v>3105</v>
      </c>
      <c r="E15" s="7" t="s">
        <v>89</v>
      </c>
      <c r="F15" s="7">
        <f>Harvest!G11</f>
        <v>1</v>
      </c>
      <c r="G15" s="7"/>
      <c r="H15" s="7">
        <f t="shared" si="2"/>
        <v>3106</v>
      </c>
      <c r="I15" s="7">
        <f t="shared" si="0"/>
        <v>48615.809180830263</v>
      </c>
      <c r="J15" s="63">
        <f t="shared" si="1"/>
        <v>6.388868255688171E-2</v>
      </c>
      <c r="M15" s="7" t="s">
        <v>25</v>
      </c>
      <c r="N15" s="7">
        <v>236436</v>
      </c>
      <c r="O15" s="7">
        <v>97</v>
      </c>
      <c r="P15" s="7">
        <v>2844</v>
      </c>
      <c r="Q15" s="4" t="s">
        <v>24</v>
      </c>
      <c r="R15" s="4" t="s">
        <v>188</v>
      </c>
      <c r="S15" s="7"/>
      <c r="T15" s="7"/>
      <c r="U15" s="7"/>
      <c r="W15" s="4">
        <v>1991</v>
      </c>
      <c r="X15" s="3">
        <v>45510</v>
      </c>
      <c r="Y15" s="3">
        <v>33250</v>
      </c>
      <c r="Z15" s="135">
        <f t="shared" si="3"/>
        <v>0.73060865743792569</v>
      </c>
      <c r="AA15" s="136">
        <f t="shared" si="4"/>
        <v>-0.31387731492668747</v>
      </c>
      <c r="AB15" s="126">
        <f t="shared" si="5"/>
        <v>45.51</v>
      </c>
      <c r="AC15" s="126">
        <f t="shared" si="6"/>
        <v>33.25</v>
      </c>
    </row>
    <row r="16" spans="1:29" x14ac:dyDescent="0.3">
      <c r="A16" s="4">
        <v>1992</v>
      </c>
      <c r="B16" s="6">
        <v>10231</v>
      </c>
      <c r="C16" s="7">
        <v>10325.816536999801</v>
      </c>
      <c r="D16" s="7">
        <f>Harvest!D12</f>
        <v>96</v>
      </c>
      <c r="E16" s="7" t="s">
        <v>89</v>
      </c>
      <c r="F16" s="7">
        <f>Harvest!G12</f>
        <v>5</v>
      </c>
      <c r="G16" s="7"/>
      <c r="H16" s="7">
        <f t="shared" si="2"/>
        <v>101</v>
      </c>
      <c r="I16" s="7">
        <f t="shared" si="0"/>
        <v>10426.816536999801</v>
      </c>
      <c r="J16" s="63">
        <f t="shared" si="1"/>
        <v>9.6865615350187808E-3</v>
      </c>
      <c r="M16" s="7"/>
      <c r="N16" s="7"/>
      <c r="O16" s="7">
        <v>95</v>
      </c>
      <c r="P16" s="7">
        <v>2003</v>
      </c>
      <c r="Q16" s="4" t="s">
        <v>24</v>
      </c>
      <c r="R16" s="4" t="s">
        <v>189</v>
      </c>
      <c r="S16" s="7"/>
      <c r="T16" s="7"/>
      <c r="U16" s="7"/>
      <c r="W16" s="4">
        <v>1992</v>
      </c>
      <c r="X16" s="3">
        <v>10326</v>
      </c>
      <c r="Y16" s="3">
        <v>38798</v>
      </c>
      <c r="Z16" s="135">
        <f t="shared" si="3"/>
        <v>3.7573116405190778</v>
      </c>
      <c r="AA16" s="136">
        <f t="shared" si="4"/>
        <v>1.3237037124514568</v>
      </c>
      <c r="AB16" s="126">
        <f t="shared" si="5"/>
        <v>10.326000000000001</v>
      </c>
      <c r="AC16" s="126">
        <f t="shared" si="6"/>
        <v>38.798000000000002</v>
      </c>
    </row>
    <row r="17" spans="1:29" x14ac:dyDescent="0.3">
      <c r="A17" s="4">
        <v>1993</v>
      </c>
      <c r="B17" s="6">
        <v>24707</v>
      </c>
      <c r="C17" s="7">
        <v>25018.47288086998</v>
      </c>
      <c r="D17" s="7">
        <f>Harvest!D13</f>
        <v>2326</v>
      </c>
      <c r="E17" s="7">
        <v>130</v>
      </c>
      <c r="F17" s="7">
        <f>Harvest!G13</f>
        <v>686</v>
      </c>
      <c r="G17" s="7"/>
      <c r="H17" s="7">
        <f t="shared" si="2"/>
        <v>3142</v>
      </c>
      <c r="I17" s="7">
        <f t="shared" si="0"/>
        <v>28160.47288086998</v>
      </c>
      <c r="J17" s="63">
        <f t="shared" si="1"/>
        <v>0.11157483090898053</v>
      </c>
      <c r="M17" s="7"/>
      <c r="N17" s="7"/>
      <c r="O17" s="7">
        <v>109</v>
      </c>
      <c r="P17" s="7">
        <v>3205</v>
      </c>
      <c r="Q17" s="4" t="s">
        <v>24</v>
      </c>
      <c r="R17" s="4" t="s">
        <v>190</v>
      </c>
      <c r="S17" s="7"/>
      <c r="T17" s="7"/>
      <c r="U17" s="7"/>
      <c r="W17" s="4">
        <v>1993</v>
      </c>
      <c r="X17" s="3">
        <v>25018</v>
      </c>
      <c r="Y17" s="3">
        <v>46784</v>
      </c>
      <c r="Z17" s="135">
        <f t="shared" si="3"/>
        <v>1.8700135902150452</v>
      </c>
      <c r="AA17" s="136">
        <f t="shared" si="4"/>
        <v>0.62594569833476377</v>
      </c>
      <c r="AB17" s="126">
        <f t="shared" si="5"/>
        <v>25.018000000000001</v>
      </c>
      <c r="AC17" s="126">
        <f t="shared" si="6"/>
        <v>46.783999999999999</v>
      </c>
    </row>
    <row r="18" spans="1:29" x14ac:dyDescent="0.3">
      <c r="A18" s="4">
        <v>1994</v>
      </c>
      <c r="B18" s="6">
        <v>39216</v>
      </c>
      <c r="C18" s="7">
        <v>39710.382989154925</v>
      </c>
      <c r="D18" s="7">
        <f>Harvest!D14</f>
        <v>4120</v>
      </c>
      <c r="E18" s="7">
        <v>721</v>
      </c>
      <c r="F18" s="7">
        <f>Harvest!G14</f>
        <v>1327</v>
      </c>
      <c r="G18" s="7"/>
      <c r="H18" s="7">
        <f t="shared" si="2"/>
        <v>6168</v>
      </c>
      <c r="I18" s="7">
        <f t="shared" si="0"/>
        <v>45878.382989154925</v>
      </c>
      <c r="J18" s="63">
        <f t="shared" si="1"/>
        <v>0.13444240180518216</v>
      </c>
      <c r="M18" s="7"/>
      <c r="N18" s="7"/>
      <c r="O18" s="7">
        <v>80</v>
      </c>
      <c r="P18" s="7">
        <v>1682</v>
      </c>
      <c r="Q18" s="4" t="s">
        <v>24</v>
      </c>
      <c r="R18" s="4" t="s">
        <v>191</v>
      </c>
      <c r="S18" s="7"/>
      <c r="T18" s="7"/>
      <c r="U18" s="7"/>
      <c r="W18" s="4">
        <v>1994</v>
      </c>
      <c r="X18" s="3">
        <v>39710</v>
      </c>
      <c r="Y18" s="3">
        <v>67592</v>
      </c>
      <c r="Z18" s="135">
        <f t="shared" si="3"/>
        <v>1.7021405187610175</v>
      </c>
      <c r="AA18" s="136">
        <f t="shared" si="4"/>
        <v>0.53188658770738362</v>
      </c>
      <c r="AB18" s="126">
        <f t="shared" si="5"/>
        <v>39.71</v>
      </c>
      <c r="AC18" s="126">
        <f t="shared" si="6"/>
        <v>67.591999999999999</v>
      </c>
    </row>
    <row r="19" spans="1:29" x14ac:dyDescent="0.3">
      <c r="A19" s="216">
        <v>1995</v>
      </c>
      <c r="B19" s="6">
        <v>34216</v>
      </c>
      <c r="C19" s="7">
        <v>34797.618320235895</v>
      </c>
      <c r="D19" s="7">
        <f>Harvest!D15</f>
        <v>2968</v>
      </c>
      <c r="E19" s="7">
        <v>646</v>
      </c>
      <c r="F19" s="7">
        <f>Harvest!G15</f>
        <v>1888</v>
      </c>
      <c r="G19" s="7"/>
      <c r="H19" s="7">
        <f t="shared" si="2"/>
        <v>5502</v>
      </c>
      <c r="I19" s="7">
        <f t="shared" si="0"/>
        <v>40299.618320235895</v>
      </c>
      <c r="J19" s="63">
        <f t="shared" si="1"/>
        <v>0.1365273476358769</v>
      </c>
      <c r="M19" s="7"/>
      <c r="N19" s="7"/>
      <c r="O19" s="7">
        <v>94</v>
      </c>
      <c r="P19" s="7">
        <v>2740</v>
      </c>
      <c r="Q19" s="4" t="s">
        <v>24</v>
      </c>
      <c r="R19" s="4" t="s">
        <v>192</v>
      </c>
      <c r="S19" s="7"/>
      <c r="T19" s="7"/>
      <c r="U19" s="7"/>
      <c r="W19" s="4">
        <v>1995</v>
      </c>
      <c r="X19" s="3">
        <v>34798</v>
      </c>
      <c r="Y19" s="3">
        <v>4242</v>
      </c>
      <c r="Z19" s="135">
        <f t="shared" si="3"/>
        <v>0.1219035576757285</v>
      </c>
      <c r="AA19" s="136">
        <f t="shared" si="4"/>
        <v>-2.1045250577220336</v>
      </c>
      <c r="AB19" s="126">
        <f t="shared" si="5"/>
        <v>34.798000000000002</v>
      </c>
      <c r="AC19" s="126">
        <f t="shared" si="6"/>
        <v>4.242</v>
      </c>
    </row>
    <row r="20" spans="1:29" x14ac:dyDescent="0.3">
      <c r="A20" s="216">
        <v>1996</v>
      </c>
      <c r="B20" s="6">
        <v>18725</v>
      </c>
      <c r="C20" s="7">
        <v>19209.334767083867</v>
      </c>
      <c r="D20" s="7">
        <f>Harvest!D16</f>
        <v>3337</v>
      </c>
      <c r="E20" s="7">
        <v>1078</v>
      </c>
      <c r="F20" s="7">
        <f>Harvest!G16</f>
        <v>1268</v>
      </c>
      <c r="G20" s="7"/>
      <c r="H20" s="7">
        <f t="shared" si="2"/>
        <v>5683</v>
      </c>
      <c r="I20" s="7">
        <f t="shared" si="0"/>
        <v>24892.334767083867</v>
      </c>
      <c r="J20" s="63">
        <f t="shared" si="1"/>
        <v>0.22830321274301915</v>
      </c>
      <c r="M20" s="7"/>
      <c r="N20" s="7"/>
      <c r="O20" s="7"/>
      <c r="P20" s="7"/>
      <c r="Q20" s="4" t="s">
        <v>24</v>
      </c>
      <c r="S20" s="7"/>
      <c r="T20" s="7"/>
      <c r="U20" s="7"/>
      <c r="W20" s="4">
        <v>1996</v>
      </c>
      <c r="X20" s="3">
        <v>19209</v>
      </c>
      <c r="Y20" s="3">
        <v>4362</v>
      </c>
      <c r="Z20" s="135">
        <f t="shared" si="3"/>
        <v>0.22708105575511478</v>
      </c>
      <c r="AA20" s="136">
        <f t="shared" si="4"/>
        <v>-1.4824482514253376</v>
      </c>
      <c r="AB20" s="126">
        <f t="shared" si="5"/>
        <v>19.209</v>
      </c>
      <c r="AC20" s="126">
        <f t="shared" si="6"/>
        <v>4.3620000000000001</v>
      </c>
    </row>
    <row r="21" spans="1:29" x14ac:dyDescent="0.3">
      <c r="A21" s="4">
        <v>1997</v>
      </c>
      <c r="B21" s="6">
        <v>28127</v>
      </c>
      <c r="C21" s="7">
        <v>28898.406062239013</v>
      </c>
      <c r="D21" s="7">
        <f>Harvest!D17</f>
        <v>2253</v>
      </c>
      <c r="E21" s="7">
        <v>1569</v>
      </c>
      <c r="F21" s="7">
        <f>Harvest!G17</f>
        <v>5434</v>
      </c>
      <c r="G21" s="7"/>
      <c r="H21" s="7">
        <f t="shared" si="2"/>
        <v>9256</v>
      </c>
      <c r="I21" s="7">
        <f t="shared" si="0"/>
        <v>38154.40606223901</v>
      </c>
      <c r="J21" s="63">
        <f t="shared" si="1"/>
        <v>0.24259321413367668</v>
      </c>
      <c r="M21" s="7"/>
      <c r="N21" s="7"/>
      <c r="O21" s="7"/>
      <c r="P21" s="7"/>
      <c r="Q21" s="4" t="s">
        <v>23</v>
      </c>
      <c r="S21" s="7"/>
      <c r="T21" s="7"/>
      <c r="U21" s="7"/>
      <c r="W21" s="8" t="s">
        <v>140</v>
      </c>
      <c r="X21" s="137">
        <v>4.4960000000000004</v>
      </c>
      <c r="Y21" s="3"/>
      <c r="Z21" s="3"/>
      <c r="AA21" s="3"/>
    </row>
    <row r="22" spans="1:29" x14ac:dyDescent="0.3">
      <c r="A22" s="4">
        <v>1998</v>
      </c>
      <c r="B22" s="36"/>
      <c r="C22" s="36"/>
      <c r="D22" s="7">
        <f>Harvest!D18</f>
        <v>4296</v>
      </c>
      <c r="E22" s="7">
        <v>1732</v>
      </c>
      <c r="F22" s="7">
        <f>Harvest!G18</f>
        <v>2906</v>
      </c>
      <c r="G22" s="7"/>
      <c r="H22" s="7">
        <f t="shared" si="2"/>
        <v>8934</v>
      </c>
      <c r="I22" s="7"/>
      <c r="J22" s="63"/>
      <c r="M22" s="7"/>
      <c r="N22" s="7"/>
      <c r="O22" s="7"/>
      <c r="P22" s="7"/>
      <c r="Q22" s="4" t="s">
        <v>23</v>
      </c>
      <c r="S22" s="7"/>
      <c r="T22" s="7"/>
      <c r="U22" s="7"/>
      <c r="W22" s="8" t="s">
        <v>87</v>
      </c>
      <c r="X22" s="137">
        <f>LN(X21)</f>
        <v>1.50318811259139</v>
      </c>
      <c r="Y22" s="3"/>
      <c r="Z22" s="3"/>
      <c r="AA22" s="3"/>
    </row>
    <row r="23" spans="1:29" x14ac:dyDescent="0.3">
      <c r="A23" s="4">
        <v>1999</v>
      </c>
      <c r="B23" s="6">
        <v>57469</v>
      </c>
      <c r="C23" s="7">
        <v>57753.571103648006</v>
      </c>
      <c r="D23" s="7">
        <f>Harvest!D19</f>
        <v>6761</v>
      </c>
      <c r="E23" s="7">
        <v>3192</v>
      </c>
      <c r="F23" s="7">
        <f>Harvest!G19</f>
        <v>2741</v>
      </c>
      <c r="G23" s="7"/>
      <c r="H23" s="7">
        <f t="shared" si="2"/>
        <v>12694</v>
      </c>
      <c r="I23" s="7">
        <f t="shared" ref="I23:I42" si="7">SUM(C23,H23)</f>
        <v>70447.571103648006</v>
      </c>
      <c r="J23" s="63">
        <f t="shared" si="1"/>
        <v>0.18019074044900127</v>
      </c>
      <c r="M23" s="7"/>
      <c r="N23" s="7"/>
      <c r="O23" s="7">
        <v>9</v>
      </c>
      <c r="P23" s="7"/>
      <c r="Q23" s="4" t="s">
        <v>24</v>
      </c>
      <c r="R23" s="4" t="s">
        <v>193</v>
      </c>
      <c r="S23" s="7"/>
      <c r="T23" s="7"/>
      <c r="U23" s="7"/>
      <c r="W23" s="8" t="s">
        <v>79</v>
      </c>
      <c r="X23" s="138">
        <v>4.3000000000000002E-5</v>
      </c>
    </row>
    <row r="24" spans="1:29" x14ac:dyDescent="0.3">
      <c r="A24" s="4">
        <v>2000</v>
      </c>
      <c r="B24" s="6">
        <v>2948</v>
      </c>
      <c r="C24" s="7">
        <v>3032.1982934523489</v>
      </c>
      <c r="D24" s="7">
        <f>Harvest!D20</f>
        <v>35</v>
      </c>
      <c r="E24" s="7">
        <v>95</v>
      </c>
      <c r="F24" s="7">
        <f>Harvest!G20</f>
        <v>679</v>
      </c>
      <c r="G24" s="7"/>
      <c r="H24" s="7">
        <f t="shared" si="2"/>
        <v>809</v>
      </c>
      <c r="I24" s="7">
        <f t="shared" si="7"/>
        <v>3841.1982934523489</v>
      </c>
      <c r="J24" s="63">
        <f t="shared" si="1"/>
        <v>0.2106113608815795</v>
      </c>
      <c r="M24" s="7"/>
      <c r="N24" s="7"/>
      <c r="O24" s="7">
        <v>10</v>
      </c>
      <c r="P24" s="7"/>
      <c r="Q24" s="4" t="s">
        <v>24</v>
      </c>
      <c r="R24" s="4" t="s">
        <v>194</v>
      </c>
      <c r="S24" s="7"/>
      <c r="T24" s="7"/>
      <c r="U24" s="7"/>
      <c r="W24" s="8" t="s">
        <v>80</v>
      </c>
      <c r="X24" s="137">
        <v>1.2929999999999999</v>
      </c>
    </row>
    <row r="25" spans="1:29" x14ac:dyDescent="0.3">
      <c r="A25" s="4">
        <v>2001</v>
      </c>
      <c r="B25" s="6">
        <v>3661</v>
      </c>
      <c r="C25" s="7">
        <v>3666.9945177828154</v>
      </c>
      <c r="D25" s="7">
        <f>Harvest!D21</f>
        <v>16</v>
      </c>
      <c r="E25" s="7">
        <v>50</v>
      </c>
      <c r="F25" s="7">
        <f>Harvest!G21</f>
        <v>1388</v>
      </c>
      <c r="G25" s="7"/>
      <c r="H25" s="7">
        <f t="shared" si="2"/>
        <v>1454</v>
      </c>
      <c r="I25" s="7">
        <f t="shared" si="7"/>
        <v>5120.9945177828158</v>
      </c>
      <c r="J25" s="63">
        <f t="shared" si="1"/>
        <v>0.28392922408937149</v>
      </c>
      <c r="M25" s="7"/>
      <c r="N25" s="7"/>
      <c r="O25" s="7">
        <v>10</v>
      </c>
      <c r="P25" s="7"/>
      <c r="Q25" s="4" t="s">
        <v>24</v>
      </c>
      <c r="R25" s="4" t="s">
        <v>195</v>
      </c>
      <c r="S25" s="7"/>
      <c r="T25" s="7"/>
      <c r="U25" s="7"/>
      <c r="W25" s="8" t="s">
        <v>81</v>
      </c>
      <c r="X25" s="145">
        <f>X22+X24^2/2</f>
        <v>2.3391126125913901</v>
      </c>
    </row>
    <row r="26" spans="1:29" x14ac:dyDescent="0.3">
      <c r="A26" s="4">
        <v>2002</v>
      </c>
      <c r="B26" s="6">
        <v>23918.447414749116</v>
      </c>
      <c r="C26" s="7">
        <v>23987.72021155481</v>
      </c>
      <c r="D26" s="7">
        <f>Harvest!D22</f>
        <v>1255</v>
      </c>
      <c r="E26" s="7">
        <v>820</v>
      </c>
      <c r="F26" s="7">
        <f>Harvest!G22</f>
        <v>611</v>
      </c>
      <c r="G26" s="7"/>
      <c r="H26" s="7">
        <f t="shared" si="2"/>
        <v>2686</v>
      </c>
      <c r="I26" s="7">
        <f t="shared" si="7"/>
        <v>26673.72021155481</v>
      </c>
      <c r="J26" s="63">
        <f t="shared" si="1"/>
        <v>0.10069836448372319</v>
      </c>
      <c r="M26" s="7"/>
      <c r="N26" s="7"/>
      <c r="O26" s="7">
        <v>6.5</v>
      </c>
      <c r="P26" s="7"/>
      <c r="Q26" s="4" t="s">
        <v>24</v>
      </c>
      <c r="R26" s="4" t="s">
        <v>196</v>
      </c>
      <c r="S26" s="7"/>
      <c r="T26" s="7"/>
      <c r="U26" s="7"/>
      <c r="W26" s="144" t="s">
        <v>82</v>
      </c>
      <c r="X26" s="3">
        <f>1/X23</f>
        <v>23255.81395348837</v>
      </c>
    </row>
    <row r="27" spans="1:29" x14ac:dyDescent="0.3">
      <c r="A27" s="4">
        <v>2003</v>
      </c>
      <c r="B27" s="6">
        <v>69859</v>
      </c>
      <c r="C27" s="7">
        <v>69892.769729965003</v>
      </c>
      <c r="D27" s="7">
        <f>Harvest!D23</f>
        <v>10591</v>
      </c>
      <c r="E27" s="7">
        <v>126</v>
      </c>
      <c r="F27" s="7">
        <f>Harvest!G23</f>
        <v>1321</v>
      </c>
      <c r="G27" s="2" t="s">
        <v>24</v>
      </c>
      <c r="H27" s="7">
        <f t="shared" si="2"/>
        <v>12038</v>
      </c>
      <c r="I27" s="7">
        <f t="shared" si="7"/>
        <v>81930.769729965003</v>
      </c>
      <c r="J27" s="63">
        <f t="shared" si="1"/>
        <v>0.14692892596610471</v>
      </c>
      <c r="K27" s="7">
        <v>7000</v>
      </c>
      <c r="L27" s="7">
        <v>25000</v>
      </c>
      <c r="M27" s="7"/>
      <c r="N27" s="7"/>
      <c r="O27" s="7">
        <v>10</v>
      </c>
      <c r="P27" s="7"/>
      <c r="Q27" s="4" t="s">
        <v>24</v>
      </c>
      <c r="R27" s="4" t="s">
        <v>197</v>
      </c>
      <c r="S27" s="7"/>
      <c r="T27" s="7"/>
      <c r="U27" s="7"/>
      <c r="W27" s="144" t="s">
        <v>83</v>
      </c>
      <c r="X27" s="3">
        <f>X25/X23</f>
        <v>54397.967734683487</v>
      </c>
    </row>
    <row r="28" spans="1:29" x14ac:dyDescent="0.3">
      <c r="A28" s="4">
        <v>2004</v>
      </c>
      <c r="B28" s="6">
        <v>77049</v>
      </c>
      <c r="C28" s="7">
        <v>77262.733888424016</v>
      </c>
      <c r="D28" s="7">
        <f>Harvest!D24</f>
        <v>9338</v>
      </c>
      <c r="E28" s="7">
        <v>295</v>
      </c>
      <c r="F28" s="7">
        <f>Harvest!G24</f>
        <v>3305</v>
      </c>
      <c r="G28" s="2" t="s">
        <v>24</v>
      </c>
      <c r="H28" s="7">
        <f t="shared" si="2"/>
        <v>12938</v>
      </c>
      <c r="I28" s="7">
        <f t="shared" si="7"/>
        <v>90200.733888424016</v>
      </c>
      <c r="J28" s="63">
        <f t="shared" si="1"/>
        <v>0.14343564006922574</v>
      </c>
      <c r="K28" s="7">
        <v>7000</v>
      </c>
      <c r="L28" s="7">
        <v>25000</v>
      </c>
      <c r="M28" s="7"/>
      <c r="N28" s="7"/>
      <c r="O28" s="7">
        <v>9.98</v>
      </c>
      <c r="P28" s="7"/>
      <c r="Q28" s="4" t="s">
        <v>24</v>
      </c>
      <c r="R28" s="4" t="s">
        <v>198</v>
      </c>
      <c r="S28" s="7"/>
      <c r="T28" s="7"/>
      <c r="U28" s="7"/>
      <c r="W28" s="8" t="s">
        <v>84</v>
      </c>
      <c r="X28" s="3">
        <v>17400</v>
      </c>
    </row>
    <row r="29" spans="1:29" x14ac:dyDescent="0.3">
      <c r="A29" s="4">
        <v>2005</v>
      </c>
      <c r="B29" s="6">
        <v>65546</v>
      </c>
      <c r="C29" s="7">
        <v>65653.382797031678</v>
      </c>
      <c r="D29" s="7">
        <f>Harvest!D25</f>
        <v>5299</v>
      </c>
      <c r="E29" s="7">
        <v>0</v>
      </c>
      <c r="F29" s="7">
        <f>Harvest!G25</f>
        <v>1996</v>
      </c>
      <c r="H29" s="7">
        <f t="shared" si="2"/>
        <v>7295</v>
      </c>
      <c r="I29" s="7">
        <f t="shared" si="7"/>
        <v>72948.382797031678</v>
      </c>
      <c r="J29" s="63">
        <f t="shared" si="1"/>
        <v>0.10000221691407858</v>
      </c>
      <c r="K29" s="7">
        <v>7000</v>
      </c>
      <c r="L29" s="7">
        <v>25000</v>
      </c>
      <c r="M29" s="7"/>
      <c r="N29" s="7"/>
      <c r="O29" s="7">
        <v>9.82</v>
      </c>
      <c r="P29" s="7"/>
      <c r="Q29" s="4" t="s">
        <v>24</v>
      </c>
      <c r="R29" s="4" t="s">
        <v>199</v>
      </c>
      <c r="S29" s="7"/>
      <c r="T29" s="7"/>
      <c r="U29" s="7"/>
      <c r="W29" s="8" t="s">
        <v>85</v>
      </c>
      <c r="X29" s="146">
        <f>X25*(0.5-0.07*X25)</f>
        <v>0.7865549592888067</v>
      </c>
    </row>
    <row r="30" spans="1:29" x14ac:dyDescent="0.3">
      <c r="A30" s="4">
        <v>2006</v>
      </c>
      <c r="B30" s="6">
        <v>101067</v>
      </c>
      <c r="C30" s="7">
        <v>103952.85531936215</v>
      </c>
      <c r="D30" s="7">
        <f>Harvest!D26</f>
        <v>13683</v>
      </c>
      <c r="E30" s="7">
        <v>43</v>
      </c>
      <c r="F30" s="7">
        <f>Harvest!G26</f>
        <v>11507</v>
      </c>
      <c r="G30" s="2" t="s">
        <v>24</v>
      </c>
      <c r="H30" s="7">
        <f t="shared" si="2"/>
        <v>25233</v>
      </c>
      <c r="I30" s="7">
        <f t="shared" si="7"/>
        <v>129185.85531936215</v>
      </c>
      <c r="J30" s="63">
        <f t="shared" si="1"/>
        <v>0.19532324136896528</v>
      </c>
      <c r="K30" s="7">
        <v>7000</v>
      </c>
      <c r="L30" s="7">
        <v>25000</v>
      </c>
      <c r="M30" s="7"/>
      <c r="N30" s="7"/>
      <c r="O30" s="7">
        <v>8.5500000000000007</v>
      </c>
      <c r="P30" s="7"/>
      <c r="Q30" s="4" t="s">
        <v>24</v>
      </c>
      <c r="R30" s="4" t="s">
        <v>200</v>
      </c>
      <c r="S30" s="7"/>
      <c r="T30" s="7"/>
      <c r="U30" s="7"/>
      <c r="W30" s="8" t="s">
        <v>88</v>
      </c>
      <c r="X30" s="3">
        <f>X28*EXP(X25-X23*X28)-X28</f>
        <v>68003.135776251031</v>
      </c>
    </row>
    <row r="31" spans="1:29" x14ac:dyDescent="0.3">
      <c r="A31" s="4">
        <v>2007</v>
      </c>
      <c r="B31" s="6">
        <v>66708</v>
      </c>
      <c r="C31" s="7">
        <v>66938.383311286743</v>
      </c>
      <c r="D31" s="7">
        <f>Harvest!D27</f>
        <v>8711</v>
      </c>
      <c r="E31" s="7">
        <v>337</v>
      </c>
      <c r="F31" s="7">
        <f>Harvest!G27</f>
        <v>6689</v>
      </c>
      <c r="G31" s="2" t="s">
        <v>24</v>
      </c>
      <c r="H31" s="7">
        <f t="shared" si="2"/>
        <v>15737</v>
      </c>
      <c r="I31" s="7">
        <f t="shared" si="7"/>
        <v>82675.383311286743</v>
      </c>
      <c r="J31" s="63">
        <f t="shared" si="1"/>
        <v>0.19034686468579826</v>
      </c>
      <c r="K31" s="7">
        <v>7000</v>
      </c>
      <c r="L31" s="7">
        <v>25000</v>
      </c>
      <c r="M31" s="7"/>
      <c r="N31" s="7"/>
      <c r="O31" s="7">
        <v>10</v>
      </c>
      <c r="P31" s="7"/>
      <c r="Q31" s="4" t="s">
        <v>24</v>
      </c>
      <c r="R31" s="4" t="s">
        <v>201</v>
      </c>
      <c r="S31" s="7"/>
      <c r="T31" s="7"/>
      <c r="U31" s="7"/>
      <c r="W31" s="1" t="s">
        <v>139</v>
      </c>
      <c r="X31" s="3">
        <v>11040</v>
      </c>
      <c r="Y31" s="3">
        <v>25200</v>
      </c>
    </row>
    <row r="32" spans="1:29" x14ac:dyDescent="0.3">
      <c r="A32" s="4">
        <v>2008</v>
      </c>
      <c r="B32" s="6">
        <v>10019.018015609114</v>
      </c>
      <c r="C32" s="7">
        <v>10063.982960379346</v>
      </c>
      <c r="D32" s="7">
        <f>Harvest!D28</f>
        <v>679</v>
      </c>
      <c r="E32" s="7">
        <v>43</v>
      </c>
      <c r="F32" s="7">
        <f>Harvest!G28</f>
        <v>739</v>
      </c>
      <c r="H32" s="7">
        <f t="shared" si="2"/>
        <v>1461</v>
      </c>
      <c r="I32" s="7">
        <f t="shared" si="7"/>
        <v>11524.982960379346</v>
      </c>
      <c r="J32" s="63">
        <f t="shared" si="1"/>
        <v>0.12676808330412587</v>
      </c>
      <c r="K32" s="7">
        <v>7000</v>
      </c>
      <c r="L32" s="7">
        <v>25000</v>
      </c>
      <c r="M32" s="7"/>
      <c r="N32" s="7"/>
      <c r="O32" s="7">
        <v>10</v>
      </c>
      <c r="P32" s="7"/>
      <c r="Q32" s="4" t="s">
        <v>24</v>
      </c>
      <c r="R32" s="4" t="s">
        <v>202</v>
      </c>
      <c r="S32" s="7"/>
      <c r="T32" s="7"/>
      <c r="U32" s="7"/>
      <c r="W32" s="1" t="s">
        <v>177</v>
      </c>
      <c r="X32" s="3">
        <f>MAX(X6:X20)/MIN(X6:X20)</f>
        <v>160.48464912280701</v>
      </c>
    </row>
    <row r="33" spans="1:21" x14ac:dyDescent="0.3">
      <c r="A33" s="4">
        <v>2009</v>
      </c>
      <c r="B33" s="6">
        <v>12503</v>
      </c>
      <c r="C33" s="7">
        <v>12568.76061614167</v>
      </c>
      <c r="D33" s="7">
        <f>Harvest!D29</f>
        <v>1149</v>
      </c>
      <c r="E33" s="7">
        <v>0</v>
      </c>
      <c r="F33" s="7">
        <f>Harvest!G29</f>
        <v>891</v>
      </c>
      <c r="H33" s="7">
        <f t="shared" si="2"/>
        <v>2040</v>
      </c>
      <c r="I33" s="7">
        <f t="shared" si="7"/>
        <v>14608.76061614167</v>
      </c>
      <c r="J33" s="63">
        <f t="shared" si="1"/>
        <v>0.13964223616245316</v>
      </c>
      <c r="K33" s="7">
        <v>7000</v>
      </c>
      <c r="L33" s="7">
        <v>25000</v>
      </c>
      <c r="M33" s="7"/>
      <c r="N33" s="7"/>
      <c r="O33" s="7">
        <v>10</v>
      </c>
      <c r="P33" s="7"/>
      <c r="Q33" s="4" t="s">
        <v>24</v>
      </c>
      <c r="R33" s="4" t="s">
        <v>204</v>
      </c>
      <c r="S33" s="7"/>
      <c r="T33" s="7"/>
      <c r="U33" s="7"/>
    </row>
    <row r="34" spans="1:21" x14ac:dyDescent="0.3">
      <c r="A34" s="4">
        <v>2010</v>
      </c>
      <c r="B34" s="7">
        <v>17030</v>
      </c>
      <c r="C34" s="7">
        <v>17156.230945944797</v>
      </c>
      <c r="D34" s="7">
        <f>Harvest!D30</f>
        <v>1656</v>
      </c>
      <c r="E34" s="7">
        <v>220</v>
      </c>
      <c r="F34" s="7">
        <f>Harvest!G30</f>
        <v>1152</v>
      </c>
      <c r="H34" s="7">
        <f t="shared" si="2"/>
        <v>3028</v>
      </c>
      <c r="I34" s="7">
        <f t="shared" si="7"/>
        <v>20184.230945944797</v>
      </c>
      <c r="J34" s="63">
        <f t="shared" si="1"/>
        <v>0.15001810116567033</v>
      </c>
      <c r="K34" s="7">
        <v>7000</v>
      </c>
      <c r="L34" s="7">
        <v>25000</v>
      </c>
      <c r="M34" s="7"/>
      <c r="N34" s="7"/>
      <c r="O34" s="7">
        <v>10</v>
      </c>
      <c r="P34" s="7"/>
      <c r="Q34" s="4" t="s">
        <v>24</v>
      </c>
      <c r="R34" s="4" t="s">
        <v>205</v>
      </c>
      <c r="S34" s="7"/>
      <c r="T34" s="7"/>
      <c r="U34" s="7"/>
    </row>
    <row r="35" spans="1:21" x14ac:dyDescent="0.3">
      <c r="A35" s="4">
        <v>2011</v>
      </c>
      <c r="B35" s="7">
        <v>21645</v>
      </c>
      <c r="C35" s="7">
        <v>22719.73299576675</v>
      </c>
      <c r="D35" s="7">
        <f>Harvest!D31</f>
        <v>1402</v>
      </c>
      <c r="E35" s="7">
        <v>77</v>
      </c>
      <c r="F35" s="7">
        <f>Harvest!G31</f>
        <v>1177</v>
      </c>
      <c r="H35" s="7">
        <f t="shared" si="2"/>
        <v>2656</v>
      </c>
      <c r="I35" s="7">
        <f t="shared" si="7"/>
        <v>25375.73299576675</v>
      </c>
      <c r="J35" s="63">
        <f t="shared" si="1"/>
        <v>0.10466692727430105</v>
      </c>
      <c r="K35" s="7">
        <v>7000</v>
      </c>
      <c r="L35" s="7">
        <v>25000</v>
      </c>
      <c r="M35" s="7"/>
      <c r="N35" s="7"/>
      <c r="O35" s="7">
        <v>10</v>
      </c>
      <c r="P35" s="7"/>
      <c r="Q35" s="4" t="s">
        <v>24</v>
      </c>
      <c r="R35" s="4" t="s">
        <v>206</v>
      </c>
      <c r="S35" s="7"/>
      <c r="T35" s="7"/>
      <c r="U35" s="7"/>
    </row>
    <row r="36" spans="1:21" x14ac:dyDescent="0.3">
      <c r="A36" s="4">
        <v>2012</v>
      </c>
      <c r="B36" s="7">
        <v>40272</v>
      </c>
      <c r="C36" s="7">
        <v>40943.876533464463</v>
      </c>
      <c r="D36" s="7">
        <f>Harvest!D32</f>
        <v>4975</v>
      </c>
      <c r="E36" s="7">
        <v>253</v>
      </c>
      <c r="F36" s="7">
        <f>Harvest!G32</f>
        <v>1157</v>
      </c>
      <c r="H36" s="7">
        <f t="shared" si="2"/>
        <v>6385</v>
      </c>
      <c r="I36" s="7">
        <f t="shared" si="7"/>
        <v>47328.876533464463</v>
      </c>
      <c r="J36" s="63">
        <f t="shared" si="1"/>
        <v>0.1349070687423862</v>
      </c>
      <c r="K36" s="7">
        <v>7000</v>
      </c>
      <c r="L36" s="7">
        <v>25000</v>
      </c>
      <c r="M36" s="7"/>
      <c r="N36" s="7"/>
      <c r="O36" s="7">
        <v>10</v>
      </c>
      <c r="P36" s="7"/>
      <c r="Q36" s="4" t="s">
        <v>24</v>
      </c>
      <c r="R36" s="4" t="s">
        <v>207</v>
      </c>
      <c r="S36" s="7"/>
      <c r="T36" s="7"/>
      <c r="U36" s="7"/>
    </row>
    <row r="37" spans="1:21" x14ac:dyDescent="0.3">
      <c r="A37" s="4">
        <v>2013</v>
      </c>
      <c r="B37" s="7">
        <v>48355</v>
      </c>
      <c r="C37" s="7">
        <v>49124.280737701352</v>
      </c>
      <c r="D37" s="7">
        <f>Harvest!D33</f>
        <v>4352</v>
      </c>
      <c r="E37" s="7">
        <v>150</v>
      </c>
      <c r="F37" s="7">
        <f>Harvest!G33</f>
        <v>4364</v>
      </c>
      <c r="G37" s="2" t="s">
        <v>24</v>
      </c>
      <c r="H37" s="7">
        <f t="shared" si="2"/>
        <v>8866</v>
      </c>
      <c r="I37" s="7">
        <f t="shared" si="7"/>
        <v>57990.280737701352</v>
      </c>
      <c r="J37" s="63">
        <f t="shared" si="1"/>
        <v>0.1528876888888025</v>
      </c>
      <c r="K37" s="7">
        <v>7000</v>
      </c>
      <c r="L37" s="7">
        <v>25000</v>
      </c>
      <c r="M37" s="7"/>
      <c r="N37" s="7"/>
      <c r="O37" s="7">
        <v>10</v>
      </c>
      <c r="P37" s="7"/>
      <c r="Q37" s="4" t="s">
        <v>24</v>
      </c>
      <c r="R37" s="4" t="s">
        <v>208</v>
      </c>
      <c r="S37" s="191" t="s">
        <v>174</v>
      </c>
      <c r="T37" s="7"/>
      <c r="U37" s="7"/>
    </row>
    <row r="38" spans="1:21" x14ac:dyDescent="0.3">
      <c r="A38" s="4">
        <v>2014</v>
      </c>
      <c r="B38" s="7">
        <v>18694</v>
      </c>
      <c r="C38" s="7">
        <v>19936.125357064222</v>
      </c>
      <c r="D38" s="7">
        <f>Harvest!D34</f>
        <v>1892</v>
      </c>
      <c r="E38" s="7">
        <v>0</v>
      </c>
      <c r="F38" s="7">
        <f>Harvest!G34</f>
        <v>3824</v>
      </c>
      <c r="G38" s="143"/>
      <c r="H38" s="7">
        <f t="shared" si="2"/>
        <v>5716</v>
      </c>
      <c r="I38" s="7">
        <f t="shared" si="7"/>
        <v>25652.125357064222</v>
      </c>
      <c r="J38" s="63">
        <f t="shared" si="1"/>
        <v>0.22282754042545239</v>
      </c>
      <c r="K38" s="7">
        <v>7000</v>
      </c>
      <c r="L38" s="7">
        <v>25000</v>
      </c>
      <c r="M38" s="7"/>
      <c r="N38" s="7"/>
      <c r="O38" s="7">
        <v>7.4385000000000003</v>
      </c>
      <c r="P38" s="7"/>
      <c r="Q38" s="4" t="s">
        <v>24</v>
      </c>
      <c r="R38" s="4" t="s">
        <v>209</v>
      </c>
      <c r="S38" s="191" t="s">
        <v>178</v>
      </c>
      <c r="T38" s="7"/>
      <c r="U38" s="7"/>
    </row>
    <row r="39" spans="1:21" x14ac:dyDescent="0.3">
      <c r="A39" s="4">
        <v>2015</v>
      </c>
      <c r="B39" s="7">
        <v>12540</v>
      </c>
      <c r="C39" s="7">
        <v>13982.744429542156</v>
      </c>
      <c r="D39" s="7">
        <f>Harvest!D35</f>
        <v>599</v>
      </c>
      <c r="E39" s="7">
        <v>0</v>
      </c>
      <c r="F39" s="7">
        <f>Harvest!G35</f>
        <v>3939</v>
      </c>
      <c r="G39" s="143"/>
      <c r="H39" s="7">
        <f t="shared" si="2"/>
        <v>4538</v>
      </c>
      <c r="I39" s="7">
        <f t="shared" si="7"/>
        <v>18520.744429542156</v>
      </c>
      <c r="J39" s="63">
        <f t="shared" si="1"/>
        <v>0.24502254848684732</v>
      </c>
      <c r="K39" s="7">
        <v>7000</v>
      </c>
      <c r="L39" s="7">
        <v>25000</v>
      </c>
      <c r="M39" s="7"/>
      <c r="N39" s="7"/>
      <c r="O39" s="7">
        <v>8.1</v>
      </c>
      <c r="P39" s="7"/>
      <c r="Q39" s="4" t="s">
        <v>24</v>
      </c>
      <c r="R39" s="4" t="s">
        <v>210</v>
      </c>
      <c r="S39" s="191" t="s">
        <v>178</v>
      </c>
      <c r="T39" s="7"/>
      <c r="U39" s="7"/>
    </row>
    <row r="40" spans="1:21" x14ac:dyDescent="0.3">
      <c r="A40" s="4">
        <v>2016</v>
      </c>
      <c r="B40" s="7">
        <v>22553</v>
      </c>
      <c r="C40" s="7">
        <v>22774</v>
      </c>
      <c r="D40" s="7">
        <f>Harvest!D36</f>
        <v>2489</v>
      </c>
      <c r="E40" s="7">
        <v>0</v>
      </c>
      <c r="F40" s="7">
        <f>Harvest!G36</f>
        <v>1592</v>
      </c>
      <c r="G40" s="143"/>
      <c r="H40" s="7">
        <f t="shared" si="2"/>
        <v>4081</v>
      </c>
      <c r="I40" s="7">
        <f t="shared" si="7"/>
        <v>26855</v>
      </c>
      <c r="J40" s="63">
        <f t="shared" si="1"/>
        <v>0.15196425246695214</v>
      </c>
      <c r="K40" s="7">
        <v>7000</v>
      </c>
      <c r="L40" s="7">
        <v>25000</v>
      </c>
      <c r="M40" s="7"/>
      <c r="N40" s="7"/>
      <c r="O40" s="7">
        <v>9.6</v>
      </c>
      <c r="P40" s="7"/>
      <c r="Q40" s="4" t="s">
        <v>24</v>
      </c>
      <c r="R40" s="4" t="s">
        <v>211</v>
      </c>
      <c r="S40" s="7"/>
      <c r="T40" s="7"/>
      <c r="U40" s="7"/>
    </row>
    <row r="41" spans="1:21" x14ac:dyDescent="0.3">
      <c r="A41" s="4">
        <v>2017</v>
      </c>
      <c r="B41" s="10">
        <v>55397</v>
      </c>
      <c r="C41" s="7">
        <v>55702</v>
      </c>
      <c r="D41" s="7">
        <f>Harvest!D37</f>
        <v>4294</v>
      </c>
      <c r="E41" s="7">
        <v>647</v>
      </c>
      <c r="F41" s="7">
        <f>Harvest!G37</f>
        <v>2422</v>
      </c>
      <c r="G41" s="143" t="s">
        <v>24</v>
      </c>
      <c r="H41" s="7">
        <f t="shared" si="2"/>
        <v>7363</v>
      </c>
      <c r="I41" s="7">
        <f t="shared" si="7"/>
        <v>63065</v>
      </c>
      <c r="J41" s="63">
        <f t="shared" si="1"/>
        <v>0.1167525568857528</v>
      </c>
      <c r="K41" s="7">
        <v>7000</v>
      </c>
      <c r="L41" s="7">
        <v>25000</v>
      </c>
      <c r="M41" s="7"/>
      <c r="N41" s="7"/>
      <c r="O41" s="7">
        <v>9.9</v>
      </c>
      <c r="P41" s="7"/>
      <c r="Q41" s="4" t="s">
        <v>24</v>
      </c>
      <c r="R41" s="4" t="s">
        <v>212</v>
      </c>
      <c r="S41" s="7"/>
      <c r="T41" s="7"/>
      <c r="U41" s="7"/>
    </row>
    <row r="42" spans="1:21" x14ac:dyDescent="0.3">
      <c r="A42" s="4">
        <v>2018</v>
      </c>
      <c r="B42" s="10">
        <v>72409</v>
      </c>
      <c r="C42" s="7">
        <v>73810</v>
      </c>
      <c r="D42" s="7">
        <f>Harvest!D38</f>
        <v>9175</v>
      </c>
      <c r="E42" s="7">
        <v>1011</v>
      </c>
      <c r="F42" s="7">
        <f>Harvest!G38</f>
        <v>23231</v>
      </c>
      <c r="G42" s="143" t="s">
        <v>24</v>
      </c>
      <c r="H42" s="7">
        <f t="shared" si="2"/>
        <v>33417</v>
      </c>
      <c r="I42" s="7">
        <f t="shared" si="7"/>
        <v>107227</v>
      </c>
      <c r="J42" s="63">
        <f t="shared" si="1"/>
        <v>0.31164725302395851</v>
      </c>
      <c r="K42" s="7">
        <v>7000</v>
      </c>
      <c r="L42" s="7">
        <v>25000</v>
      </c>
      <c r="M42" s="7"/>
      <c r="N42" s="7"/>
      <c r="O42" s="7">
        <v>8.69</v>
      </c>
      <c r="P42" s="7"/>
      <c r="Q42" s="4" t="s">
        <v>24</v>
      </c>
      <c r="R42" s="4" t="s">
        <v>213</v>
      </c>
      <c r="S42" s="7"/>
      <c r="T42" s="7"/>
      <c r="U42" s="7"/>
    </row>
    <row r="43" spans="1:21" x14ac:dyDescent="0.3">
      <c r="B43" s="7"/>
      <c r="C43" s="7"/>
      <c r="D43" s="7"/>
      <c r="E43" s="7"/>
      <c r="F43" s="7"/>
      <c r="G43" s="7"/>
      <c r="H43" s="7"/>
      <c r="I43" s="7"/>
      <c r="J43" s="63"/>
      <c r="M43" s="7"/>
      <c r="N43" s="7"/>
      <c r="O43" s="7"/>
      <c r="P43" s="7"/>
      <c r="S43" s="7"/>
      <c r="T43" s="7"/>
      <c r="U43" s="7"/>
    </row>
    <row r="44" spans="1:21" x14ac:dyDescent="0.3">
      <c r="A44" s="73" t="s">
        <v>26</v>
      </c>
      <c r="J44" s="64"/>
    </row>
    <row r="45" spans="1:21" x14ac:dyDescent="0.3">
      <c r="A45" s="134" t="s">
        <v>138</v>
      </c>
      <c r="J45" s="64"/>
    </row>
    <row r="46" spans="1:21" x14ac:dyDescent="0.3">
      <c r="A46" s="1" t="s">
        <v>90</v>
      </c>
      <c r="J46" s="65"/>
      <c r="Q46" s="1"/>
      <c r="R46" s="1"/>
    </row>
    <row r="47" spans="1:21" x14ac:dyDescent="0.3">
      <c r="A47" s="1" t="s">
        <v>221</v>
      </c>
      <c r="J47" s="65"/>
      <c r="Q47" s="1"/>
      <c r="R47" s="1"/>
    </row>
    <row r="48" spans="1:21" x14ac:dyDescent="0.3">
      <c r="A48" s="1" t="s">
        <v>220</v>
      </c>
      <c r="J48" s="65"/>
      <c r="Q48" s="2"/>
      <c r="R48" s="2"/>
      <c r="U48" s="1"/>
    </row>
    <row r="49" spans="1:21" x14ac:dyDescent="0.3">
      <c r="A49" s="1" t="s">
        <v>218</v>
      </c>
      <c r="J49" s="65"/>
      <c r="Q49" s="2"/>
      <c r="R49" s="2"/>
      <c r="U49" s="1"/>
    </row>
    <row r="50" spans="1:21" x14ac:dyDescent="0.3">
      <c r="A50" s="1" t="s">
        <v>91</v>
      </c>
      <c r="Q50" s="2"/>
      <c r="R50" s="2"/>
      <c r="U50" s="1"/>
    </row>
    <row r="51" spans="1:21" x14ac:dyDescent="0.3">
      <c r="A51" s="1" t="s">
        <v>219</v>
      </c>
      <c r="Q51" s="2"/>
      <c r="R51" s="2"/>
      <c r="U51" s="1"/>
    </row>
  </sheetData>
  <mergeCells count="3">
    <mergeCell ref="O4:P4"/>
    <mergeCell ref="M4:N4"/>
    <mergeCell ref="K4:L4"/>
  </mergeCells>
  <phoneticPr fontId="2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D6B9-6908-47C7-8638-11A3C8FBB338}">
  <dimension ref="A1:H21"/>
  <sheetViews>
    <sheetView workbookViewId="0">
      <selection activeCell="F15" sqref="F15"/>
    </sheetView>
  </sheetViews>
  <sheetFormatPr defaultColWidth="9.109375" defaultRowHeight="13.8" x14ac:dyDescent="0.3"/>
  <cols>
    <col min="1" max="1" width="19.88671875" style="1" bestFit="1" customWidth="1"/>
    <col min="2" max="8" width="13.6640625" style="1" customWidth="1"/>
    <col min="9" max="16384" width="9.109375" style="1"/>
  </cols>
  <sheetData>
    <row r="1" spans="1:8" ht="18" x14ac:dyDescent="0.35">
      <c r="A1" s="229" t="s">
        <v>231</v>
      </c>
    </row>
    <row r="3" spans="1:8" x14ac:dyDescent="0.3">
      <c r="A3" s="194"/>
      <c r="B3" s="230"/>
      <c r="C3" s="243" t="s">
        <v>170</v>
      </c>
      <c r="D3" s="244"/>
      <c r="E3" s="231" t="s">
        <v>171</v>
      </c>
      <c r="F3" s="243" t="s">
        <v>172</v>
      </c>
      <c r="G3" s="244"/>
      <c r="H3" s="231" t="s">
        <v>173</v>
      </c>
    </row>
    <row r="4" spans="1:8" ht="14.4" x14ac:dyDescent="0.3">
      <c r="A4" s="190"/>
      <c r="B4" s="223" t="s">
        <v>169</v>
      </c>
      <c r="C4" s="173" t="s">
        <v>163</v>
      </c>
      <c r="D4" s="177" t="s">
        <v>141</v>
      </c>
      <c r="E4" s="181" t="s">
        <v>163</v>
      </c>
      <c r="F4" s="28" t="s">
        <v>163</v>
      </c>
      <c r="G4" s="177" t="s">
        <v>141</v>
      </c>
      <c r="H4" s="181" t="s">
        <v>163</v>
      </c>
    </row>
    <row r="5" spans="1:8" ht="14.4" x14ac:dyDescent="0.3">
      <c r="A5" s="167" t="s">
        <v>87</v>
      </c>
      <c r="B5" s="224">
        <f>'Run Reconstruction 1'!AC32</f>
        <v>0</v>
      </c>
      <c r="C5" s="174">
        <f>'Run Reconstruction 1'!AA32</f>
        <v>1.6827988489876562</v>
      </c>
      <c r="D5" s="178">
        <f>'Run Reconstruction 1'!AB32</f>
        <v>1.5528305986240987</v>
      </c>
      <c r="E5" s="182">
        <f>'Run Reconstruction 2'!AA32</f>
        <v>1.6845423127153829</v>
      </c>
      <c r="F5" s="62">
        <f>'Run Reconstruction 3'!AA32</f>
        <v>1.6997208684011791</v>
      </c>
      <c r="G5" s="178">
        <f>'Run Reconstruction 3'!AB32</f>
        <v>1.5651301348113094</v>
      </c>
      <c r="H5" s="182">
        <f>'Run Reconstruction 4'!AA32</f>
        <v>2.0777104817795129</v>
      </c>
    </row>
    <row r="6" spans="1:8" ht="14.4" x14ac:dyDescent="0.3">
      <c r="A6" s="167" t="s">
        <v>79</v>
      </c>
      <c r="B6" s="225">
        <f>'Run Reconstruction 1'!AC33</f>
        <v>0</v>
      </c>
      <c r="C6" s="175">
        <f>'Run Reconstruction 1'!AA33</f>
        <v>4.0698177700038246E-5</v>
      </c>
      <c r="D6" s="179">
        <f>'Run Reconstruction 1'!AB33</f>
        <v>3.7985843935937399E-5</v>
      </c>
      <c r="E6" s="183">
        <f>'Run Reconstruction 2'!AA33</f>
        <v>4.0804638788784087E-5</v>
      </c>
      <c r="F6" s="172">
        <f>'Run Reconstruction 3'!AA33</f>
        <v>4.0699612787082298E-5</v>
      </c>
      <c r="G6" s="179">
        <f>'Run Reconstruction 3'!AB33</f>
        <v>3.7902439387383252E-5</v>
      </c>
      <c r="H6" s="183">
        <f>'Run Reconstruction 4'!AA33</f>
        <v>4.5026493755728251E-5</v>
      </c>
    </row>
    <row r="7" spans="1:8" ht="14.4" x14ac:dyDescent="0.3">
      <c r="A7" s="167" t="s">
        <v>80</v>
      </c>
      <c r="B7" s="224">
        <f>'Run Reconstruction 1'!AC34</f>
        <v>0</v>
      </c>
      <c r="C7" s="174">
        <f>'Run Reconstruction 1'!AA34</f>
        <v>0.98895757722407207</v>
      </c>
      <c r="D7" s="178">
        <f>'Run Reconstruction 1'!AB34</f>
        <v>0.96204302581545487</v>
      </c>
      <c r="E7" s="182">
        <f>'Run Reconstruction 2'!AA34</f>
        <v>0.99050509108216611</v>
      </c>
      <c r="F7" s="62">
        <f>'Run Reconstruction 3'!AA34</f>
        <v>0.96636457807329901</v>
      </c>
      <c r="G7" s="178">
        <f>'Run Reconstruction 3'!AB34</f>
        <v>0.93507330351031359</v>
      </c>
      <c r="H7" s="182">
        <f>'Run Reconstruction 4'!AA34</f>
        <v>0.93609123641707503</v>
      </c>
    </row>
    <row r="8" spans="1:8" ht="14.4" x14ac:dyDescent="0.3">
      <c r="A8" s="167" t="s">
        <v>81</v>
      </c>
      <c r="B8" s="224">
        <f>'Run Reconstruction 1'!AC35</f>
        <v>0</v>
      </c>
      <c r="C8" s="174">
        <f>'Run Reconstruction 1'!AA35</f>
        <v>2.1718173937621095</v>
      </c>
      <c r="D8" s="178">
        <f>'Run Reconstruction 1'!AB35</f>
        <v>2.053196261801852</v>
      </c>
      <c r="E8" s="182">
        <f>'Run Reconstruction 2'!AA35</f>
        <v>2.1750924804452278</v>
      </c>
      <c r="F8" s="62">
        <f>'Run Reconstruction 3'!AA35</f>
        <v>2.1666511172785716</v>
      </c>
      <c r="G8" s="178">
        <f>'Run Reconstruction 3'!AB35</f>
        <v>2.0424130987452909</v>
      </c>
      <c r="H8" s="182">
        <f>'Run Reconstruction 4'!AA35</f>
        <v>2.5158438832279368</v>
      </c>
    </row>
    <row r="9" spans="1:8" ht="14.4" x14ac:dyDescent="0.3">
      <c r="A9" s="170" t="s">
        <v>82</v>
      </c>
      <c r="B9" s="226">
        <f>'Run Reconstruction 1'!AC36</f>
        <v>0</v>
      </c>
      <c r="C9" s="176">
        <f>'Run Reconstruction 1'!AA36</f>
        <v>24571.12471645285</v>
      </c>
      <c r="D9" s="180">
        <f>'Run Reconstruction 1'!AB36</f>
        <v>26325.59649553887</v>
      </c>
      <c r="E9" s="184">
        <f>'Run Reconstruction 2'!AA36</f>
        <v>24507.017576513103</v>
      </c>
      <c r="F9" s="11">
        <f>'Run Reconstruction 3'!AA36</f>
        <v>24570.258327307507</v>
      </c>
      <c r="G9" s="180">
        <f>'Run Reconstruction 3'!AB36</f>
        <v>26383.526130850412</v>
      </c>
      <c r="H9" s="184">
        <f>'Run Reconstruction 4'!AA36</f>
        <v>22209.146584343587</v>
      </c>
    </row>
    <row r="10" spans="1:8" ht="14.4" x14ac:dyDescent="0.3">
      <c r="A10" s="170" t="s">
        <v>83</v>
      </c>
      <c r="B10" s="226">
        <f>'Run Reconstruction 1'!AC37</f>
        <v>0</v>
      </c>
      <c r="C10" s="176">
        <f>'Run Reconstruction 1'!AA37</f>
        <v>53363.996043490384</v>
      </c>
      <c r="D10" s="180">
        <f>'Run Reconstruction 1'!AB37</f>
        <v>54051.616314344341</v>
      </c>
      <c r="E10" s="184">
        <f>'Run Reconstruction 2'!AA37</f>
        <v>53305.029648812684</v>
      </c>
      <c r="F10" s="11">
        <f>'Run Reconstruction 3'!AA37</f>
        <v>53235.17765668394</v>
      </c>
      <c r="G10" s="180">
        <f>'Run Reconstruction 3'!AB37</f>
        <v>53886.059360737549</v>
      </c>
      <c r="H10" s="184">
        <f>'Run Reconstruction 4'!AA37</f>
        <v>55874.745585933444</v>
      </c>
    </row>
    <row r="11" spans="1:8" ht="14.4" x14ac:dyDescent="0.3">
      <c r="A11" s="167" t="s">
        <v>84</v>
      </c>
      <c r="B11" s="226">
        <f>'Run Reconstruction 1'!AC38</f>
        <v>0</v>
      </c>
      <c r="C11" s="176">
        <f>'Run Reconstruction 1'!AA38</f>
        <v>18569.218185191854</v>
      </c>
      <c r="D11" s="180">
        <f>'Run Reconstruction 1'!AB38</f>
        <v>19257.307797904985</v>
      </c>
      <c r="E11" s="184">
        <f>'Run Reconstruction 2'!AA38</f>
        <v>18536.478983273373</v>
      </c>
      <c r="F11" s="11">
        <f>'Run Reconstruction 3'!AA38</f>
        <v>18543.644827955544</v>
      </c>
      <c r="G11" s="180">
        <f>'Run Reconstruction 3'!AB38</f>
        <v>19238.998136899205</v>
      </c>
      <c r="H11" s="184">
        <f>'Run Reconstruction 4'!AA38</f>
        <v>18097.323209316575</v>
      </c>
    </row>
    <row r="12" spans="1:8" ht="14.4" x14ac:dyDescent="0.3">
      <c r="A12" s="167" t="s">
        <v>85</v>
      </c>
      <c r="B12" s="224">
        <f>'Run Reconstruction 1'!AC39</f>
        <v>0</v>
      </c>
      <c r="C12" s="174">
        <f>'Run Reconstruction 1'!AA39</f>
        <v>0.75573334145171978</v>
      </c>
      <c r="D12" s="178">
        <f>'Run Reconstruction 1'!AB39</f>
        <v>0.73150508863752917</v>
      </c>
      <c r="E12" s="182">
        <f>'Run Reconstruction 2'!AA39</f>
        <v>0.75637432932835769</v>
      </c>
      <c r="F12" s="62">
        <f>'Run Reconstruction 3'!AA39</f>
        <v>0.75471916415897211</v>
      </c>
      <c r="G12" s="178">
        <f>'Run Reconstruction 3'!AB39</f>
        <v>0.7292049607578015</v>
      </c>
      <c r="H12" s="182">
        <f>'Run Reconstruction 4'!AA39</f>
        <v>0.81485901047968867</v>
      </c>
    </row>
    <row r="13" spans="1:8" ht="14.4" x14ac:dyDescent="0.3">
      <c r="A13" s="167" t="s">
        <v>88</v>
      </c>
      <c r="B13" s="226">
        <f>'Run Reconstruction 1'!AC40</f>
        <v>0</v>
      </c>
      <c r="C13" s="176">
        <f>'Run Reconstruction 1'!AA40</f>
        <v>57953.626977540975</v>
      </c>
      <c r="D13" s="180">
        <f>'Run Reconstruction 1'!AB40</f>
        <v>52952.92668716023</v>
      </c>
      <c r="E13" s="184">
        <f>'Run Reconstruction 2'!AA40</f>
        <v>58052.928112449888</v>
      </c>
      <c r="F13" s="11">
        <f>'Run Reconstruction 3'!AA40</f>
        <v>57557.178710151595</v>
      </c>
      <c r="G13" s="180">
        <f>'Run Reconstruction 3'!AB40</f>
        <v>52293.188415705343</v>
      </c>
      <c r="H13" s="184">
        <f>'Run Reconstruction 4'!AA40</f>
        <v>81064.085262221415</v>
      </c>
    </row>
    <row r="14" spans="1:8" ht="14.4" x14ac:dyDescent="0.3">
      <c r="A14" s="167" t="s">
        <v>86</v>
      </c>
      <c r="B14" s="226">
        <f>'Run Reconstruction 1'!AC41</f>
        <v>0</v>
      </c>
      <c r="C14" s="176">
        <f>'Run Reconstruction 1'!AA41</f>
        <v>169.49496987116686</v>
      </c>
      <c r="D14" s="180">
        <v>169</v>
      </c>
      <c r="E14" s="184">
        <f>'Run Reconstruction 2'!AA41</f>
        <v>169.49496987116686</v>
      </c>
      <c r="F14" s="11">
        <f>'Run Reconstruction 3'!AA41</f>
        <v>169.49496987116686</v>
      </c>
      <c r="G14" s="180">
        <v>169</v>
      </c>
      <c r="H14" s="184">
        <f>'Run Reconstruction 4'!AA41</f>
        <v>34.283000403975976</v>
      </c>
    </row>
    <row r="15" spans="1:8" ht="14.4" x14ac:dyDescent="0.3">
      <c r="A15" s="167" t="s">
        <v>161</v>
      </c>
      <c r="B15" s="226">
        <f>'Run Reconstruction 1'!AC42</f>
        <v>0</v>
      </c>
      <c r="C15" s="176">
        <f>'Run Reconstruction 1'!AA42</f>
        <v>11749.217854214221</v>
      </c>
      <c r="D15" s="180">
        <f>'Run Reconstruction 1'!AB42</f>
        <v>12228.33175917615</v>
      </c>
      <c r="E15" s="184">
        <f>'Run Reconstruction 2'!AA42</f>
        <v>11727.763838986768</v>
      </c>
      <c r="F15" s="11">
        <f>'Run Reconstruction 3'!AA42</f>
        <v>11734.641523281</v>
      </c>
      <c r="G15" s="180">
        <f>'Run Reconstruction 3'!AB42</f>
        <v>12220.746922575428</v>
      </c>
      <c r="H15" s="184">
        <f>'Run Reconstruction 4'!AA42</f>
        <v>11364.949328491422</v>
      </c>
    </row>
    <row r="16" spans="1:8" ht="14.4" x14ac:dyDescent="0.3">
      <c r="A16" s="185" t="s">
        <v>162</v>
      </c>
      <c r="B16" s="227">
        <f>'Run Reconstruction 1'!AC43</f>
        <v>0</v>
      </c>
      <c r="C16" s="186">
        <f>'Run Reconstruction 1'!AA43</f>
        <v>26836.836713222576</v>
      </c>
      <c r="D16" s="187">
        <f>'Run Reconstruction 1'!AB43</f>
        <v>27711.259563914427</v>
      </c>
      <c r="E16" s="188">
        <f>'Run Reconstruction 2'!AA43</f>
        <v>26792.240519455216</v>
      </c>
      <c r="F16" s="189">
        <f>'Run Reconstruction 3'!AA43</f>
        <v>26794.968206180984</v>
      </c>
      <c r="G16" s="187">
        <f>'Run Reconstruction 3'!AB43</f>
        <v>27674.37438745582</v>
      </c>
      <c r="H16" s="188">
        <f>'Run Reconstruction 4'!AA43</f>
        <v>26502.945001192333</v>
      </c>
    </row>
    <row r="18" spans="1:2" ht="14.4" x14ac:dyDescent="0.3">
      <c r="A18" s="167" t="s">
        <v>223</v>
      </c>
      <c r="B18" s="228" t="s">
        <v>228</v>
      </c>
    </row>
    <row r="19" spans="1:2" ht="14.4" x14ac:dyDescent="0.3">
      <c r="A19" s="167" t="s">
        <v>224</v>
      </c>
      <c r="B19" s="228" t="s">
        <v>229</v>
      </c>
    </row>
    <row r="20" spans="1:2" ht="14.4" x14ac:dyDescent="0.3">
      <c r="A20" s="167" t="s">
        <v>225</v>
      </c>
      <c r="B20" s="228" t="s">
        <v>230</v>
      </c>
    </row>
    <row r="21" spans="1:2" ht="14.4" x14ac:dyDescent="0.3">
      <c r="A21" s="167" t="s">
        <v>226</v>
      </c>
      <c r="B21" s="228" t="s">
        <v>227</v>
      </c>
    </row>
  </sheetData>
  <mergeCells count="2">
    <mergeCell ref="C3:D3"/>
    <mergeCell ref="F3:G3"/>
  </mergeCells>
  <phoneticPr fontId="2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116"/>
  <sheetViews>
    <sheetView workbookViewId="0">
      <pane xSplit="1" ySplit="5" topLeftCell="B24" activePane="bottomRight" state="frozen"/>
      <selection pane="topRight" activeCell="B1" sqref="B1"/>
      <selection pane="bottomLeft" activeCell="A5" sqref="A5"/>
      <selection pane="bottomRight" activeCell="AC43" sqref="AC31:AC43"/>
    </sheetView>
  </sheetViews>
  <sheetFormatPr defaultColWidth="9.109375" defaultRowHeight="14.4" x14ac:dyDescent="0.3"/>
  <cols>
    <col min="1" max="1" width="9.109375" style="12"/>
    <col min="2" max="2" width="11.33203125" style="11" bestFit="1" customWidth="1"/>
    <col min="3" max="5" width="9.33203125" style="11" customWidth="1"/>
    <col min="6" max="7" width="8" style="21" customWidth="1"/>
    <col min="8" max="8" width="7.6640625" style="20" customWidth="1"/>
    <col min="9" max="9" width="6.6640625" style="11" customWidth="1"/>
    <col min="10" max="10" width="6.6640625" style="20" customWidth="1"/>
    <col min="11" max="11" width="6.6640625" style="11" customWidth="1"/>
    <col min="12" max="12" width="6.6640625" style="20" customWidth="1"/>
    <col min="13" max="13" width="6.6640625" style="11" customWidth="1"/>
    <col min="14" max="14" width="6.6640625" style="20" customWidth="1"/>
    <col min="15" max="15" width="6.6640625" style="11" customWidth="1"/>
    <col min="16" max="16" width="6.6640625" style="20" customWidth="1"/>
    <col min="17" max="17" width="6.6640625" style="11" customWidth="1"/>
    <col min="18" max="18" width="6.6640625" style="20" customWidth="1"/>
    <col min="19" max="19" width="6.6640625" style="11" customWidth="1"/>
    <col min="20" max="20" width="7.33203125" style="11" customWidth="1"/>
    <col min="21" max="21" width="6.6640625" style="12" customWidth="1"/>
    <col min="22" max="23" width="6.6640625" style="17" customWidth="1"/>
    <col min="24" max="25" width="6.6640625" style="12" customWidth="1"/>
    <col min="26" max="26" width="10.88671875" style="12" customWidth="1"/>
    <col min="27" max="27" width="13.109375" style="12" bestFit="1" customWidth="1"/>
    <col min="28" max="29" width="9.109375" style="12"/>
    <col min="30" max="30" width="9.109375" style="12" customWidth="1"/>
    <col min="31" max="34" width="9.109375" style="12"/>
    <col min="35" max="35" width="20" style="12" customWidth="1"/>
    <col min="36" max="16384" width="9.109375" style="12"/>
  </cols>
  <sheetData>
    <row r="1" spans="1:26" ht="18" x14ac:dyDescent="0.35">
      <c r="A1" s="74" t="s">
        <v>166</v>
      </c>
    </row>
    <row r="2" spans="1:26" ht="15.6" x14ac:dyDescent="0.3">
      <c r="A2" s="59" t="s">
        <v>142</v>
      </c>
    </row>
    <row r="3" spans="1:26" x14ac:dyDescent="0.3">
      <c r="H3" s="13"/>
    </row>
    <row r="4" spans="1:26" x14ac:dyDescent="0.3">
      <c r="A4" s="30"/>
      <c r="B4" s="39"/>
      <c r="C4" s="37"/>
      <c r="D4" s="37"/>
      <c r="E4" s="37"/>
      <c r="F4" s="37"/>
      <c r="G4" s="37"/>
      <c r="H4" s="31" t="s">
        <v>50</v>
      </c>
      <c r="I4" s="32"/>
      <c r="J4" s="33"/>
      <c r="K4" s="34"/>
      <c r="L4" s="35"/>
      <c r="M4" s="34"/>
      <c r="N4" s="35"/>
      <c r="O4" s="34"/>
      <c r="P4" s="35"/>
      <c r="Q4" s="34"/>
      <c r="R4" s="35"/>
      <c r="S4" s="34"/>
      <c r="U4" s="14"/>
    </row>
    <row r="5" spans="1:26" x14ac:dyDescent="0.3">
      <c r="A5" s="28" t="s">
        <v>0</v>
      </c>
      <c r="B5" s="38" t="s">
        <v>1</v>
      </c>
      <c r="C5" s="38" t="s">
        <v>9</v>
      </c>
      <c r="D5" s="38" t="s">
        <v>27</v>
      </c>
      <c r="E5" s="38" t="s">
        <v>13</v>
      </c>
      <c r="F5" s="38" t="s">
        <v>52</v>
      </c>
      <c r="G5" s="38" t="s">
        <v>62</v>
      </c>
      <c r="H5" s="29" t="s">
        <v>0</v>
      </c>
      <c r="I5" s="29" t="s">
        <v>43</v>
      </c>
      <c r="J5" s="29"/>
      <c r="K5" s="29" t="s">
        <v>44</v>
      </c>
      <c r="L5" s="29"/>
      <c r="M5" s="29" t="s">
        <v>45</v>
      </c>
      <c r="N5" s="29"/>
      <c r="O5" s="29" t="s">
        <v>46</v>
      </c>
      <c r="P5" s="29"/>
      <c r="Q5" s="29" t="s">
        <v>47</v>
      </c>
      <c r="R5" s="29"/>
      <c r="S5" s="29" t="s">
        <v>48</v>
      </c>
      <c r="T5" s="16"/>
      <c r="U5" s="21" t="s">
        <v>63</v>
      </c>
      <c r="V5" s="21" t="s">
        <v>64</v>
      </c>
      <c r="X5" s="16"/>
      <c r="Y5" s="16"/>
      <c r="Z5" s="16"/>
    </row>
    <row r="6" spans="1:26" x14ac:dyDescent="0.3">
      <c r="A6" s="17">
        <v>1982</v>
      </c>
      <c r="B6" s="11">
        <f>'Summary Data'!C6</f>
        <v>455.8408662342689</v>
      </c>
      <c r="C6" s="11">
        <f>'Summary Data'!H6</f>
        <v>97</v>
      </c>
      <c r="D6" s="11">
        <f>SUM(B6:C6)</f>
        <v>552.8408662342689</v>
      </c>
      <c r="E6" s="11">
        <f t="shared" ref="E6:E28" si="0">SUM(I6,K6,M6,O6,Q6,S6)</f>
        <v>6855.6678088028229</v>
      </c>
      <c r="F6" s="119">
        <f>E6/B6</f>
        <v>15.0396077153809</v>
      </c>
      <c r="G6" s="40">
        <f>LN(F6)</f>
        <v>2.7106872354276033</v>
      </c>
      <c r="H6" s="25">
        <v>1985</v>
      </c>
      <c r="I6" s="24">
        <f>B9*SUM('Escapement Age'!S9:T9)+C9*'Escapement Age'!S9</f>
        <v>75.455570010196638</v>
      </c>
      <c r="J6" s="25">
        <v>1986</v>
      </c>
      <c r="K6" s="24">
        <f>B10*SUM('Escapement Age'!U10:W10)+C10*SUM('Escapement Age'!U10:V10)</f>
        <v>1807.8225981792191</v>
      </c>
      <c r="L6" s="25">
        <v>1987</v>
      </c>
      <c r="M6" s="24">
        <f>B11*SUM('Escapement Age'!X11:Z11)+C11*SUM('Escapement Age'!X11:Y11)</f>
        <v>4612.102372369638</v>
      </c>
      <c r="N6" s="25">
        <v>1988</v>
      </c>
      <c r="O6" s="24">
        <f>B12*SUM('Escapement Age'!AA12:AC12)+'Run Reconstruction 1'!C12*SUM('Escapement Age'!AA12:AC12)</f>
        <v>339.78668492119061</v>
      </c>
      <c r="P6" s="25">
        <v>1989</v>
      </c>
      <c r="Q6" s="24">
        <f>B13*SUM('Escapement Age'!AD13:AF13)+C13*SUM('Escapement Age'!AD13:AF13)</f>
        <v>20.500583322578365</v>
      </c>
      <c r="R6" s="25">
        <v>1990</v>
      </c>
      <c r="S6" s="24">
        <f>B14*SUM('Escapement Age'!AG14)+C14*SUM('Escapement Age'!AG14)</f>
        <v>0</v>
      </c>
      <c r="U6" s="21">
        <f t="shared" ref="U6:U34" si="1">B6/1000</f>
        <v>0.45584086623426889</v>
      </c>
      <c r="V6" s="21">
        <f t="shared" ref="V6:V34" si="2">E6/1000</f>
        <v>6.8556678088028233</v>
      </c>
      <c r="X6" s="18"/>
      <c r="Y6" s="18"/>
      <c r="Z6" s="18"/>
    </row>
    <row r="7" spans="1:26" x14ac:dyDescent="0.3">
      <c r="A7" s="17">
        <v>1983</v>
      </c>
      <c r="B7" s="11">
        <f>'Summary Data'!C7</f>
        <v>2539.7855103785087</v>
      </c>
      <c r="C7" s="11">
        <f>'Summary Data'!H7</f>
        <v>36</v>
      </c>
      <c r="D7" s="11">
        <f t="shared" ref="D7:D34" si="3">SUM(B7:C7)</f>
        <v>2575.7855103785087</v>
      </c>
      <c r="E7" s="11">
        <f t="shared" si="0"/>
        <v>12843.28833940016</v>
      </c>
      <c r="F7" s="119">
        <f t="shared" ref="F7:F28" si="4">E7/B7</f>
        <v>5.0568397555296327</v>
      </c>
      <c r="G7" s="40">
        <f t="shared" ref="G7:G28" si="5">LN(F7)</f>
        <v>1.6207417339409731</v>
      </c>
      <c r="H7" s="25">
        <v>1986</v>
      </c>
      <c r="I7" s="24">
        <f>B10*SUM('Escapement Age'!S10:T10)+C10*'Escapement Age'!S10</f>
        <v>68.625317817510279</v>
      </c>
      <c r="J7" s="25">
        <v>1987</v>
      </c>
      <c r="K7" s="24">
        <f>B11*SUM('Escapement Age'!U11:W11)+C11*SUM('Escapement Age'!U11:V11)</f>
        <v>5948.6908477009374</v>
      </c>
      <c r="L7" s="25">
        <v>1988</v>
      </c>
      <c r="M7" s="24">
        <f>B12*SUM('Escapement Age'!X12:Z12)+C12*SUM('Escapement Age'!X12:Y12)</f>
        <v>2786.2508163537632</v>
      </c>
      <c r="N7" s="25">
        <v>1989</v>
      </c>
      <c r="O7" s="24">
        <f>B13*SUM('Escapement Age'!AA13:AC13)+'Run Reconstruction 1'!C13*SUM('Escapement Age'!AA13:AC13)</f>
        <v>4018.1143312253589</v>
      </c>
      <c r="P7" s="25">
        <v>1990</v>
      </c>
      <c r="Q7" s="24">
        <f>B14*SUM('Escapement Age'!AD14:AF14)+C14*SUM('Escapement Age'!AD14:AF14)</f>
        <v>0</v>
      </c>
      <c r="R7" s="25">
        <v>1991</v>
      </c>
      <c r="S7" s="24">
        <f>B15*SUM('Escapement Age'!AG15)+C15*SUM('Escapement Age'!AG15)</f>
        <v>21.60702630259123</v>
      </c>
      <c r="U7" s="21">
        <f t="shared" si="1"/>
        <v>2.5397855103785085</v>
      </c>
      <c r="V7" s="21">
        <f t="shared" si="2"/>
        <v>12.843288339400161</v>
      </c>
      <c r="X7" s="18"/>
      <c r="Y7" s="18"/>
      <c r="Z7" s="18"/>
    </row>
    <row r="8" spans="1:26" x14ac:dyDescent="0.3">
      <c r="A8" s="17">
        <v>1984</v>
      </c>
      <c r="B8" s="11">
        <f>'Summary Data'!C8</f>
        <v>11579.406940083547</v>
      </c>
      <c r="C8" s="11">
        <f>'Summary Data'!H8</f>
        <v>175</v>
      </c>
      <c r="D8" s="11">
        <f t="shared" si="3"/>
        <v>11754.406940083547</v>
      </c>
      <c r="E8" s="11">
        <f t="shared" si="0"/>
        <v>50074.937573870666</v>
      </c>
      <c r="F8" s="119">
        <f t="shared" si="4"/>
        <v>4.3244820596580027</v>
      </c>
      <c r="G8" s="40">
        <f t="shared" si="5"/>
        <v>1.4642923782202717</v>
      </c>
      <c r="H8" s="25">
        <v>1987</v>
      </c>
      <c r="I8" s="24">
        <f>B11*SUM('Escapement Age'!S11:T11)+C11*'Escapement Age'!S11</f>
        <v>94.201613399815997</v>
      </c>
      <c r="J8" s="25">
        <v>1988</v>
      </c>
      <c r="K8" s="24">
        <f>B12*SUM('Escapement Age'!U12:W12)+C12*SUM('Escapement Age'!U12:V12)</f>
        <v>465.99316789191863</v>
      </c>
      <c r="L8" s="25">
        <v>1989</v>
      </c>
      <c r="M8" s="24">
        <f>B13*SUM('Escapement Age'!X13:Z13)+C13*SUM('Escapement Age'!X13:Y13)</f>
        <v>27202.666648355324</v>
      </c>
      <c r="N8" s="25">
        <v>1990</v>
      </c>
      <c r="O8" s="24">
        <f>B14*SUM('Escapement Age'!AA14:AC14)+'Run Reconstruction 1'!C14*SUM('Escapement Age'!AA14:AC14)</f>
        <v>21080.475644975904</v>
      </c>
      <c r="P8" s="25">
        <v>1991</v>
      </c>
      <c r="Q8" s="24">
        <f>B15*SUM('Escapement Age'!AD15:AF15)+C15*SUM('Escapement Age'!AD15:AF15)</f>
        <v>1231.6004992477001</v>
      </c>
      <c r="R8" s="25">
        <v>1992</v>
      </c>
      <c r="S8" s="24">
        <f>B16*SUM('Escapement Age'!AG16)+C16*SUM('Escapement Age'!AG16)</f>
        <v>0</v>
      </c>
      <c r="U8" s="21">
        <f t="shared" si="1"/>
        <v>11.579406940083548</v>
      </c>
      <c r="V8" s="21">
        <f t="shared" si="2"/>
        <v>50.074937573870663</v>
      </c>
      <c r="X8" s="18"/>
      <c r="Y8" s="18"/>
      <c r="Z8" s="18"/>
    </row>
    <row r="9" spans="1:26" x14ac:dyDescent="0.3">
      <c r="A9" s="17">
        <v>1985</v>
      </c>
      <c r="B9" s="11">
        <f>'Summary Data'!C9</f>
        <v>10991.361364818644</v>
      </c>
      <c r="C9" s="11">
        <f>'Summary Data'!H9</f>
        <v>238</v>
      </c>
      <c r="D9" s="11">
        <f t="shared" si="3"/>
        <v>11229.361364818644</v>
      </c>
      <c r="E9" s="11">
        <f t="shared" si="0"/>
        <v>96153.770907218423</v>
      </c>
      <c r="F9" s="119">
        <f t="shared" si="4"/>
        <v>8.7481220674801232</v>
      </c>
      <c r="G9" s="40">
        <f t="shared" si="5"/>
        <v>2.1688390564757563</v>
      </c>
      <c r="H9" s="25">
        <v>1988</v>
      </c>
      <c r="I9" s="24">
        <f>B12*SUM('Escapement Age'!S12:T12)+C12*'Escapement Age'!S12</f>
        <v>0</v>
      </c>
      <c r="J9" s="25">
        <v>1989</v>
      </c>
      <c r="K9" s="24">
        <f>B13*SUM('Escapement Age'!U13:W13)+C13*SUM('Escapement Age'!U13:V13)</f>
        <v>2775.6397293548494</v>
      </c>
      <c r="L9" s="25">
        <v>1990</v>
      </c>
      <c r="M9" s="24">
        <f>B14*SUM('Escapement Age'!X14:Z14)+C14*SUM('Escapement Age'!X14:Y14)</f>
        <v>53395.456274400043</v>
      </c>
      <c r="N9" s="25">
        <v>1991</v>
      </c>
      <c r="O9" s="24">
        <f>B15*SUM('Escapement Age'!AA15:AC15)+'Run Reconstruction 1'!C15*SUM('Escapement Age'!AA15:AC15)</f>
        <v>39778.535423070454</v>
      </c>
      <c r="P9" s="25">
        <v>1992</v>
      </c>
      <c r="Q9" s="24">
        <f>B16*SUM('Escapement Age'!AD16:AF16)+C16*SUM('Escapement Age'!AD16:AF16)</f>
        <v>204.13948039306837</v>
      </c>
      <c r="R9" s="25">
        <v>1993</v>
      </c>
      <c r="S9" s="24">
        <f>B17*SUM('Escapement Age'!AG17)+C17*SUM('Escapement Age'!AG17)</f>
        <v>0</v>
      </c>
      <c r="U9" s="21">
        <f t="shared" si="1"/>
        <v>10.991361364818644</v>
      </c>
      <c r="V9" s="21">
        <f t="shared" si="2"/>
        <v>96.153770907218416</v>
      </c>
      <c r="X9" s="18"/>
      <c r="Y9" s="18"/>
      <c r="Z9" s="18"/>
    </row>
    <row r="10" spans="1:26" x14ac:dyDescent="0.3">
      <c r="A10" s="17">
        <v>1986</v>
      </c>
      <c r="B10" s="11">
        <f>'Summary Data'!C10</f>
        <v>9798.1703772778565</v>
      </c>
      <c r="C10" s="11">
        <f>'Summary Data'!H10</f>
        <v>98</v>
      </c>
      <c r="D10" s="11">
        <f t="shared" si="3"/>
        <v>9896.1703772778565</v>
      </c>
      <c r="E10" s="11">
        <f t="shared" si="0"/>
        <v>10915.723869799616</v>
      </c>
      <c r="F10" s="119">
        <f t="shared" si="4"/>
        <v>1.1140573647416243</v>
      </c>
      <c r="G10" s="40">
        <f t="shared" si="5"/>
        <v>0.10800863456137061</v>
      </c>
      <c r="H10" s="25">
        <v>1989</v>
      </c>
      <c r="I10" s="24">
        <f>B13*SUM('Escapement Age'!S13:T13)+C13*'Escapement Age'!S13</f>
        <v>151.14530093131512</v>
      </c>
      <c r="J10" s="25">
        <v>1990</v>
      </c>
      <c r="K10" s="24">
        <f>B14*SUM('Escapement Age'!U14:W14)+C14*SUM('Escapement Age'!U14:V14)</f>
        <v>4221.5121922079315</v>
      </c>
      <c r="L10" s="25">
        <v>1991</v>
      </c>
      <c r="M10" s="24">
        <f>B15*SUM('Escapement Age'!X15:Z15)+C15*SUM('Escapement Age'!X15:Y15)</f>
        <v>3238.2930564997951</v>
      </c>
      <c r="N10" s="25">
        <v>1992</v>
      </c>
      <c r="O10" s="24">
        <f>B16*SUM('Escapement Age'!AA16:AC16)+'Run Reconstruction 1'!C16*SUM('Escapement Age'!AA16:AC16)</f>
        <v>3038.5376504660567</v>
      </c>
      <c r="P10" s="25">
        <v>1993</v>
      </c>
      <c r="Q10" s="24">
        <f>B17*SUM('Escapement Age'!AD17:AF17)+C17*SUM('Escapement Age'!AD17:AF17)</f>
        <v>266.23566969451633</v>
      </c>
      <c r="R10" s="25">
        <v>1994</v>
      </c>
      <c r="S10" s="24">
        <f>B18*SUM('Escapement Age'!AG18)+C18*SUM('Escapement Age'!AG18)</f>
        <v>0</v>
      </c>
      <c r="U10" s="21">
        <f t="shared" si="1"/>
        <v>9.7981703772778559</v>
      </c>
      <c r="V10" s="21">
        <f t="shared" si="2"/>
        <v>10.915723869799617</v>
      </c>
      <c r="X10" s="18"/>
      <c r="Y10" s="18"/>
      <c r="Z10" s="18"/>
    </row>
    <row r="11" spans="1:26" x14ac:dyDescent="0.3">
      <c r="A11" s="17">
        <v>1987</v>
      </c>
      <c r="B11" s="11">
        <f>'Summary Data'!C11</f>
        <v>14251.358370057878</v>
      </c>
      <c r="C11" s="11">
        <f>'Summary Data'!H11</f>
        <v>285</v>
      </c>
      <c r="D11" s="11">
        <f t="shared" si="3"/>
        <v>14536.358370057878</v>
      </c>
      <c r="E11" s="11">
        <f t="shared" si="0"/>
        <v>14253.97142045392</v>
      </c>
      <c r="F11" s="119">
        <f t="shared" si="4"/>
        <v>1.0001833544794951</v>
      </c>
      <c r="G11" s="219">
        <f t="shared" si="5"/>
        <v>1.8333767211699991E-4</v>
      </c>
      <c r="H11" s="25">
        <v>1990</v>
      </c>
      <c r="I11" s="24">
        <f>B14*SUM('Escapement Age'!S14:T14)+C14*'Escapement Age'!S14</f>
        <v>466.48969982479201</v>
      </c>
      <c r="J11" s="25">
        <v>1991</v>
      </c>
      <c r="K11" s="24">
        <f>B15*SUM('Escapement Age'!U15:W15)+C15*SUM('Escapement Age'!U15:V15)</f>
        <v>4196.3247108634368</v>
      </c>
      <c r="L11" s="25">
        <v>1992</v>
      </c>
      <c r="M11" s="24">
        <f>B16*SUM('Escapement Age'!X16:Z16)+C16*SUM('Escapement Age'!X16:Y16)</f>
        <v>4694.5996153056331</v>
      </c>
      <c r="N11" s="25">
        <v>1993</v>
      </c>
      <c r="O11" s="24">
        <f>B17*SUM('Escapement Age'!AA17:AC17)+'Run Reconstruction 1'!C17*SUM('Escapement Age'!AA17:AC17)</f>
        <v>4150.8561229645047</v>
      </c>
      <c r="P11" s="25">
        <v>1994</v>
      </c>
      <c r="Q11" s="24">
        <f>B18*SUM('Escapement Age'!AD18:AF18)+C18*SUM('Escapement Age'!AD18:AF18)</f>
        <v>745.70127149555219</v>
      </c>
      <c r="R11" s="25">
        <v>1995</v>
      </c>
      <c r="S11" s="24">
        <f>B19*SUM('Escapement Age'!AG19)+C19*SUM('Escapement Age'!AG19)</f>
        <v>0</v>
      </c>
      <c r="U11" s="21">
        <f t="shared" si="1"/>
        <v>14.251358370057879</v>
      </c>
      <c r="V11" s="21">
        <f t="shared" si="2"/>
        <v>14.253971420453919</v>
      </c>
      <c r="X11" s="18"/>
      <c r="Y11" s="18"/>
      <c r="Z11" s="18"/>
    </row>
    <row r="12" spans="1:26" x14ac:dyDescent="0.3">
      <c r="A12" s="17">
        <v>1988</v>
      </c>
      <c r="B12" s="11">
        <f>'Summary Data'!C12</f>
        <v>3252.0306691668725</v>
      </c>
      <c r="C12" s="11">
        <f>'Summary Data'!H12</f>
        <v>340</v>
      </c>
      <c r="D12" s="11">
        <f t="shared" si="3"/>
        <v>3592.0306691668725</v>
      </c>
      <c r="E12" s="11">
        <f t="shared" si="0"/>
        <v>32610.62152360475</v>
      </c>
      <c r="F12" s="119">
        <f t="shared" si="4"/>
        <v>10.027771826628918</v>
      </c>
      <c r="G12" s="40">
        <f t="shared" si="5"/>
        <v>2.3053584264102267</v>
      </c>
      <c r="H12" s="25">
        <v>1991</v>
      </c>
      <c r="I12" s="24">
        <f>B15*SUM('Escapement Age'!S15:T15)+C15*'Escapement Age'!S15</f>
        <v>101.13290929073392</v>
      </c>
      <c r="J12" s="25">
        <v>1992</v>
      </c>
      <c r="K12" s="24">
        <f>B16*SUM('Escapement Age'!U16:W16)+C16*SUM('Escapement Age'!U16:V16)</f>
        <v>1736.5724933840031</v>
      </c>
      <c r="L12" s="25">
        <v>1993</v>
      </c>
      <c r="M12" s="24">
        <f>B17*SUM('Escapement Age'!X17:Z17)+C17*SUM('Escapement Age'!X17:Y17)</f>
        <v>14049.982387060612</v>
      </c>
      <c r="N12" s="25">
        <v>1994</v>
      </c>
      <c r="O12" s="24">
        <f>B18*SUM('Escapement Age'!AA18:AC18)+'Run Reconstruction 1'!C18*SUM('Escapement Age'!AA18:AC18)</f>
        <v>16618.485479043735</v>
      </c>
      <c r="P12" s="25">
        <v>1995</v>
      </c>
      <c r="Q12" s="24">
        <f>B19*SUM('Escapement Age'!AD19:AF19)+C19*SUM('Escapement Age'!AD19:AF19)</f>
        <v>104.44825482566539</v>
      </c>
      <c r="R12" s="25">
        <v>1996</v>
      </c>
      <c r="S12" s="24">
        <f>B20*SUM('Escapement Age'!AG20)+C20*SUM('Escapement Age'!AG20)</f>
        <v>0</v>
      </c>
      <c r="U12" s="21">
        <f t="shared" si="1"/>
        <v>3.2520306691668726</v>
      </c>
      <c r="V12" s="21">
        <f t="shared" si="2"/>
        <v>32.610621523604749</v>
      </c>
      <c r="X12" s="18"/>
      <c r="Y12" s="18"/>
      <c r="Z12" s="18"/>
    </row>
    <row r="13" spans="1:26" x14ac:dyDescent="0.3">
      <c r="A13" s="17">
        <v>1989</v>
      </c>
      <c r="B13" s="11">
        <f>'Summary Data'!C13</f>
        <v>31570.474732028444</v>
      </c>
      <c r="C13" s="11">
        <f>'Summary Data'!H13</f>
        <v>2686</v>
      </c>
      <c r="D13" s="11">
        <f t="shared" si="3"/>
        <v>34256.474732028444</v>
      </c>
      <c r="E13" s="11">
        <f t="shared" si="0"/>
        <v>27573.431342598109</v>
      </c>
      <c r="F13" s="119">
        <f t="shared" si="4"/>
        <v>0.87339299065479969</v>
      </c>
      <c r="G13" s="219">
        <f t="shared" si="5"/>
        <v>-0.13536966331804387</v>
      </c>
      <c r="H13" s="25">
        <v>1992</v>
      </c>
      <c r="I13" s="24">
        <f>B16*SUM('Escapement Age'!S16:T16)+C16*'Escapement Age'!S16</f>
        <v>738.66910467995558</v>
      </c>
      <c r="J13" s="25">
        <v>1993</v>
      </c>
      <c r="K13" s="24">
        <f>B17*SUM('Escapement Age'!U17:W17)+C17*SUM('Escapement Age'!U17:V17)</f>
        <v>9320.6458769037836</v>
      </c>
      <c r="L13" s="25">
        <v>1994</v>
      </c>
      <c r="M13" s="24">
        <f>B18*SUM('Escapement Age'!X18:Z18)+C18*SUM('Escapement Age'!X18:Y18)</f>
        <v>15444.282198360985</v>
      </c>
      <c r="N13" s="25">
        <v>1995</v>
      </c>
      <c r="O13" s="24">
        <f>B19*SUM('Escapement Age'!AA19:AC19)+'Run Reconstruction 1'!C19*SUM('Escapement Age'!AA19:AC19)</f>
        <v>2054.1490115714191</v>
      </c>
      <c r="P13" s="25">
        <v>1996</v>
      </c>
      <c r="Q13" s="24">
        <f>B20*SUM('Escapement Age'!AD20:AF20)+C20*SUM('Escapement Age'!AD20:AF20)</f>
        <v>15.68515108196841</v>
      </c>
      <c r="R13" s="25">
        <v>1997</v>
      </c>
      <c r="S13" s="24">
        <f>B21*SUM('Escapement Age'!AG21)+C21*SUM('Escapement Age'!AG21)</f>
        <v>0</v>
      </c>
      <c r="U13" s="21">
        <f t="shared" si="1"/>
        <v>31.570474732028444</v>
      </c>
      <c r="V13" s="21">
        <f t="shared" si="2"/>
        <v>27.573431342598109</v>
      </c>
      <c r="X13" s="18"/>
      <c r="Y13" s="18"/>
      <c r="Z13" s="18"/>
    </row>
    <row r="14" spans="1:26" x14ac:dyDescent="0.3">
      <c r="A14" s="17">
        <v>1990</v>
      </c>
      <c r="B14" s="11">
        <f>'Summary Data'!C14</f>
        <v>73180.571660014248</v>
      </c>
      <c r="C14" s="11">
        <f>'Summary Data'!H14</f>
        <v>6029</v>
      </c>
      <c r="D14" s="11">
        <f t="shared" si="3"/>
        <v>79209.571660014248</v>
      </c>
      <c r="E14" s="11">
        <f t="shared" si="0"/>
        <v>44788.022839745063</v>
      </c>
      <c r="F14" s="119">
        <f t="shared" si="4"/>
        <v>0.6120206746651744</v>
      </c>
      <c r="G14" s="219">
        <f t="shared" si="5"/>
        <v>-0.49098921490777647</v>
      </c>
      <c r="H14" s="25">
        <v>1993</v>
      </c>
      <c r="I14" s="24">
        <f>B17*SUM('Escapement Age'!S17:T17)+C17*'Escapement Age'!S17</f>
        <v>268.78462484819488</v>
      </c>
      <c r="J14" s="25">
        <v>1994</v>
      </c>
      <c r="K14" s="24">
        <f>B18*SUM('Escapement Age'!U18:W18)+C18*SUM('Escapement Age'!U18:V18)</f>
        <v>12580.691294616545</v>
      </c>
      <c r="L14" s="25">
        <v>1995</v>
      </c>
      <c r="M14" s="24">
        <f>B19*SUM('Escapement Age'!X19:Z19)+C19*SUM('Escapement Age'!X19:Y19)</f>
        <v>28879.942459296479</v>
      </c>
      <c r="N14" s="25">
        <v>1996</v>
      </c>
      <c r="O14" s="24">
        <f>B20*SUM('Escapement Age'!AA20:AC20)+'Run Reconstruction 1'!C20*SUM('Escapement Age'!AA20:AC20)</f>
        <v>3058.60446098384</v>
      </c>
      <c r="P14" s="25">
        <v>1997</v>
      </c>
      <c r="Q14" s="24">
        <f>B21*SUM('Escapement Age'!AD21:AF21)+C21*SUM('Escapement Age'!AD21:AF21)</f>
        <v>0</v>
      </c>
      <c r="R14" s="25">
        <v>1998</v>
      </c>
      <c r="S14" s="26">
        <v>0</v>
      </c>
      <c r="U14" s="21">
        <f t="shared" si="1"/>
        <v>73.180571660014252</v>
      </c>
      <c r="V14" s="21">
        <f t="shared" si="2"/>
        <v>44.788022839745061</v>
      </c>
      <c r="X14" s="18"/>
      <c r="Y14" s="18"/>
      <c r="Z14" s="18"/>
    </row>
    <row r="15" spans="1:26" x14ac:dyDescent="0.3">
      <c r="A15" s="17">
        <v>1991</v>
      </c>
      <c r="B15" s="11">
        <f>'Summary Data'!C15</f>
        <v>45509.809180830263</v>
      </c>
      <c r="C15" s="11">
        <f>'Summary Data'!H15</f>
        <v>3106</v>
      </c>
      <c r="D15" s="11">
        <f t="shared" si="3"/>
        <v>48615.809180830263</v>
      </c>
      <c r="E15" s="11">
        <f t="shared" si="0"/>
        <v>35903.724160000296</v>
      </c>
      <c r="F15" s="119">
        <f t="shared" si="4"/>
        <v>0.78892275767053177</v>
      </c>
      <c r="G15" s="219">
        <f t="shared" si="5"/>
        <v>-0.23708686195209211</v>
      </c>
      <c r="H15" s="25">
        <v>1994</v>
      </c>
      <c r="I15" s="24">
        <f>B18*SUM('Escapement Age'!S18:T18)+C18*'Escapement Age'!S18</f>
        <v>384.19488186101904</v>
      </c>
      <c r="J15" s="25">
        <v>1995</v>
      </c>
      <c r="K15" s="24">
        <f>B19*SUM('Escapement Age'!U19:W19)+C19*SUM('Escapement Age'!U19:V19)</f>
        <v>5419.2377886806571</v>
      </c>
      <c r="L15" s="25">
        <v>1996</v>
      </c>
      <c r="M15" s="24">
        <f>B20*SUM('Escapement Age'!X20:Z20)+C20*SUM('Escapement Age'!X20:Y20)</f>
        <v>14775.412319214242</v>
      </c>
      <c r="N15" s="25">
        <v>1997</v>
      </c>
      <c r="O15" s="24">
        <f>B21*SUM('Escapement Age'!AA21:AC21)+'Run Reconstruction 1'!C21*SUM('Escapement Age'!AA21:AC21)</f>
        <v>15148.316879979462</v>
      </c>
      <c r="P15" s="25">
        <v>1998</v>
      </c>
      <c r="Q15" s="26">
        <f>Q55</f>
        <v>176.56229026491098</v>
      </c>
      <c r="R15" s="25">
        <v>1999</v>
      </c>
      <c r="S15" s="24">
        <f>B23*SUM('Escapement Age'!AG23)+C23*SUM('Escapement Age'!AG23)</f>
        <v>0</v>
      </c>
      <c r="U15" s="21">
        <f t="shared" si="1"/>
        <v>45.50980918083026</v>
      </c>
      <c r="V15" s="21">
        <f t="shared" si="2"/>
        <v>35.903724160000294</v>
      </c>
      <c r="X15" s="18"/>
      <c r="Y15" s="18"/>
      <c r="Z15" s="18"/>
    </row>
    <row r="16" spans="1:26" x14ac:dyDescent="0.3">
      <c r="A16" s="17">
        <v>1992</v>
      </c>
      <c r="B16" s="11">
        <f>'Summary Data'!C16</f>
        <v>10325.816536999801</v>
      </c>
      <c r="C16" s="11">
        <f>'Summary Data'!H16</f>
        <v>101</v>
      </c>
      <c r="D16" s="11">
        <f t="shared" si="3"/>
        <v>10426.816536999801</v>
      </c>
      <c r="E16" s="11">
        <f t="shared" si="0"/>
        <v>33072.007779982625</v>
      </c>
      <c r="F16" s="119">
        <f t="shared" si="4"/>
        <v>3.2028467348299223</v>
      </c>
      <c r="G16" s="40">
        <f t="shared" si="5"/>
        <v>1.1640400189763491</v>
      </c>
      <c r="H16" s="25">
        <v>1995</v>
      </c>
      <c r="I16" s="24">
        <f>B19*SUM('Escapement Age'!S19:T19)+C19*'Escapement Age'!S19</f>
        <v>3173.9954494901835</v>
      </c>
      <c r="J16" s="25">
        <v>1996</v>
      </c>
      <c r="K16" s="24">
        <f>B20*SUM('Escapement Age'!U20:W20)+C20*SUM('Escapement Age'!U20:V20)</f>
        <v>6196.640353875634</v>
      </c>
      <c r="L16" s="25">
        <v>1997</v>
      </c>
      <c r="M16" s="24">
        <f>B21*SUM('Escapement Age'!X21:Z21)+C21*SUM('Escapement Age'!X21:Y21)</f>
        <v>17217.029757862118</v>
      </c>
      <c r="N16" s="25">
        <v>1998</v>
      </c>
      <c r="O16" s="26">
        <f>O56</f>
        <v>6484.342218754693</v>
      </c>
      <c r="P16" s="25">
        <v>1999</v>
      </c>
      <c r="Q16" s="24">
        <f>B23*SUM('Escapement Age'!AD23:AF23)+C23*SUM('Escapement Age'!AD23:AF23)</f>
        <v>0</v>
      </c>
      <c r="R16" s="25">
        <v>2000</v>
      </c>
      <c r="S16" s="24">
        <f>B24*SUM('Escapement Age'!AG24)+C24*SUM('Escapement Age'!AG24)</f>
        <v>0</v>
      </c>
      <c r="U16" s="21">
        <f t="shared" si="1"/>
        <v>10.325816536999801</v>
      </c>
      <c r="V16" s="21">
        <f t="shared" si="2"/>
        <v>33.072007779982627</v>
      </c>
      <c r="X16" s="18"/>
      <c r="Y16" s="18"/>
      <c r="Z16" s="18"/>
    </row>
    <row r="17" spans="1:30" x14ac:dyDescent="0.3">
      <c r="A17" s="17">
        <v>1993</v>
      </c>
      <c r="B17" s="11">
        <f>'Summary Data'!C17</f>
        <v>25018.47288086998</v>
      </c>
      <c r="C17" s="11">
        <f>'Summary Data'!H17</f>
        <v>3142</v>
      </c>
      <c r="D17" s="11">
        <f t="shared" si="3"/>
        <v>28160.47288086998</v>
      </c>
      <c r="E17" s="11">
        <f t="shared" si="0"/>
        <v>33128.504360704501</v>
      </c>
      <c r="F17" s="119">
        <f t="shared" si="4"/>
        <v>1.324161731151694</v>
      </c>
      <c r="G17" s="40">
        <f t="shared" si="5"/>
        <v>0.28077960349252812</v>
      </c>
      <c r="H17" s="25">
        <v>1996</v>
      </c>
      <c r="I17" s="24">
        <f>B20*SUM('Escapement Age'!S20:T20)+C20*'Escapement Age'!S20</f>
        <v>584.58164386895123</v>
      </c>
      <c r="J17" s="25">
        <v>1997</v>
      </c>
      <c r="K17" s="24">
        <f>B21*SUM('Escapement Age'!U21:W21)+C21*SUM('Escapement Age'!U21:V21)</f>
        <v>4583.23677724154</v>
      </c>
      <c r="L17" s="25">
        <v>1998</v>
      </c>
      <c r="M17" s="26">
        <f>M57</f>
        <v>17376.264158071965</v>
      </c>
      <c r="N17" s="25">
        <v>1999</v>
      </c>
      <c r="O17" s="24">
        <f>B23*SUM('Escapement Age'!AA23:AC23)+'Run Reconstruction 1'!C23*SUM('Escapement Age'!AA23:AC23)</f>
        <v>10584.421781522049</v>
      </c>
      <c r="P17" s="25">
        <v>2000</v>
      </c>
      <c r="Q17" s="24">
        <f>B24*SUM('Escapement Age'!AD24:AF24)+C24*SUM('Escapement Age'!AD24:AF24)</f>
        <v>0</v>
      </c>
      <c r="R17" s="25">
        <v>2001</v>
      </c>
      <c r="S17" s="24">
        <f>B25*SUM('Escapement Age'!AG25)+C25*SUM('Escapement Age'!AG25)</f>
        <v>0</v>
      </c>
      <c r="U17" s="21">
        <f t="shared" si="1"/>
        <v>25.018472880869979</v>
      </c>
      <c r="V17" s="21">
        <f t="shared" si="2"/>
        <v>33.128504360704504</v>
      </c>
      <c r="X17" s="18"/>
      <c r="Y17" s="18"/>
      <c r="Z17" s="18"/>
    </row>
    <row r="18" spans="1:30" x14ac:dyDescent="0.3">
      <c r="A18" s="17">
        <v>1994</v>
      </c>
      <c r="B18" s="11">
        <f>'Summary Data'!C18</f>
        <v>39710.382989154925</v>
      </c>
      <c r="C18" s="11">
        <f>'Summary Data'!H18</f>
        <v>6168</v>
      </c>
      <c r="D18" s="11">
        <f t="shared" si="3"/>
        <v>45878.382989154925</v>
      </c>
      <c r="E18" s="11">
        <f t="shared" si="0"/>
        <v>79775.015531991783</v>
      </c>
      <c r="F18" s="119">
        <f t="shared" si="4"/>
        <v>2.0089208294409722</v>
      </c>
      <c r="G18" s="40">
        <f t="shared" si="5"/>
        <v>0.69759767711251697</v>
      </c>
      <c r="H18" s="25">
        <v>1997</v>
      </c>
      <c r="I18" s="24">
        <f>B21*SUM('Escapement Age'!S21:T21)+C21*'Escapement Age'!S21</f>
        <v>821.33642065830168</v>
      </c>
      <c r="J18" s="25">
        <v>1998</v>
      </c>
      <c r="K18" s="26">
        <f>K58</f>
        <v>20079.021836292701</v>
      </c>
      <c r="L18" s="25">
        <v>1999</v>
      </c>
      <c r="M18" s="24">
        <f>B23*SUM('Escapement Age'!X23:Z23)+C23*SUM('Escapement Age'!X23:Y23)</f>
        <v>58639.824191598287</v>
      </c>
      <c r="N18" s="25">
        <v>2000</v>
      </c>
      <c r="O18" s="24">
        <f>B24*SUM('Escapement Age'!AA24:AC24)+'Run Reconstruction 1'!C24*SUM('Escapement Age'!AA24:AC24)</f>
        <v>234.83308344250167</v>
      </c>
      <c r="P18" s="25">
        <v>2001</v>
      </c>
      <c r="Q18" s="24">
        <f>B25*SUM('Escapement Age'!AD25:AF25)+C25*SUM('Escapement Age'!AD25:AF25)</f>
        <v>0</v>
      </c>
      <c r="R18" s="25">
        <v>2002</v>
      </c>
      <c r="S18" s="24">
        <f>B26*SUM('Escapement Age'!AG26)+C26*SUM('Escapement Age'!AG26)</f>
        <v>0</v>
      </c>
      <c r="U18" s="21">
        <f t="shared" si="1"/>
        <v>39.710382989154922</v>
      </c>
      <c r="V18" s="21">
        <f t="shared" si="2"/>
        <v>79.775015531991784</v>
      </c>
      <c r="X18" s="18"/>
      <c r="Y18" s="18"/>
      <c r="Z18" s="18"/>
    </row>
    <row r="19" spans="1:30" x14ac:dyDescent="0.3">
      <c r="A19" s="17">
        <v>1995</v>
      </c>
      <c r="B19" s="11">
        <f>'Summary Data'!C19</f>
        <v>34797.618320235895</v>
      </c>
      <c r="C19" s="11">
        <f>'Summary Data'!H19</f>
        <v>5502</v>
      </c>
      <c r="D19" s="11">
        <f t="shared" si="3"/>
        <v>40299.618320235895</v>
      </c>
      <c r="E19" s="11">
        <f t="shared" si="0"/>
        <v>3751.9710718441897</v>
      </c>
      <c r="F19" s="119">
        <f t="shared" si="4"/>
        <v>0.10782263996677906</v>
      </c>
      <c r="G19" s="219">
        <f t="shared" si="5"/>
        <v>-2.227267624313281</v>
      </c>
      <c r="H19" s="25">
        <v>1998</v>
      </c>
      <c r="I19" s="26">
        <f>I59</f>
        <v>85.333521190707629</v>
      </c>
      <c r="J19" s="25">
        <v>1999</v>
      </c>
      <c r="K19" s="24">
        <f>B23*SUM('Escapement Age'!U23:W23)+C23*SUM('Escapement Age'!U23:V23)</f>
        <v>1063.7609830675426</v>
      </c>
      <c r="L19" s="25">
        <v>2000</v>
      </c>
      <c r="M19" s="24">
        <f>B24*SUM('Escapement Age'!X24:Z24)+C24*SUM('Escapement Age'!X24:Y24)</f>
        <v>2465.7473761462679</v>
      </c>
      <c r="N19" s="25">
        <v>2001</v>
      </c>
      <c r="O19" s="24">
        <f>B25*SUM('Escapement Age'!AA25:AC25)+'Run Reconstruction 1'!C25*SUM('Escapement Age'!AA25:AC25)</f>
        <v>99.840672970582915</v>
      </c>
      <c r="P19" s="25">
        <v>2002</v>
      </c>
      <c r="Q19" s="24">
        <f>B26*SUM('Escapement Age'!AD26:AF26)+C26*SUM('Escapement Age'!AD26:AF26)</f>
        <v>37.288518469088736</v>
      </c>
      <c r="R19" s="25">
        <v>2003</v>
      </c>
      <c r="S19" s="24">
        <f>B27*SUM('Escapement Age'!AG27)+C27*SUM('Escapement Age'!AG27)</f>
        <v>0</v>
      </c>
      <c r="U19" s="21">
        <f t="shared" si="1"/>
        <v>34.797618320235898</v>
      </c>
      <c r="V19" s="21">
        <f t="shared" si="2"/>
        <v>3.7519710718441899</v>
      </c>
      <c r="X19" s="18"/>
      <c r="Y19" s="18"/>
      <c r="Z19" s="18"/>
    </row>
    <row r="20" spans="1:30" x14ac:dyDescent="0.3">
      <c r="A20" s="17">
        <v>1996</v>
      </c>
      <c r="B20" s="11">
        <f>'Summary Data'!C20</f>
        <v>19209.334767083867</v>
      </c>
      <c r="C20" s="11">
        <f>'Summary Data'!H20</f>
        <v>5683</v>
      </c>
      <c r="D20" s="11">
        <f t="shared" si="3"/>
        <v>24892.334767083867</v>
      </c>
      <c r="E20" s="11">
        <f t="shared" si="0"/>
        <v>7433.8898524219385</v>
      </c>
      <c r="F20" s="119">
        <f t="shared" si="4"/>
        <v>0.3869936123535247</v>
      </c>
      <c r="G20" s="219">
        <f t="shared" si="5"/>
        <v>-0.94934709163502107</v>
      </c>
      <c r="H20" s="25">
        <v>1999</v>
      </c>
      <c r="I20" s="24">
        <f>B23*SUM('Escapement Age'!S23:T23)+C23*'Escapement Age'!S23</f>
        <v>130.8121655801767</v>
      </c>
      <c r="J20" s="25">
        <v>2000</v>
      </c>
      <c r="K20" s="24">
        <f>B24*SUM('Escapement Age'!U24:W24)+C24*SUM('Escapement Age'!U24:V24)</f>
        <v>1038.7975001195587</v>
      </c>
      <c r="L20" s="25">
        <v>2001</v>
      </c>
      <c r="M20" s="24">
        <f>B25*SUM('Escapement Age'!X25:Z25)+C25*SUM('Escapement Age'!X25:Y25)</f>
        <v>3509.8825125984531</v>
      </c>
      <c r="N20" s="25">
        <v>2002</v>
      </c>
      <c r="O20" s="24">
        <f>B26*SUM('Escapement Age'!AA26:AC26)+'Run Reconstruction 1'!C26*SUM('Escapement Age'!AA26:AC26)</f>
        <v>2672.3438236180264</v>
      </c>
      <c r="P20" s="25">
        <v>2003</v>
      </c>
      <c r="Q20" s="24">
        <f>B27*SUM('Escapement Age'!AD27:AF27)+C27*SUM('Escapement Age'!AD27:AF27)</f>
        <v>82.053850505723574</v>
      </c>
      <c r="R20" s="25">
        <v>2004</v>
      </c>
      <c r="S20" s="24">
        <f>B28*SUM('Escapement Age'!AG28)+C28*SUM('Escapement Age'!AG28)</f>
        <v>0</v>
      </c>
      <c r="U20" s="21">
        <f t="shared" si="1"/>
        <v>19.209334767083867</v>
      </c>
      <c r="V20" s="21">
        <f t="shared" si="2"/>
        <v>7.4338898524219381</v>
      </c>
      <c r="X20" s="18"/>
      <c r="Y20" s="18"/>
      <c r="Z20" s="18"/>
    </row>
    <row r="21" spans="1:30" x14ac:dyDescent="0.3">
      <c r="A21" s="17">
        <v>1997</v>
      </c>
      <c r="B21" s="11">
        <f>'Summary Data'!C21</f>
        <v>28898.406062239013</v>
      </c>
      <c r="C21" s="11">
        <f>'Summary Data'!H21</f>
        <v>9256</v>
      </c>
      <c r="D21" s="11">
        <f t="shared" si="3"/>
        <v>38154.40606223901</v>
      </c>
      <c r="E21" s="11">
        <f t="shared" si="0"/>
        <v>27191.066734719851</v>
      </c>
      <c r="F21" s="119">
        <f t="shared" si="4"/>
        <v>0.94091925610561233</v>
      </c>
      <c r="G21" s="219">
        <f t="shared" si="5"/>
        <v>-6.0897949554844968E-2</v>
      </c>
      <c r="H21" s="25">
        <v>2000</v>
      </c>
      <c r="I21" s="24">
        <f>B24*SUM('Escapement Age'!S24:T24)+C24*'Escapement Age'!S24</f>
        <v>80.035035345185264</v>
      </c>
      <c r="J21" s="25">
        <v>2001</v>
      </c>
      <c r="K21" s="24">
        <f>B25*SUM('Escapement Age'!U25:W25)+C25*SUM('Escapement Age'!U25:V25)</f>
        <v>1283.2942828084099</v>
      </c>
      <c r="L21" s="25">
        <v>2002</v>
      </c>
      <c r="M21" s="24">
        <f>B26*SUM('Escapement Age'!X26:Z26)+C26*SUM('Escapement Age'!X26:Y26)</f>
        <v>13150.417513431961</v>
      </c>
      <c r="N21" s="25">
        <v>2003</v>
      </c>
      <c r="O21" s="24">
        <f>B27*SUM('Escapement Age'!AA27:AC27)+'Run Reconstruction 1'!C27*SUM('Escapement Age'!AA27:AC27)</f>
        <v>12677.319903134294</v>
      </c>
      <c r="P21" s="25">
        <v>2004</v>
      </c>
      <c r="Q21" s="24">
        <f>B28*SUM('Escapement Age'!AD28:AF28)+C28*SUM('Escapement Age'!AD28:AF28)</f>
        <v>0</v>
      </c>
      <c r="R21" s="25">
        <v>2005</v>
      </c>
      <c r="S21" s="24">
        <f>B29*SUM('Escapement Age'!AG29)+C29*SUM('Escapement Age'!AG29)</f>
        <v>0</v>
      </c>
      <c r="U21" s="21">
        <f t="shared" si="1"/>
        <v>28.898406062239012</v>
      </c>
      <c r="V21" s="21">
        <f t="shared" si="2"/>
        <v>27.19106673471985</v>
      </c>
      <c r="X21" s="18"/>
      <c r="Y21" s="18"/>
      <c r="Z21" s="18"/>
    </row>
    <row r="22" spans="1:30" x14ac:dyDescent="0.3">
      <c r="A22" s="17">
        <v>1998</v>
      </c>
      <c r="B22" s="13">
        <f>D22-C22</f>
        <v>35267.524024574981</v>
      </c>
      <c r="C22" s="11">
        <f>'Summary Data'!H22</f>
        <v>8934</v>
      </c>
      <c r="D22" s="13">
        <f>SUM(I19,K18,M17,O16,Q15,S14)</f>
        <v>44201.524024574981</v>
      </c>
      <c r="E22" s="11">
        <f t="shared" si="0"/>
        <v>81474.62912718326</v>
      </c>
      <c r="F22" s="119">
        <f t="shared" si="4"/>
        <v>2.3101885199088663</v>
      </c>
      <c r="G22" s="40">
        <f t="shared" si="5"/>
        <v>0.83732913155391731</v>
      </c>
      <c r="H22" s="25">
        <v>2001</v>
      </c>
      <c r="I22" s="24">
        <f>B25*SUM('Escapement Age'!S25:T25)+C25*'Escapement Age'!S25</f>
        <v>137.02822730951218</v>
      </c>
      <c r="J22" s="25">
        <v>2002</v>
      </c>
      <c r="K22" s="24">
        <f>B26*SUM('Escapement Age'!U26:W26)+C26*SUM('Escapement Age'!U26:V26)</f>
        <v>10737.668081643276</v>
      </c>
      <c r="L22" s="25">
        <v>2003</v>
      </c>
      <c r="M22" s="24">
        <f>B27*SUM('Escapement Age'!X27:Z27)+C27*SUM('Escapement Age'!X27:Y27)</f>
        <v>64699.461123763052</v>
      </c>
      <c r="N22" s="25">
        <v>2004</v>
      </c>
      <c r="O22" s="24">
        <f>B28*SUM('Escapement Age'!AA28:AC28)+'Run Reconstruction 1'!C28*SUM('Escapement Age'!AA28:AC28)</f>
        <v>5838.8078036837833</v>
      </c>
      <c r="P22" s="25">
        <v>2005</v>
      </c>
      <c r="Q22" s="24">
        <f>B29*SUM('Escapement Age'!AD29:AF29)+C29*SUM('Escapement Age'!AD29:AF29)</f>
        <v>61.663890783627785</v>
      </c>
      <c r="R22" s="25">
        <v>2006</v>
      </c>
      <c r="S22" s="24">
        <f>B30*SUM('Escapement Age'!AG30)+C30*SUM('Escapement Age'!AG30)</f>
        <v>0</v>
      </c>
      <c r="U22" s="21">
        <f t="shared" si="1"/>
        <v>35.267524024574982</v>
      </c>
      <c r="V22" s="21">
        <f t="shared" si="2"/>
        <v>81.474629127183263</v>
      </c>
      <c r="X22" s="18"/>
      <c r="Y22" s="18"/>
      <c r="Z22" s="18"/>
    </row>
    <row r="23" spans="1:30" x14ac:dyDescent="0.3">
      <c r="A23" s="17">
        <v>1999</v>
      </c>
      <c r="B23" s="11">
        <f>'Summary Data'!C23</f>
        <v>57753.571103648006</v>
      </c>
      <c r="C23" s="11">
        <f>'Summary Data'!H23</f>
        <v>12694</v>
      </c>
      <c r="D23" s="11">
        <f t="shared" si="3"/>
        <v>70447.571103648006</v>
      </c>
      <c r="E23" s="11">
        <f t="shared" si="0"/>
        <v>62003.178240850131</v>
      </c>
      <c r="F23" s="119">
        <f t="shared" si="4"/>
        <v>1.0735817206796707</v>
      </c>
      <c r="G23" s="40">
        <f t="shared" si="5"/>
        <v>7.1000460897775952E-2</v>
      </c>
      <c r="H23" s="25">
        <v>2002</v>
      </c>
      <c r="I23" s="24">
        <f>B26*SUM('Escapement Age'!S26:T26)+C26*'Escapement Age'!S26</f>
        <v>44.71150086030719</v>
      </c>
      <c r="J23" s="25">
        <v>2003</v>
      </c>
      <c r="K23" s="24">
        <f>B27*SUM('Escapement Age'!U27:W27)+C27*SUM('Escapement Age'!U27:V27)</f>
        <v>4370.6275066781272</v>
      </c>
      <c r="L23" s="25">
        <v>2004</v>
      </c>
      <c r="M23" s="24">
        <f>B28*SUM('Escapement Age'!X28:Z28)+C28*SUM('Escapement Age'!X28:Y28)</f>
        <v>51452.28210034073</v>
      </c>
      <c r="N23" s="25">
        <v>2005</v>
      </c>
      <c r="O23" s="24">
        <f>B29*SUM('Escapement Age'!AA29:AC29)+'Run Reconstruction 1'!C29*SUM('Escapement Age'!AA29:AC29)</f>
        <v>6135.5571329709655</v>
      </c>
      <c r="P23" s="25">
        <v>2006</v>
      </c>
      <c r="Q23" s="24">
        <f>B30*SUM('Escapement Age'!AD30:AF30)+C30*SUM('Escapement Age'!AD30:AF30)</f>
        <v>0</v>
      </c>
      <c r="R23" s="25">
        <v>2007</v>
      </c>
      <c r="S23" s="24">
        <f>B31*SUM('Escapement Age'!AG31)+C31*SUM('Escapement Age'!AG31)</f>
        <v>0</v>
      </c>
      <c r="U23" s="21">
        <f t="shared" si="1"/>
        <v>57.753571103648007</v>
      </c>
      <c r="V23" s="21">
        <f t="shared" si="2"/>
        <v>62.003178240850133</v>
      </c>
      <c r="X23" s="18"/>
      <c r="Y23" s="18"/>
      <c r="Z23" s="18"/>
    </row>
    <row r="24" spans="1:30" ht="15" thickBot="1" x14ac:dyDescent="0.35">
      <c r="A24" s="17">
        <v>2000</v>
      </c>
      <c r="B24" s="11">
        <f>'Summary Data'!C24</f>
        <v>3032.1982934523489</v>
      </c>
      <c r="C24" s="11">
        <f>'Summary Data'!H24</f>
        <v>809</v>
      </c>
      <c r="D24" s="11">
        <f t="shared" si="3"/>
        <v>3841.1982934523489</v>
      </c>
      <c r="E24" s="11">
        <f t="shared" si="0"/>
        <v>90543.46945646884</v>
      </c>
      <c r="F24" s="119">
        <f t="shared" si="4"/>
        <v>29.860668958222846</v>
      </c>
      <c r="G24" s="40">
        <f t="shared" si="5"/>
        <v>3.3965421950155843</v>
      </c>
      <c r="H24" s="25">
        <v>2003</v>
      </c>
      <c r="I24" s="24">
        <f>B27*SUM('Escapement Age'!S27:T27)+C27*'Escapement Age'!S27</f>
        <v>34.998883189767149</v>
      </c>
      <c r="J24" s="25">
        <v>2004</v>
      </c>
      <c r="K24" s="24">
        <f>B28*SUM('Escapement Age'!U28:W28)+C28*SUM('Escapement Age'!U28:V28)</f>
        <v>31827.453106064524</v>
      </c>
      <c r="L24" s="25">
        <v>2005</v>
      </c>
      <c r="M24" s="24">
        <f>B29*SUM('Escapement Age'!X29:Z29)+C29*SUM('Escapement Age'!X29:Y29)</f>
        <v>46124.590306153594</v>
      </c>
      <c r="N24" s="25">
        <v>2006</v>
      </c>
      <c r="O24" s="24">
        <f>B30*SUM('Escapement Age'!AA30:AC30)+'Run Reconstruction 1'!C30*SUM('Escapement Age'!AA30:AC30)</f>
        <v>12377.08793478919</v>
      </c>
      <c r="P24" s="25">
        <v>2007</v>
      </c>
      <c r="Q24" s="24">
        <f>B31*SUM('Escapement Age'!AD31:AF31)+C31*SUM('Escapement Age'!AD31:AF31)</f>
        <v>179.33922627177168</v>
      </c>
      <c r="R24" s="25">
        <v>2008</v>
      </c>
      <c r="S24" s="24">
        <f>B32*SUM('Escapement Age'!AG32)+C32*SUM('Escapement Age'!AG32)</f>
        <v>0</v>
      </c>
      <c r="U24" s="21">
        <f t="shared" si="1"/>
        <v>3.0321982934523488</v>
      </c>
      <c r="V24" s="21">
        <f t="shared" si="2"/>
        <v>90.543469456468841</v>
      </c>
      <c r="X24" s="18"/>
      <c r="Y24" s="18"/>
      <c r="Z24" s="48"/>
      <c r="AA24" s="48" t="s">
        <v>68</v>
      </c>
      <c r="AB24" s="52"/>
      <c r="AC24" s="48"/>
    </row>
    <row r="25" spans="1:30" x14ac:dyDescent="0.3">
      <c r="A25" s="17">
        <v>2001</v>
      </c>
      <c r="B25" s="11">
        <f>'Summary Data'!C25</f>
        <v>3666.9945177828154</v>
      </c>
      <c r="C25" s="11">
        <f>'Summary Data'!H25</f>
        <v>1454</v>
      </c>
      <c r="D25" s="11">
        <f t="shared" si="3"/>
        <v>5120.9945177828158</v>
      </c>
      <c r="E25" s="11">
        <f t="shared" si="0"/>
        <v>74923.083177855151</v>
      </c>
      <c r="F25" s="119">
        <f t="shared" si="4"/>
        <v>20.431741256912513</v>
      </c>
      <c r="G25" s="40">
        <f t="shared" si="5"/>
        <v>3.0170896355898207</v>
      </c>
      <c r="H25" s="25">
        <v>2004</v>
      </c>
      <c r="I25" s="24">
        <f>B28*SUM('Escapement Age'!S28:T28)+C28*'Escapement Age'!S28</f>
        <v>848.70794385087186</v>
      </c>
      <c r="J25" s="25">
        <v>2005</v>
      </c>
      <c r="K25" s="24">
        <f>B29*SUM('Escapement Age'!U29:W29)+C29*SUM('Escapement Age'!U29:V29)</f>
        <v>18474.486094570457</v>
      </c>
      <c r="L25" s="25">
        <v>2006</v>
      </c>
      <c r="M25" s="24">
        <f>B30*SUM('Escapement Age'!X30:Z30)+C30*SUM('Escapement Age'!X30:Y30)</f>
        <v>44609.087764969365</v>
      </c>
      <c r="N25" s="25">
        <v>2007</v>
      </c>
      <c r="O25" s="24">
        <f>B31*SUM('Escapement Age'!AA31:AC31)+'Run Reconstruction 1'!C31*SUM('Escapement Age'!AA31:AC31)</f>
        <v>10939.692802578073</v>
      </c>
      <c r="P25" s="25">
        <v>2008</v>
      </c>
      <c r="Q25" s="24">
        <f>B32*SUM('Escapement Age'!AD32:AF32)+C32*SUM('Escapement Age'!AD32:AF32)</f>
        <v>51.108571886382904</v>
      </c>
      <c r="R25" s="25">
        <v>2009</v>
      </c>
      <c r="S25" s="24">
        <f>B33*SUM('Escapement Age'!AG33)+C33*SUM('Escapement Age'!AG33)</f>
        <v>0</v>
      </c>
      <c r="U25" s="21">
        <f t="shared" si="1"/>
        <v>3.6669945177828152</v>
      </c>
      <c r="V25" s="21">
        <f t="shared" si="2"/>
        <v>74.923083177855148</v>
      </c>
      <c r="X25" s="18"/>
      <c r="Y25" s="18" t="s">
        <v>79</v>
      </c>
      <c r="Z25" s="49" t="s">
        <v>69</v>
      </c>
      <c r="AA25" s="56">
        <f t="array" ref="AA25:AB29">LINEST(G6:G37,B6:B37,1,1)</f>
        <v>-4.0698177700038246E-5</v>
      </c>
      <c r="AB25" s="54">
        <v>1.6827988489876562</v>
      </c>
      <c r="AC25" s="48" t="s">
        <v>70</v>
      </c>
      <c r="AD25" s="12" t="s">
        <v>78</v>
      </c>
    </row>
    <row r="26" spans="1:30" x14ac:dyDescent="0.3">
      <c r="A26" s="17">
        <v>2002</v>
      </c>
      <c r="B26" s="11">
        <f>'Summary Data'!C26</f>
        <v>23987.72021155481</v>
      </c>
      <c r="C26" s="11">
        <f>'Summary Data'!H26</f>
        <v>2686</v>
      </c>
      <c r="D26" s="11">
        <f t="shared" si="3"/>
        <v>26673.72021155481</v>
      </c>
      <c r="E26" s="11">
        <f t="shared" si="0"/>
        <v>142828.13952400893</v>
      </c>
      <c r="F26" s="119">
        <f t="shared" si="4"/>
        <v>5.954219003071791</v>
      </c>
      <c r="G26" s="40">
        <f t="shared" si="5"/>
        <v>1.7841000444283426</v>
      </c>
      <c r="H26" s="25">
        <v>2005</v>
      </c>
      <c r="I26" s="24">
        <f>B29*SUM('Escapement Age'!S29:T29)+C29*'Escapement Age'!S29</f>
        <v>1307.2713404313142</v>
      </c>
      <c r="J26" s="25">
        <v>2006</v>
      </c>
      <c r="K26" s="24">
        <f>B30*SUM('Escapement Age'!U30:W30)+C30*SUM('Escapement Age'!U30:V30)</f>
        <v>72199.679619603601</v>
      </c>
      <c r="L26" s="25">
        <v>2007</v>
      </c>
      <c r="M26" s="24">
        <f>B31*SUM('Escapement Age'!X31:Z31)+C31*SUM('Escapement Age'!X31:Y31)</f>
        <v>66893.531399370841</v>
      </c>
      <c r="N26" s="25">
        <v>2008</v>
      </c>
      <c r="O26" s="24">
        <f>B32*SUM('Escapement Age'!AA32:AC32)+'Run Reconstruction 1'!C32*SUM('Escapement Age'!AA32:AC32)</f>
        <v>2427.657164603188</v>
      </c>
      <c r="P26" s="25">
        <v>2009</v>
      </c>
      <c r="Q26" s="24">
        <f>B33*SUM('Escapement Age'!AD33:AF33)+C33*SUM('Escapement Age'!AD33:AF33)</f>
        <v>0</v>
      </c>
      <c r="R26" s="25">
        <v>2010</v>
      </c>
      <c r="S26" s="24">
        <f>B34*SUM('Escapement Age'!AG34)+C34*SUM('Escapement Age'!AG34)</f>
        <v>0</v>
      </c>
      <c r="U26" s="21">
        <f t="shared" si="1"/>
        <v>23.987720211554809</v>
      </c>
      <c r="V26" s="21">
        <f t="shared" si="2"/>
        <v>142.82813952400895</v>
      </c>
      <c r="X26" s="18"/>
      <c r="Y26" s="18"/>
      <c r="Z26" s="49" t="s">
        <v>71</v>
      </c>
      <c r="AA26" s="51">
        <v>6.6787218750988182E-6</v>
      </c>
      <c r="AB26" s="58">
        <v>0.27564259652961198</v>
      </c>
      <c r="AC26" s="48" t="s">
        <v>71</v>
      </c>
    </row>
    <row r="27" spans="1:30" x14ac:dyDescent="0.3">
      <c r="A27" s="17">
        <v>2003</v>
      </c>
      <c r="B27" s="11">
        <f>'Summary Data'!C27</f>
        <v>69892.769729965003</v>
      </c>
      <c r="C27" s="11">
        <f>'Summary Data'!H27</f>
        <v>12038</v>
      </c>
      <c r="D27" s="11">
        <f t="shared" si="3"/>
        <v>81930.769729965003</v>
      </c>
      <c r="E27" s="11">
        <f t="shared" si="0"/>
        <v>12287.441047702092</v>
      </c>
      <c r="F27" s="119">
        <f t="shared" si="4"/>
        <v>0.17580417967660136</v>
      </c>
      <c r="G27" s="219">
        <f t="shared" si="5"/>
        <v>-1.738384518833928</v>
      </c>
      <c r="H27" s="25">
        <v>2006</v>
      </c>
      <c r="I27" s="24">
        <f>B30*SUM('Escapement Age'!S30:T30)+C30*'Escapement Age'!S30</f>
        <v>0</v>
      </c>
      <c r="J27" s="25">
        <v>2007</v>
      </c>
      <c r="K27" s="24">
        <f>B31*SUM('Escapement Age'!U31:W31)+C31*SUM('Escapement Age'!U31:V31)</f>
        <v>4662.819883066064</v>
      </c>
      <c r="L27" s="25">
        <v>2008</v>
      </c>
      <c r="M27" s="24">
        <f>B32*SUM('Escapement Age'!X32:Z32)+C32*SUM('Escapement Age'!X32:Y32)</f>
        <v>7206.308635979989</v>
      </c>
      <c r="N27" s="25">
        <v>2009</v>
      </c>
      <c r="O27" s="24">
        <f>B33*SUM('Escapement Age'!AA33:AC33)+'Run Reconstruction 1'!C33*SUM('Escapement Age'!AA33:AC33)</f>
        <v>418.31252865603904</v>
      </c>
      <c r="P27" s="25">
        <v>2010</v>
      </c>
      <c r="Q27" s="24">
        <f>B34*SUM('Escapement Age'!AD34:AF34)+C34*SUM('Escapement Age'!AD34:AF34)</f>
        <v>0</v>
      </c>
      <c r="R27" s="25">
        <v>2011</v>
      </c>
      <c r="S27" s="24">
        <f>B35*SUM('Escapement Age'!AG35)+C35*SUM('Escapement Age'!AG35)</f>
        <v>0</v>
      </c>
      <c r="U27" s="21">
        <f t="shared" si="1"/>
        <v>69.892769729964996</v>
      </c>
      <c r="V27" s="21">
        <f t="shared" si="2"/>
        <v>12.287441047702092</v>
      </c>
      <c r="X27" s="18"/>
      <c r="Y27" s="18"/>
      <c r="Z27" s="49" t="s">
        <v>72</v>
      </c>
      <c r="AA27" s="55">
        <v>0.55312769044150645</v>
      </c>
      <c r="AB27" s="58">
        <v>0.98895757722407207</v>
      </c>
      <c r="AC27" s="48" t="s">
        <v>73</v>
      </c>
      <c r="AD27" s="12" t="s">
        <v>80</v>
      </c>
    </row>
    <row r="28" spans="1:30" x14ac:dyDescent="0.3">
      <c r="A28" s="17">
        <v>2004</v>
      </c>
      <c r="B28" s="11">
        <f>'Summary Data'!C28</f>
        <v>77262.733888424016</v>
      </c>
      <c r="C28" s="11">
        <f>'Summary Data'!H28</f>
        <v>12938</v>
      </c>
      <c r="D28" s="11">
        <f t="shared" si="3"/>
        <v>90200.733888424016</v>
      </c>
      <c r="E28" s="11">
        <f t="shared" si="0"/>
        <v>17135.228086591396</v>
      </c>
      <c r="F28" s="119">
        <f t="shared" si="4"/>
        <v>0.22177869231674577</v>
      </c>
      <c r="G28" s="219">
        <f t="shared" si="5"/>
        <v>-1.506075275782748</v>
      </c>
      <c r="H28" s="25">
        <v>2007</v>
      </c>
      <c r="I28" s="24">
        <f>B31*SUM('Escapement Age'!S31:T31)+C31*'Escapement Age'!S31</f>
        <v>0</v>
      </c>
      <c r="J28" s="25">
        <v>2008</v>
      </c>
      <c r="K28" s="24">
        <f>B32*SUM('Escapement Age'!U32:W32)+C32*SUM('Escapement Age'!U32:V32)</f>
        <v>1765.7622842282342</v>
      </c>
      <c r="L28" s="25">
        <v>2009</v>
      </c>
      <c r="M28" s="24">
        <f>B33*SUM('Escapement Age'!X33:Z33)+C33*SUM('Escapement Age'!X33:Y33)</f>
        <v>11873.640236467567</v>
      </c>
      <c r="N28" s="25">
        <v>2010</v>
      </c>
      <c r="O28" s="24">
        <f>B34*SUM('Escapement Age'!AA34:AC34)+'Run Reconstruction 1'!C34*SUM('Escapement Age'!AA34:AC34)</f>
        <v>3495.8255658955941</v>
      </c>
      <c r="P28" s="25">
        <v>2011</v>
      </c>
      <c r="Q28" s="24">
        <f>B35*SUM('Escapement Age'!AD35:AF35)+C35*SUM('Escapement Age'!AD35:AF35)</f>
        <v>0</v>
      </c>
      <c r="R28" s="25">
        <v>2012</v>
      </c>
      <c r="S28" s="24">
        <f>B36*SUM('Escapement Age'!AG36)+C36*SUM('Escapement Age'!AG36)</f>
        <v>0</v>
      </c>
      <c r="U28" s="21">
        <f t="shared" si="1"/>
        <v>77.262733888424023</v>
      </c>
      <c r="V28" s="21">
        <f t="shared" si="2"/>
        <v>17.135228086591397</v>
      </c>
      <c r="Z28" s="49" t="s">
        <v>74</v>
      </c>
      <c r="AA28" s="55">
        <v>37.133271313319405</v>
      </c>
      <c r="AB28" s="53">
        <v>30</v>
      </c>
      <c r="AC28" s="48" t="s">
        <v>75</v>
      </c>
    </row>
    <row r="29" spans="1:30" ht="15" thickBot="1" x14ac:dyDescent="0.35">
      <c r="A29" s="17">
        <v>2005</v>
      </c>
      <c r="B29" s="11">
        <f>'Summary Data'!C29</f>
        <v>65653.382797031678</v>
      </c>
      <c r="C29" s="11">
        <f>'Summary Data'!H29</f>
        <v>7295</v>
      </c>
      <c r="D29" s="11">
        <f t="shared" si="3"/>
        <v>72948.382797031678</v>
      </c>
      <c r="E29" s="11">
        <f t="shared" ref="E29:E33" si="6">SUM(I29,K29,M29,O29,Q29,S29)</f>
        <v>10064.964505566293</v>
      </c>
      <c r="F29" s="119">
        <f t="shared" ref="F29:F30" si="7">E29/B29</f>
        <v>0.15330458350763534</v>
      </c>
      <c r="G29" s="219">
        <f t="shared" ref="G29:G30" si="8">LN(F29)</f>
        <v>-1.8753285946104632</v>
      </c>
      <c r="H29" s="25">
        <v>2008</v>
      </c>
      <c r="I29" s="24">
        <f>B32*SUM('Escapement Age'!S32:T32)+C32*'Escapement Age'!S32</f>
        <v>22.314818093967506</v>
      </c>
      <c r="J29" s="25">
        <v>2009</v>
      </c>
      <c r="K29" s="24">
        <f>B33*SUM('Escapement Age'!U33:W33)+C33*SUM('Escapement Age'!U33:V33)</f>
        <v>1619.3294097783412</v>
      </c>
      <c r="L29" s="25">
        <v>2010</v>
      </c>
      <c r="M29" s="24">
        <f>B34*SUM('Escapement Age'!X34:Z34)+C34*SUM('Escapement Age'!X34:Y34)</f>
        <v>4827.568638617724</v>
      </c>
      <c r="N29" s="25">
        <v>2011</v>
      </c>
      <c r="O29" s="24">
        <f>B35*SUM('Escapement Age'!AA35:AC35)+'Run Reconstruction 1'!C35*SUM('Escapement Age'!AA35:AC35)</f>
        <v>3595.7516390762598</v>
      </c>
      <c r="P29" s="25">
        <v>2012</v>
      </c>
      <c r="Q29" s="24">
        <f>B36*SUM('Escapement Age'!AD36:AF36)+C36*SUM('Escapement Age'!AD36:AF36)</f>
        <v>0</v>
      </c>
      <c r="R29" s="25">
        <v>2013</v>
      </c>
      <c r="S29" s="24">
        <f>B37*SUM('Escapement Age'!AG37)+C37*SUM('Escapement Age'!AG37)</f>
        <v>0</v>
      </c>
      <c r="U29" s="21">
        <f t="shared" si="1"/>
        <v>65.653382797031682</v>
      </c>
      <c r="V29" s="21">
        <f t="shared" si="2"/>
        <v>10.064964505566293</v>
      </c>
      <c r="Z29" s="49" t="s">
        <v>76</v>
      </c>
      <c r="AA29" s="50">
        <v>36.317716600708806</v>
      </c>
      <c r="AB29" s="57">
        <v>29.341112686467195</v>
      </c>
      <c r="AC29" s="48" t="s">
        <v>77</v>
      </c>
    </row>
    <row r="30" spans="1:30" x14ac:dyDescent="0.3">
      <c r="A30" s="17">
        <v>2006</v>
      </c>
      <c r="B30" s="11">
        <f>'Summary Data'!C30</f>
        <v>103952.85531936215</v>
      </c>
      <c r="C30" s="11">
        <f>'Summary Data'!H30</f>
        <v>25233</v>
      </c>
      <c r="D30" s="11">
        <f t="shared" si="3"/>
        <v>129185.85531936215</v>
      </c>
      <c r="E30" s="11">
        <f t="shared" si="6"/>
        <v>29816.498355008753</v>
      </c>
      <c r="F30" s="119">
        <f t="shared" si="7"/>
        <v>0.28682712238549896</v>
      </c>
      <c r="G30" s="219">
        <f t="shared" si="8"/>
        <v>-1.2488756057409411</v>
      </c>
      <c r="H30" s="25">
        <v>2009</v>
      </c>
      <c r="I30" s="24">
        <f>B33*SUM('Escapement Age'!S33:T33)+C33*'Escapement Age'!S33</f>
        <v>553.68989498421456</v>
      </c>
      <c r="J30" s="25">
        <v>2010</v>
      </c>
      <c r="K30" s="24">
        <f>B34*SUM('Escapement Age'!U34:W34)+C34*SUM('Escapement Age'!U34:V34)</f>
        <v>11835.86354555519</v>
      </c>
      <c r="L30" s="25">
        <v>2011</v>
      </c>
      <c r="M30" s="24">
        <f>B35*SUM('Escapement Age'!X35:Z35)+C35*SUM('Escapement Age'!X35:Y35)</f>
        <v>15461.73204802792</v>
      </c>
      <c r="N30" s="25">
        <v>2012</v>
      </c>
      <c r="O30" s="24">
        <f>B36*SUM('Escapement Age'!AA36:AC36)+'Run Reconstruction 1'!C36*SUM('Escapement Age'!AA36:AC36)</f>
        <v>1965.2128664414308</v>
      </c>
      <c r="P30" s="25">
        <v>2013</v>
      </c>
      <c r="Q30" s="24">
        <f>B37*SUM('Escapement Age'!AD37:AF37)+C37*SUM('Escapement Age'!AD37:AF37)</f>
        <v>0</v>
      </c>
      <c r="R30" s="25">
        <v>2014</v>
      </c>
      <c r="S30" s="24">
        <f>B38*SUM('Escapement Age'!AG38)+C38*SUM('Escapement Age'!AG38)</f>
        <v>0</v>
      </c>
      <c r="U30" s="21">
        <f t="shared" si="1"/>
        <v>103.95285531936214</v>
      </c>
      <c r="V30" s="21">
        <f t="shared" si="2"/>
        <v>29.816498355008754</v>
      </c>
      <c r="Z30" s="52"/>
      <c r="AA30" s="47"/>
      <c r="AB30" s="52"/>
      <c r="AC30" s="52"/>
    </row>
    <row r="31" spans="1:30" x14ac:dyDescent="0.3">
      <c r="A31" s="17">
        <v>2007</v>
      </c>
      <c r="B31" s="11">
        <f>'Summary Data'!C31</f>
        <v>66938.383311286743</v>
      </c>
      <c r="C31" s="11">
        <f>'Summary Data'!H31</f>
        <v>15737</v>
      </c>
      <c r="D31" s="11">
        <f t="shared" si="3"/>
        <v>82675.383311286743</v>
      </c>
      <c r="E31" s="11">
        <f t="shared" si="6"/>
        <v>29874.618392283341</v>
      </c>
      <c r="F31" s="119">
        <f t="shared" ref="F31:F33" si="9">E31/B31</f>
        <v>0.44630026771569886</v>
      </c>
      <c r="G31" s="219">
        <f t="shared" ref="G31:G33" si="10">LN(F31)</f>
        <v>-0.80676330749116876</v>
      </c>
      <c r="H31" s="25">
        <v>2010</v>
      </c>
      <c r="I31" s="24">
        <f>B34*SUM('Escapement Age'!S34:T34)+C34*'Escapement Age'!S34</f>
        <v>0</v>
      </c>
      <c r="J31" s="25">
        <v>2011</v>
      </c>
      <c r="K31" s="24">
        <f>B35*SUM('Escapement Age'!U35:W35)+C35*SUM('Escapement Age'!U35:V35)</f>
        <v>3348.4318010195798</v>
      </c>
      <c r="L31" s="25">
        <v>2012</v>
      </c>
      <c r="M31" s="24">
        <f>B36*SUM('Escapement Age'!X36:Z36)+C36*SUM('Escapement Age'!X36:Y36)</f>
        <v>16949.960973057343</v>
      </c>
      <c r="N31" s="25">
        <v>2013</v>
      </c>
      <c r="O31" s="24">
        <f>B37*SUM('Escapement Age'!AA37:AC37)+'Run Reconstruction 1'!C37*SUM('Escapement Age'!AA37:AC37)</f>
        <v>9480.150242337264</v>
      </c>
      <c r="P31" s="25">
        <v>2014</v>
      </c>
      <c r="Q31" s="24">
        <f>B38*SUM('Escapement Age'!AD38:AF38)+C38*SUM('Escapement Age'!AD38:AF38)</f>
        <v>96.075375869154399</v>
      </c>
      <c r="R31" s="25">
        <v>2015</v>
      </c>
      <c r="S31" s="24">
        <f>B39*SUM('Escapement Age'!AG39)+C39*SUM('Escapement Age'!AG39)</f>
        <v>0</v>
      </c>
      <c r="U31" s="21">
        <f t="shared" si="1"/>
        <v>66.938383311286742</v>
      </c>
      <c r="V31" s="21">
        <f t="shared" si="2"/>
        <v>29.874618392283342</v>
      </c>
      <c r="AA31" s="15" t="s">
        <v>163</v>
      </c>
      <c r="AB31" s="15" t="s">
        <v>141</v>
      </c>
      <c r="AC31" s="15"/>
    </row>
    <row r="32" spans="1:30" x14ac:dyDescent="0.3">
      <c r="A32" s="17">
        <v>2008</v>
      </c>
      <c r="B32" s="11">
        <f>'Summary Data'!C32</f>
        <v>10063.982960379346</v>
      </c>
      <c r="C32" s="11">
        <f>'Summary Data'!H32</f>
        <v>1461</v>
      </c>
      <c r="D32" s="11">
        <f t="shared" si="3"/>
        <v>11524.982960379346</v>
      </c>
      <c r="E32" s="11">
        <f t="shared" si="6"/>
        <v>67741.006921964014</v>
      </c>
      <c r="F32" s="119">
        <f t="shared" si="9"/>
        <v>6.7310335469219256</v>
      </c>
      <c r="G32" s="40">
        <f t="shared" si="10"/>
        <v>1.9067287049593928</v>
      </c>
      <c r="H32" s="25">
        <v>2011</v>
      </c>
      <c r="I32" s="24">
        <f>B35*SUM('Escapement Age'!S35:T35)+C35*'Escapement Age'!S35</f>
        <v>2437.5422039992668</v>
      </c>
      <c r="J32" s="25">
        <v>2012</v>
      </c>
      <c r="K32" s="24">
        <f>B36*SUM('Escapement Age'!U36:W36)+C36*SUM('Escapement Age'!U36:V36)</f>
        <v>23899.734135707517</v>
      </c>
      <c r="L32" s="25">
        <v>2013</v>
      </c>
      <c r="M32" s="24">
        <f>B37*SUM('Escapement Age'!X37:Z37)+C37*SUM('Escapement Age'!X37:Y37)</f>
        <v>36407.811037061198</v>
      </c>
      <c r="N32" s="25">
        <v>2014</v>
      </c>
      <c r="O32" s="24">
        <f>B38*SUM('Escapement Age'!AA38:AC38)+'Run Reconstruction 1'!C38*SUM('Escapement Age'!AA38:AC38)</f>
        <v>4995.9195451960277</v>
      </c>
      <c r="P32" s="25">
        <v>2015</v>
      </c>
      <c r="Q32" s="24">
        <f>B39*SUM('Escapement Age'!AD39:AF39)+C39*SUM('Escapement Age'!AD39:AF39)</f>
        <v>0</v>
      </c>
      <c r="R32" s="25">
        <v>2016</v>
      </c>
      <c r="S32" s="24">
        <f>B40*SUM('Escapement Age'!AG40)+C40*SUM('Escapement Age'!AG40)</f>
        <v>0</v>
      </c>
      <c r="U32" s="21">
        <f t="shared" si="1"/>
        <v>10.063982960379345</v>
      </c>
      <c r="V32" s="21">
        <f t="shared" si="2"/>
        <v>67.741006921964015</v>
      </c>
      <c r="Z32" s="167" t="s">
        <v>87</v>
      </c>
      <c r="AA32" s="62">
        <f>AB25</f>
        <v>1.6827988489876562</v>
      </c>
      <c r="AB32" s="62">
        <v>1.5528305986240987</v>
      </c>
      <c r="AC32" s="141"/>
    </row>
    <row r="33" spans="1:31" x14ac:dyDescent="0.3">
      <c r="A33" s="17">
        <v>2009</v>
      </c>
      <c r="B33" s="11">
        <f>'Summary Data'!C33</f>
        <v>12568.76061614167</v>
      </c>
      <c r="C33" s="11">
        <f>'Summary Data'!H33</f>
        <v>2040</v>
      </c>
      <c r="D33" s="11">
        <f t="shared" si="3"/>
        <v>14608.76061614167</v>
      </c>
      <c r="E33" s="11">
        <f t="shared" si="6"/>
        <v>24216.492181962782</v>
      </c>
      <c r="F33" s="119">
        <f t="shared" si="9"/>
        <v>1.9267207739530254</v>
      </c>
      <c r="G33" s="40">
        <f t="shared" si="10"/>
        <v>0.65581947698846821</v>
      </c>
      <c r="H33" s="25">
        <v>2012</v>
      </c>
      <c r="I33" s="24">
        <f>B36*SUM('Escapement Age'!S36:T36)+C36*'Escapement Age'!S36</f>
        <v>3541.8578316145727</v>
      </c>
      <c r="J33" s="25">
        <v>2013</v>
      </c>
      <c r="K33" s="24">
        <f>B37*SUM('Escapement Age'!U37:W37)+C37*SUM('Escapement Age'!U37:V37)</f>
        <v>10109.023225231022</v>
      </c>
      <c r="L33" s="25">
        <v>2014</v>
      </c>
      <c r="M33" s="24">
        <f>B38*SUM('Escapement Age'!X38:Z38)+C38*SUM('Escapement Age'!X38:Y38)</f>
        <v>10376.140593868673</v>
      </c>
      <c r="N33" s="25">
        <v>2015</v>
      </c>
      <c r="O33" s="24">
        <f>B39*SUM('Escapement Age'!AA39:AC39)+'Run Reconstruction 1'!C39*SUM('Escapement Age'!AA39:AC39)</f>
        <v>189.47053124851311</v>
      </c>
      <c r="P33" s="25">
        <v>2016</v>
      </c>
      <c r="Q33" s="24">
        <f>B40*SUM('Escapement Age'!AD40:AF40)+C40*SUM('Escapement Age'!AD40:AF40)</f>
        <v>0</v>
      </c>
      <c r="R33" s="25">
        <v>2017</v>
      </c>
      <c r="S33" s="24">
        <f>B41*SUM('Escapement Age'!AG41)+C41*SUM('Escapement Age'!AG41)</f>
        <v>0</v>
      </c>
      <c r="U33" s="21">
        <f t="shared" si="1"/>
        <v>12.56876061614167</v>
      </c>
      <c r="V33" s="21">
        <f t="shared" si="2"/>
        <v>24.216492181962781</v>
      </c>
      <c r="Z33" s="167" t="s">
        <v>79</v>
      </c>
      <c r="AA33" s="139">
        <f>-AA25</f>
        <v>4.0698177700038246E-5</v>
      </c>
      <c r="AB33" s="12">
        <v>3.7985843935937399E-5</v>
      </c>
      <c r="AC33" s="169"/>
    </row>
    <row r="34" spans="1:31" x14ac:dyDescent="0.3">
      <c r="A34" s="17">
        <v>2010</v>
      </c>
      <c r="B34" s="11">
        <f>'Summary Data'!C34</f>
        <v>17156.230945944797</v>
      </c>
      <c r="C34" s="11">
        <f>'Summary Data'!H34</f>
        <v>3028</v>
      </c>
      <c r="D34" s="11">
        <f t="shared" si="3"/>
        <v>20184.230945944797</v>
      </c>
      <c r="E34" s="11">
        <f t="shared" ref="E34:E39" si="11">SUM(I34,K34,M34,O34,Q34,S34)</f>
        <v>17254.524568772544</v>
      </c>
      <c r="F34" s="119">
        <f t="shared" ref="F34:F36" si="12">E34/B34</f>
        <v>1.0057293249978649</v>
      </c>
      <c r="G34" s="219">
        <f t="shared" ref="G34:G36" si="13">LN(F34)</f>
        <v>5.712974835934621E-3</v>
      </c>
      <c r="H34" s="25">
        <v>2013</v>
      </c>
      <c r="I34" s="24">
        <f>B37*SUM('Escapement Age'!S37:T37)+C37*'Escapement Age'!S37</f>
        <v>1623.2371026370881</v>
      </c>
      <c r="J34" s="25">
        <v>2014</v>
      </c>
      <c r="K34" s="24">
        <f>B38*SUM('Escapement Age'!U38:W38)+C38*SUM('Escapement Age'!U38:V38)</f>
        <v>6179.8896040463187</v>
      </c>
      <c r="L34" s="25">
        <v>2015</v>
      </c>
      <c r="M34" s="24">
        <f>B39*SUM('Escapement Age'!X39:Z39)+C39*SUM('Escapement Age'!X39:Y39)</f>
        <v>8715.6444374316034</v>
      </c>
      <c r="N34" s="25">
        <v>2016</v>
      </c>
      <c r="O34" s="24">
        <f>B40*SUM('Escapement Age'!AA40:AC40)+'Run Reconstruction 1'!C40*SUM('Escapement Age'!AA40:AC40)</f>
        <v>735.7534246575342</v>
      </c>
      <c r="P34" s="25">
        <v>2017</v>
      </c>
      <c r="Q34" s="24">
        <f>B41*SUM('Escapement Age'!AD41:AF41)+C41*SUM('Escapement Age'!AD41:AF41)</f>
        <v>0</v>
      </c>
      <c r="R34" s="25">
        <v>2018</v>
      </c>
      <c r="S34" s="24">
        <f>B42*SUM('Escapement Age'!AG42)+C42*SUM('Escapement Age'!AG42)</f>
        <v>0</v>
      </c>
      <c r="U34" s="21">
        <f t="shared" si="1"/>
        <v>17.156230945944795</v>
      </c>
      <c r="V34" s="21">
        <f t="shared" si="2"/>
        <v>17.254524568772545</v>
      </c>
      <c r="Z34" s="167" t="s">
        <v>80</v>
      </c>
      <c r="AA34" s="62">
        <f>AB27</f>
        <v>0.98895757722407207</v>
      </c>
      <c r="AB34" s="62">
        <v>0.96204302581545487</v>
      </c>
      <c r="AC34" s="141"/>
    </row>
    <row r="35" spans="1:31" x14ac:dyDescent="0.3">
      <c r="A35" s="17">
        <v>2011</v>
      </c>
      <c r="B35" s="11">
        <f>'Summary Data'!C35</f>
        <v>22719.73299576675</v>
      </c>
      <c r="C35" s="11">
        <f>'Summary Data'!H35</f>
        <v>2656</v>
      </c>
      <c r="D35" s="11">
        <f t="shared" ref="D35:D39" si="14">SUM(B35:C35)</f>
        <v>25375.73299576675</v>
      </c>
      <c r="E35" s="11">
        <f t="shared" si="11"/>
        <v>25591.964130734821</v>
      </c>
      <c r="F35" s="119">
        <f t="shared" si="12"/>
        <v>1.1264201095806556</v>
      </c>
      <c r="G35" s="40">
        <f t="shared" si="13"/>
        <v>0.11904455922805954</v>
      </c>
      <c r="H35" s="25">
        <v>2014</v>
      </c>
      <c r="I35" s="24">
        <f>B38*SUM('Escapement Age'!S38:T38)+C38*'Escapement Age'!S38</f>
        <v>2837.3511744136345</v>
      </c>
      <c r="J35" s="25">
        <v>2015</v>
      </c>
      <c r="K35" s="24">
        <f>B39*SUM('Escapement Age'!U39:W39)+C39*SUM('Escapement Age'!U39:V39)</f>
        <v>6627.1179251323401</v>
      </c>
      <c r="L35" s="25">
        <v>2016</v>
      </c>
      <c r="M35" s="24">
        <f>B40*SUM('Escapement Age'!X40:Z40)+C40*SUM('Escapement Age'!X40:Y40)</f>
        <v>9722.455968688846</v>
      </c>
      <c r="N35" s="25">
        <v>2017</v>
      </c>
      <c r="O35" s="24">
        <f>B41*SUM('Escapement Age'!AA41:AC41)+'Run Reconstruction 1'!C41*SUM('Escapement Age'!AA41:AC41)</f>
        <v>6405.0390625</v>
      </c>
      <c r="P35" s="25">
        <v>2018</v>
      </c>
      <c r="Q35" s="24">
        <f>B42*SUM('Escapement Age'!AD42:AF42)+C42*SUM('Escapement Age'!AD42:AF42)</f>
        <v>0</v>
      </c>
      <c r="R35" s="25">
        <v>2019</v>
      </c>
      <c r="S35" s="26">
        <v>0</v>
      </c>
      <c r="U35" s="21">
        <f t="shared" ref="U35:U37" si="15">B35/1000</f>
        <v>22.719732995766751</v>
      </c>
      <c r="V35" s="21">
        <f t="shared" ref="V35:V37" si="16">E35/1000</f>
        <v>25.591964130734819</v>
      </c>
      <c r="Z35" s="167" t="s">
        <v>81</v>
      </c>
      <c r="AA35" s="62">
        <f>AA32+AA34^2/2</f>
        <v>2.1718173937621095</v>
      </c>
      <c r="AB35" s="62">
        <v>2.053196261801852</v>
      </c>
      <c r="AC35" s="62"/>
    </row>
    <row r="36" spans="1:31" x14ac:dyDescent="0.3">
      <c r="A36" s="17">
        <v>2012</v>
      </c>
      <c r="B36" s="11">
        <f>'Summary Data'!C36</f>
        <v>40943.876533464463</v>
      </c>
      <c r="C36" s="11">
        <f>'Summary Data'!H36</f>
        <v>6385</v>
      </c>
      <c r="D36" s="11">
        <f t="shared" si="14"/>
        <v>47328.876533464463</v>
      </c>
      <c r="E36" s="11">
        <f t="shared" si="11"/>
        <v>39575.911583536224</v>
      </c>
      <c r="F36" s="119">
        <f t="shared" si="12"/>
        <v>0.96658926643621135</v>
      </c>
      <c r="G36" s="219">
        <f t="shared" si="13"/>
        <v>-3.3981624085310476E-2</v>
      </c>
      <c r="H36" s="25">
        <v>2015</v>
      </c>
      <c r="I36" s="24">
        <f>B39*SUM('Escapement Age'!S39:T39)+C39*'Escapement Age'!S39</f>
        <v>1537.7442723025902</v>
      </c>
      <c r="J36" s="25">
        <v>2016</v>
      </c>
      <c r="K36" s="24">
        <f>B40*SUM('Escapement Age'!U40:W40)+C40*SUM('Escapement Age'!U40:V40)</f>
        <v>15557.215264187869</v>
      </c>
      <c r="L36" s="25">
        <v>2017</v>
      </c>
      <c r="M36" s="24">
        <f>B41*SUM('Escapement Age'!X41:Z41)+C41*SUM('Escapement Age'!X41:Y41)</f>
        <v>21309.072265625</v>
      </c>
      <c r="N36" s="25">
        <v>2018</v>
      </c>
      <c r="O36" s="24">
        <f>B42*SUM('Escapement Age'!AA42:AC42)+'Run Reconstruction 1'!C42*SUM('Escapement Age'!AA42:AC42)</f>
        <v>1171.8797814207651</v>
      </c>
      <c r="P36" s="25">
        <v>2019</v>
      </c>
      <c r="Q36" s="26">
        <v>0</v>
      </c>
      <c r="R36" s="25">
        <v>2020</v>
      </c>
      <c r="S36" s="26">
        <v>0</v>
      </c>
      <c r="U36" s="21">
        <f t="shared" si="15"/>
        <v>40.943876533464461</v>
      </c>
      <c r="V36" s="21">
        <f t="shared" si="16"/>
        <v>39.575911583536225</v>
      </c>
      <c r="W36" s="43"/>
      <c r="X36" s="19"/>
      <c r="Y36" s="19"/>
      <c r="Z36" s="170" t="s">
        <v>82</v>
      </c>
      <c r="AA36" s="11">
        <f>1/AA33</f>
        <v>24571.12471645285</v>
      </c>
      <c r="AB36" s="11">
        <f>1/AB33</f>
        <v>26325.59649553887</v>
      </c>
      <c r="AC36" s="11"/>
    </row>
    <row r="37" spans="1:31" x14ac:dyDescent="0.3">
      <c r="A37" s="17">
        <v>2013</v>
      </c>
      <c r="B37" s="11">
        <f>'Summary Data'!C37</f>
        <v>49124.280737701352</v>
      </c>
      <c r="C37" s="11">
        <f>'Summary Data'!H37</f>
        <v>8866</v>
      </c>
      <c r="D37" s="11">
        <f t="shared" si="14"/>
        <v>57990.280737701352</v>
      </c>
      <c r="E37" s="11">
        <f t="shared" si="11"/>
        <v>24156.272795698813</v>
      </c>
      <c r="F37" s="119">
        <f t="shared" ref="F37" si="17">E37/B37</f>
        <v>0.49173794370000062</v>
      </c>
      <c r="G37" s="219">
        <f t="shared" ref="G37" si="18">LN(F37)</f>
        <v>-0.70980933914620647</v>
      </c>
      <c r="H37" s="25">
        <v>2016</v>
      </c>
      <c r="I37" s="24">
        <f>B40*SUM('Escapement Age'!S40:T40)+C40*'Escapement Age'!S40</f>
        <v>623.94520547945206</v>
      </c>
      <c r="J37" s="25">
        <v>2017</v>
      </c>
      <c r="K37" s="24">
        <f>B41*SUM('Escapement Age'!U41:W41)+C41*SUM('Escapement Age'!U41:V41)</f>
        <v>4928.826171875</v>
      </c>
      <c r="L37" s="25">
        <v>2018</v>
      </c>
      <c r="M37" s="24">
        <f>B42*SUM('Escapement Age'!X42:Z42)+C42*SUM('Escapement Age'!X42:Y42)</f>
        <v>13867.24408014572</v>
      </c>
      <c r="N37" s="25">
        <v>2019</v>
      </c>
      <c r="O37" s="26">
        <f>O77</f>
        <v>4736.2573381986413</v>
      </c>
      <c r="P37" s="25">
        <v>2020</v>
      </c>
      <c r="Q37" s="26">
        <v>0</v>
      </c>
      <c r="R37" s="25">
        <v>2021</v>
      </c>
      <c r="S37" s="26">
        <v>0</v>
      </c>
      <c r="U37" s="21">
        <f t="shared" si="15"/>
        <v>49.124280737701355</v>
      </c>
      <c r="V37" s="21">
        <f t="shared" si="16"/>
        <v>24.156272795698811</v>
      </c>
      <c r="W37" s="43"/>
      <c r="X37" s="19"/>
      <c r="Y37" s="19"/>
      <c r="Z37" s="170" t="s">
        <v>83</v>
      </c>
      <c r="AA37" s="11">
        <f>AA35/AA33</f>
        <v>53363.996043490384</v>
      </c>
      <c r="AB37" s="11">
        <f>AB35/AB33</f>
        <v>54051.616314344341</v>
      </c>
      <c r="AC37" s="11"/>
    </row>
    <row r="38" spans="1:31" x14ac:dyDescent="0.3">
      <c r="A38" s="17">
        <v>2014</v>
      </c>
      <c r="B38" s="11">
        <f>'Summary Data'!C38</f>
        <v>19936.125357064222</v>
      </c>
      <c r="C38" s="11">
        <f>'Summary Data'!H38</f>
        <v>5716</v>
      </c>
      <c r="D38" s="11">
        <f t="shared" si="14"/>
        <v>25652.125357064222</v>
      </c>
      <c r="E38" s="11">
        <f t="shared" si="11"/>
        <v>113959.32105959699</v>
      </c>
      <c r="F38" s="41" t="s">
        <v>60</v>
      </c>
      <c r="H38" s="25">
        <v>2017</v>
      </c>
      <c r="I38" s="24">
        <f>B41*SUM('Escapement Age'!S41:T41)+C41*'Escapement Age'!S41</f>
        <v>26654.27734375</v>
      </c>
      <c r="J38" s="25">
        <v>2018</v>
      </c>
      <c r="K38" s="24">
        <f>B42*SUM('Escapement Age'!U42:W42)+C42*SUM('Escapement Age'!U42:V42)</f>
        <v>87305.043715846987</v>
      </c>
      <c r="L38" s="25">
        <v>2019</v>
      </c>
      <c r="M38" s="24"/>
      <c r="N38" s="25">
        <v>2020</v>
      </c>
      <c r="O38" s="24"/>
      <c r="P38" s="25">
        <v>2021</v>
      </c>
      <c r="Q38" s="24"/>
      <c r="R38" s="25">
        <v>2022</v>
      </c>
      <c r="S38" s="24"/>
      <c r="U38" s="19"/>
      <c r="V38" s="43"/>
      <c r="W38" s="43"/>
      <c r="X38" s="19"/>
      <c r="Z38" s="167" t="s">
        <v>84</v>
      </c>
      <c r="AA38" s="11">
        <f>AA37*(0.5-0.07*AA35)</f>
        <v>18569.218185191854</v>
      </c>
      <c r="AB38" s="11">
        <f>AB37*(0.5-0.07*AB35)</f>
        <v>19257.307797904985</v>
      </c>
      <c r="AC38" s="11"/>
    </row>
    <row r="39" spans="1:31" x14ac:dyDescent="0.3">
      <c r="A39" s="17">
        <v>2015</v>
      </c>
      <c r="B39" s="11">
        <f>'Summary Data'!C39</f>
        <v>13982.744429542156</v>
      </c>
      <c r="C39" s="11">
        <f>'Summary Data'!H39</f>
        <v>4538</v>
      </c>
      <c r="D39" s="11">
        <f t="shared" si="14"/>
        <v>18520.744429542156</v>
      </c>
      <c r="E39" s="11">
        <f t="shared" si="11"/>
        <v>3361.1111111111109</v>
      </c>
      <c r="F39" s="41" t="s">
        <v>60</v>
      </c>
      <c r="H39" s="25">
        <v>2018</v>
      </c>
      <c r="I39" s="24">
        <f>B42*SUM('Escapement Age'!S42:T42)+C42*'Escapement Age'!S42</f>
        <v>3361.1111111111109</v>
      </c>
      <c r="J39" s="25">
        <v>2019</v>
      </c>
      <c r="K39" s="24"/>
      <c r="L39" s="25">
        <v>2020</v>
      </c>
      <c r="M39" s="24"/>
      <c r="N39" s="25">
        <v>2021</v>
      </c>
      <c r="O39" s="24"/>
      <c r="P39" s="25">
        <v>2022</v>
      </c>
      <c r="Q39" s="24"/>
      <c r="R39" s="25">
        <v>2023</v>
      </c>
      <c r="S39" s="24"/>
      <c r="U39" s="19"/>
      <c r="V39" s="43"/>
      <c r="W39" s="43"/>
      <c r="X39" s="19"/>
      <c r="Z39" s="167" t="s">
        <v>85</v>
      </c>
      <c r="AA39" s="18">
        <f>AA35*(0.5-0.07*AA35)</f>
        <v>0.75573334145171978</v>
      </c>
      <c r="AB39" s="18">
        <f>AB35*(0.5-0.07*AB35)</f>
        <v>0.73150508863752917</v>
      </c>
      <c r="AC39" s="18"/>
    </row>
    <row r="40" spans="1:31" x14ac:dyDescent="0.3">
      <c r="A40" s="17">
        <v>2016</v>
      </c>
      <c r="B40" s="11">
        <f>'Summary Data'!C40</f>
        <v>22774</v>
      </c>
      <c r="C40" s="11">
        <f>'Summary Data'!H40</f>
        <v>4081</v>
      </c>
      <c r="D40" s="11">
        <f t="shared" ref="D40" si="19">SUM(B40:C40)</f>
        <v>26855</v>
      </c>
      <c r="H40" s="25"/>
      <c r="I40" s="27"/>
      <c r="J40" s="25"/>
      <c r="K40" s="24"/>
      <c r="L40" s="25"/>
      <c r="M40" s="24"/>
      <c r="N40" s="25"/>
      <c r="O40" s="24"/>
      <c r="P40" s="25"/>
      <c r="Q40" s="24"/>
      <c r="R40" s="25"/>
      <c r="S40" s="24"/>
      <c r="U40" s="19"/>
      <c r="V40" s="43"/>
      <c r="W40" s="43"/>
      <c r="X40" s="19"/>
      <c r="Z40" s="167" t="s">
        <v>88</v>
      </c>
      <c r="AA40" s="11">
        <f>AA38*EXP(AA35-AA33*AA38)-AA38</f>
        <v>57953.626977540975</v>
      </c>
      <c r="AB40" s="11">
        <f>AB38*EXP(AB35-AB33*AB38)-AB38</f>
        <v>52952.92668716023</v>
      </c>
      <c r="AC40" s="11"/>
    </row>
    <row r="41" spans="1:31" x14ac:dyDescent="0.3">
      <c r="A41" s="17">
        <v>2017</v>
      </c>
      <c r="B41" s="11">
        <f>'Summary Data'!C41</f>
        <v>55702</v>
      </c>
      <c r="C41" s="11">
        <f>'Summary Data'!H41</f>
        <v>7363</v>
      </c>
      <c r="D41" s="11">
        <f t="shared" ref="D41:D42" si="20">SUM(B41:C41)</f>
        <v>63065</v>
      </c>
      <c r="H41" s="25"/>
      <c r="I41" s="27"/>
      <c r="J41" s="25"/>
      <c r="K41" s="24"/>
      <c r="L41" s="25"/>
      <c r="M41" s="24"/>
      <c r="N41" s="25"/>
      <c r="O41" s="24"/>
      <c r="P41" s="25"/>
      <c r="Q41" s="24"/>
      <c r="R41" s="25"/>
      <c r="S41" s="24"/>
      <c r="U41" s="19"/>
      <c r="V41" s="43"/>
      <c r="W41" s="43"/>
      <c r="Z41" s="167" t="s">
        <v>86</v>
      </c>
      <c r="AA41" s="11">
        <f>MAX(B6:B28)/MIN(B6:B28)</f>
        <v>169.49496987116686</v>
      </c>
      <c r="AC41" s="11"/>
    </row>
    <row r="42" spans="1:31" x14ac:dyDescent="0.3">
      <c r="A42" s="17">
        <v>2018</v>
      </c>
      <c r="B42" s="11">
        <f>'Summary Data'!C42</f>
        <v>73810</v>
      </c>
      <c r="C42" s="11">
        <f>'Summary Data'!H42</f>
        <v>33417</v>
      </c>
      <c r="D42" s="11">
        <f t="shared" si="20"/>
        <v>107227</v>
      </c>
      <c r="H42" s="25"/>
      <c r="I42" s="27"/>
      <c r="J42" s="25"/>
      <c r="K42" s="24"/>
      <c r="L42" s="25"/>
      <c r="M42" s="24"/>
      <c r="N42" s="25"/>
      <c r="O42" s="24"/>
      <c r="P42" s="25"/>
      <c r="Q42" s="24"/>
      <c r="R42" s="25"/>
      <c r="S42" s="24"/>
      <c r="U42" s="19"/>
      <c r="Z42" s="167" t="s">
        <v>161</v>
      </c>
      <c r="AA42" s="11">
        <v>11749.217854214221</v>
      </c>
      <c r="AB42" s="11">
        <v>12228.33175917615</v>
      </c>
      <c r="AC42" s="11"/>
    </row>
    <row r="43" spans="1:31" x14ac:dyDescent="0.3">
      <c r="A43" s="17"/>
      <c r="F43" s="142"/>
      <c r="I43" s="18"/>
      <c r="J43" s="22"/>
      <c r="L43" s="22"/>
      <c r="N43" s="22"/>
      <c r="P43" s="22"/>
      <c r="R43" s="22"/>
      <c r="U43" s="19"/>
      <c r="Z43" s="167" t="s">
        <v>162</v>
      </c>
      <c r="AA43" s="11">
        <v>26836.836713222576</v>
      </c>
      <c r="AB43" s="11">
        <v>27711.259563914427</v>
      </c>
      <c r="AC43" s="11"/>
      <c r="AE43" s="3"/>
    </row>
    <row r="44" spans="1:31" x14ac:dyDescent="0.3">
      <c r="A44" s="16"/>
      <c r="H44" s="46" t="s">
        <v>65</v>
      </c>
      <c r="I44" s="46"/>
      <c r="J44" s="45"/>
      <c r="K44" s="46"/>
      <c r="L44" s="45"/>
      <c r="M44" s="46"/>
      <c r="N44" s="45"/>
      <c r="O44" s="46"/>
      <c r="P44" s="46"/>
      <c r="T44" s="16"/>
      <c r="Z44" s="60"/>
      <c r="AA44" s="11"/>
      <c r="AC44" s="3"/>
      <c r="AE44" s="3"/>
    </row>
    <row r="45" spans="1:31" x14ac:dyDescent="0.3">
      <c r="H45" s="46" t="s">
        <v>0</v>
      </c>
      <c r="I45" s="44" t="str">
        <f t="shared" ref="I45:I58" si="21">I5</f>
        <v>age 3</v>
      </c>
      <c r="J45" s="44"/>
      <c r="K45" s="44" t="str">
        <f t="shared" ref="K45:K57" si="22">K5</f>
        <v>age 4</v>
      </c>
      <c r="L45" s="44"/>
      <c r="M45" s="44" t="str">
        <f t="shared" ref="M45:M56" si="23">M5</f>
        <v>age 5</v>
      </c>
      <c r="N45" s="44"/>
      <c r="O45" s="44" t="str">
        <f t="shared" ref="O45:O55" si="24">O5</f>
        <v>age 6</v>
      </c>
      <c r="P45" s="44"/>
      <c r="Q45" s="44" t="str">
        <f t="shared" ref="Q45:Q54" si="25">Q5</f>
        <v>age 7</v>
      </c>
      <c r="R45" s="44"/>
      <c r="S45" s="44" t="str">
        <f t="shared" ref="S45:S68" si="26">S5</f>
        <v>age 8</v>
      </c>
      <c r="T45" s="46" t="s">
        <v>12</v>
      </c>
      <c r="Z45" s="147" t="s">
        <v>150</v>
      </c>
      <c r="AC45" s="60"/>
      <c r="AE45" s="3"/>
    </row>
    <row r="46" spans="1:31" x14ac:dyDescent="0.3">
      <c r="C46" s="220"/>
      <c r="H46" s="15">
        <f t="shared" ref="H46:H68" si="27">H6</f>
        <v>1985</v>
      </c>
      <c r="I46" s="11">
        <f t="shared" si="21"/>
        <v>75.455570010196638</v>
      </c>
      <c r="J46" s="15">
        <f t="shared" ref="J46:J68" si="28">J6</f>
        <v>1986</v>
      </c>
      <c r="K46" s="11">
        <f t="shared" si="22"/>
        <v>1807.8225981792191</v>
      </c>
      <c r="L46" s="15">
        <f t="shared" ref="L46:L68" si="29">L6</f>
        <v>1987</v>
      </c>
      <c r="M46" s="11">
        <f t="shared" si="23"/>
        <v>4612.102372369638</v>
      </c>
      <c r="N46" s="15">
        <f t="shared" ref="N46:N68" si="30">N6</f>
        <v>1988</v>
      </c>
      <c r="O46" s="11">
        <f t="shared" si="24"/>
        <v>339.78668492119061</v>
      </c>
      <c r="P46" s="15">
        <f t="shared" ref="P46:P68" si="31">P6</f>
        <v>1989</v>
      </c>
      <c r="Q46" s="11">
        <f t="shared" si="25"/>
        <v>20.500583322578365</v>
      </c>
      <c r="R46" s="15">
        <f t="shared" ref="R46:R68" si="32">R6</f>
        <v>1990</v>
      </c>
      <c r="S46" s="11">
        <f t="shared" si="26"/>
        <v>0</v>
      </c>
      <c r="T46" s="11">
        <f t="shared" ref="T46:T54" si="33">E6</f>
        <v>6855.6678088028229</v>
      </c>
      <c r="AA46"/>
      <c r="AB46"/>
      <c r="AC46" s="60"/>
      <c r="AE46" s="1"/>
    </row>
    <row r="47" spans="1:31" x14ac:dyDescent="0.3">
      <c r="C47" s="220"/>
      <c r="H47" s="15">
        <f t="shared" si="27"/>
        <v>1986</v>
      </c>
      <c r="I47" s="11">
        <f t="shared" si="21"/>
        <v>68.625317817510279</v>
      </c>
      <c r="J47" s="15">
        <f t="shared" si="28"/>
        <v>1987</v>
      </c>
      <c r="K47" s="11">
        <f t="shared" si="22"/>
        <v>5948.6908477009374</v>
      </c>
      <c r="L47" s="15">
        <f t="shared" si="29"/>
        <v>1988</v>
      </c>
      <c r="M47" s="11">
        <f t="shared" si="23"/>
        <v>2786.2508163537632</v>
      </c>
      <c r="N47" s="15">
        <f t="shared" si="30"/>
        <v>1989</v>
      </c>
      <c r="O47" s="11">
        <f t="shared" si="24"/>
        <v>4018.1143312253589</v>
      </c>
      <c r="P47" s="15">
        <f t="shared" si="31"/>
        <v>1990</v>
      </c>
      <c r="Q47" s="11">
        <f t="shared" si="25"/>
        <v>0</v>
      </c>
      <c r="R47" s="15">
        <f t="shared" si="32"/>
        <v>1991</v>
      </c>
      <c r="S47" s="11">
        <f t="shared" si="26"/>
        <v>21.60702630259123</v>
      </c>
      <c r="T47" s="11">
        <f t="shared" si="33"/>
        <v>12843.28833940016</v>
      </c>
      <c r="AA47"/>
      <c r="AB47"/>
      <c r="AC47" s="60"/>
      <c r="AE47" s="1"/>
    </row>
    <row r="48" spans="1:31" x14ac:dyDescent="0.3">
      <c r="C48" s="220"/>
      <c r="H48" s="15">
        <f t="shared" si="27"/>
        <v>1987</v>
      </c>
      <c r="I48" s="11">
        <f t="shared" si="21"/>
        <v>94.201613399815997</v>
      </c>
      <c r="J48" s="15">
        <f t="shared" si="28"/>
        <v>1988</v>
      </c>
      <c r="K48" s="11">
        <f t="shared" si="22"/>
        <v>465.99316789191863</v>
      </c>
      <c r="L48" s="15">
        <f t="shared" si="29"/>
        <v>1989</v>
      </c>
      <c r="M48" s="11">
        <f t="shared" si="23"/>
        <v>27202.666648355324</v>
      </c>
      <c r="N48" s="15">
        <f t="shared" si="30"/>
        <v>1990</v>
      </c>
      <c r="O48" s="11">
        <f t="shared" si="24"/>
        <v>21080.475644975904</v>
      </c>
      <c r="P48" s="15">
        <f t="shared" si="31"/>
        <v>1991</v>
      </c>
      <c r="Q48" s="11">
        <f t="shared" si="25"/>
        <v>1231.6004992477001</v>
      </c>
      <c r="R48" s="15">
        <f t="shared" si="32"/>
        <v>1992</v>
      </c>
      <c r="S48" s="11">
        <f t="shared" si="26"/>
        <v>0</v>
      </c>
      <c r="T48" s="11">
        <f t="shared" si="33"/>
        <v>50074.937573870666</v>
      </c>
      <c r="Z48"/>
      <c r="AA48"/>
      <c r="AB48"/>
      <c r="AC48" s="60"/>
      <c r="AE48" s="1"/>
    </row>
    <row r="49" spans="3:31" x14ac:dyDescent="0.3">
      <c r="C49" s="220"/>
      <c r="H49" s="15">
        <f t="shared" si="27"/>
        <v>1988</v>
      </c>
      <c r="I49" s="11">
        <f t="shared" si="21"/>
        <v>0</v>
      </c>
      <c r="J49" s="15">
        <f t="shared" si="28"/>
        <v>1989</v>
      </c>
      <c r="K49" s="11">
        <f t="shared" si="22"/>
        <v>2775.6397293548494</v>
      </c>
      <c r="L49" s="15">
        <f t="shared" si="29"/>
        <v>1990</v>
      </c>
      <c r="M49" s="11">
        <f t="shared" si="23"/>
        <v>53395.456274400043</v>
      </c>
      <c r="N49" s="15">
        <f t="shared" si="30"/>
        <v>1991</v>
      </c>
      <c r="O49" s="11">
        <f t="shared" si="24"/>
        <v>39778.535423070454</v>
      </c>
      <c r="P49" s="15">
        <f t="shared" si="31"/>
        <v>1992</v>
      </c>
      <c r="Q49" s="11">
        <f t="shared" si="25"/>
        <v>204.13948039306837</v>
      </c>
      <c r="R49" s="15">
        <f t="shared" si="32"/>
        <v>1993</v>
      </c>
      <c r="S49" s="11">
        <f t="shared" si="26"/>
        <v>0</v>
      </c>
      <c r="T49" s="11">
        <f t="shared" si="33"/>
        <v>96153.770907218423</v>
      </c>
    </row>
    <row r="50" spans="3:31" x14ac:dyDescent="0.3">
      <c r="C50" s="220"/>
      <c r="H50" s="15">
        <f t="shared" si="27"/>
        <v>1989</v>
      </c>
      <c r="I50" s="11">
        <f t="shared" si="21"/>
        <v>151.14530093131512</v>
      </c>
      <c r="J50" s="15">
        <f t="shared" si="28"/>
        <v>1990</v>
      </c>
      <c r="K50" s="11">
        <f t="shared" si="22"/>
        <v>4221.5121922079315</v>
      </c>
      <c r="L50" s="15">
        <f t="shared" si="29"/>
        <v>1991</v>
      </c>
      <c r="M50" s="11">
        <f t="shared" si="23"/>
        <v>3238.2930564997951</v>
      </c>
      <c r="N50" s="15">
        <f t="shared" si="30"/>
        <v>1992</v>
      </c>
      <c r="O50" s="11">
        <f t="shared" si="24"/>
        <v>3038.5376504660567</v>
      </c>
      <c r="P50" s="15">
        <f t="shared" si="31"/>
        <v>1993</v>
      </c>
      <c r="Q50" s="11">
        <f t="shared" si="25"/>
        <v>266.23566969451633</v>
      </c>
      <c r="R50" s="15">
        <f t="shared" si="32"/>
        <v>1994</v>
      </c>
      <c r="S50" s="11">
        <f t="shared" si="26"/>
        <v>0</v>
      </c>
      <c r="T50" s="11">
        <f t="shared" si="33"/>
        <v>10915.723869799616</v>
      </c>
    </row>
    <row r="51" spans="3:31" x14ac:dyDescent="0.3">
      <c r="C51" s="220"/>
      <c r="H51" s="15">
        <f t="shared" si="27"/>
        <v>1990</v>
      </c>
      <c r="I51" s="11">
        <f t="shared" si="21"/>
        <v>466.48969982479201</v>
      </c>
      <c r="J51" s="15">
        <f t="shared" si="28"/>
        <v>1991</v>
      </c>
      <c r="K51" s="11">
        <f t="shared" si="22"/>
        <v>4196.3247108634368</v>
      </c>
      <c r="L51" s="15">
        <f t="shared" si="29"/>
        <v>1992</v>
      </c>
      <c r="M51" s="11">
        <f t="shared" si="23"/>
        <v>4694.5996153056331</v>
      </c>
      <c r="N51" s="15">
        <f t="shared" si="30"/>
        <v>1993</v>
      </c>
      <c r="O51" s="11">
        <f t="shared" si="24"/>
        <v>4150.8561229645047</v>
      </c>
      <c r="P51" s="15">
        <f t="shared" si="31"/>
        <v>1994</v>
      </c>
      <c r="Q51" s="11">
        <f t="shared" si="25"/>
        <v>745.70127149555219</v>
      </c>
      <c r="R51" s="15">
        <f t="shared" si="32"/>
        <v>1995</v>
      </c>
      <c r="S51" s="11">
        <f t="shared" si="26"/>
        <v>0</v>
      </c>
      <c r="T51" s="11">
        <f t="shared" si="33"/>
        <v>14253.97142045392</v>
      </c>
    </row>
    <row r="52" spans="3:31" x14ac:dyDescent="0.3">
      <c r="C52" s="220"/>
      <c r="H52" s="15">
        <f t="shared" si="27"/>
        <v>1991</v>
      </c>
      <c r="I52" s="11">
        <f t="shared" si="21"/>
        <v>101.13290929073392</v>
      </c>
      <c r="J52" s="15">
        <f t="shared" si="28"/>
        <v>1992</v>
      </c>
      <c r="K52" s="11">
        <f t="shared" si="22"/>
        <v>1736.5724933840031</v>
      </c>
      <c r="L52" s="15">
        <f t="shared" si="29"/>
        <v>1993</v>
      </c>
      <c r="M52" s="11">
        <f t="shared" si="23"/>
        <v>14049.982387060612</v>
      </c>
      <c r="N52" s="15">
        <f t="shared" si="30"/>
        <v>1994</v>
      </c>
      <c r="O52" s="11">
        <f t="shared" si="24"/>
        <v>16618.485479043735</v>
      </c>
      <c r="P52" s="15">
        <f t="shared" si="31"/>
        <v>1995</v>
      </c>
      <c r="Q52" s="11">
        <f t="shared" si="25"/>
        <v>104.44825482566539</v>
      </c>
      <c r="R52" s="15">
        <f t="shared" si="32"/>
        <v>1996</v>
      </c>
      <c r="S52" s="11">
        <f t="shared" si="26"/>
        <v>0</v>
      </c>
      <c r="T52" s="11">
        <f t="shared" si="33"/>
        <v>32610.62152360475</v>
      </c>
    </row>
    <row r="53" spans="3:31" x14ac:dyDescent="0.3">
      <c r="C53" s="220"/>
      <c r="H53" s="15">
        <f t="shared" si="27"/>
        <v>1992</v>
      </c>
      <c r="I53" s="11">
        <f t="shared" si="21"/>
        <v>738.66910467995558</v>
      </c>
      <c r="J53" s="15">
        <f t="shared" si="28"/>
        <v>1993</v>
      </c>
      <c r="K53" s="11">
        <f t="shared" si="22"/>
        <v>9320.6458769037836</v>
      </c>
      <c r="L53" s="15">
        <f t="shared" si="29"/>
        <v>1994</v>
      </c>
      <c r="M53" s="11">
        <f t="shared" si="23"/>
        <v>15444.282198360985</v>
      </c>
      <c r="N53" s="15">
        <f t="shared" si="30"/>
        <v>1995</v>
      </c>
      <c r="O53" s="11">
        <f t="shared" si="24"/>
        <v>2054.1490115714191</v>
      </c>
      <c r="P53" s="15">
        <f t="shared" si="31"/>
        <v>1996</v>
      </c>
      <c r="Q53" s="11">
        <f t="shared" si="25"/>
        <v>15.68515108196841</v>
      </c>
      <c r="R53" s="15">
        <f t="shared" si="32"/>
        <v>1997</v>
      </c>
      <c r="S53" s="11">
        <f t="shared" si="26"/>
        <v>0</v>
      </c>
      <c r="T53" s="11">
        <f t="shared" si="33"/>
        <v>27573.431342598109</v>
      </c>
    </row>
    <row r="54" spans="3:31" x14ac:dyDescent="0.3">
      <c r="C54" s="220"/>
      <c r="H54" s="15">
        <f t="shared" si="27"/>
        <v>1993</v>
      </c>
      <c r="I54" s="11">
        <f t="shared" si="21"/>
        <v>268.78462484819488</v>
      </c>
      <c r="J54" s="15">
        <f t="shared" si="28"/>
        <v>1994</v>
      </c>
      <c r="K54" s="11">
        <f t="shared" si="22"/>
        <v>12580.691294616545</v>
      </c>
      <c r="L54" s="15">
        <f t="shared" si="29"/>
        <v>1995</v>
      </c>
      <c r="M54" s="11">
        <f t="shared" si="23"/>
        <v>28879.942459296479</v>
      </c>
      <c r="N54" s="15">
        <f t="shared" si="30"/>
        <v>1996</v>
      </c>
      <c r="O54" s="11">
        <f t="shared" si="24"/>
        <v>3058.60446098384</v>
      </c>
      <c r="P54" s="15">
        <f t="shared" si="31"/>
        <v>1997</v>
      </c>
      <c r="Q54" s="11">
        <f t="shared" si="25"/>
        <v>0</v>
      </c>
      <c r="R54" s="15">
        <f t="shared" si="32"/>
        <v>1998</v>
      </c>
      <c r="S54" s="11">
        <f t="shared" si="26"/>
        <v>0</v>
      </c>
      <c r="T54" s="11">
        <f t="shared" si="33"/>
        <v>44788.022839745063</v>
      </c>
    </row>
    <row r="55" spans="3:31" x14ac:dyDescent="0.3">
      <c r="C55" s="220"/>
      <c r="H55" s="15">
        <f t="shared" si="27"/>
        <v>1994</v>
      </c>
      <c r="I55" s="11">
        <f t="shared" si="21"/>
        <v>384.19488186101904</v>
      </c>
      <c r="J55" s="15">
        <f t="shared" si="28"/>
        <v>1995</v>
      </c>
      <c r="K55" s="11">
        <f t="shared" si="22"/>
        <v>5419.2377886806571</v>
      </c>
      <c r="L55" s="15">
        <f t="shared" si="29"/>
        <v>1996</v>
      </c>
      <c r="M55" s="11">
        <f t="shared" si="23"/>
        <v>14775.412319214242</v>
      </c>
      <c r="N55" s="15">
        <f t="shared" si="30"/>
        <v>1997</v>
      </c>
      <c r="O55" s="11">
        <f t="shared" si="24"/>
        <v>15148.316879979462</v>
      </c>
      <c r="P55" s="15">
        <f t="shared" si="31"/>
        <v>1998</v>
      </c>
      <c r="Q55" s="13">
        <f>SUM(I55,K55,M55,O55,S55)*(1/(1-Q112)-1)</f>
        <v>176.56229026491098</v>
      </c>
      <c r="R55" s="15">
        <f t="shared" si="32"/>
        <v>1999</v>
      </c>
      <c r="S55" s="11">
        <f t="shared" si="26"/>
        <v>0</v>
      </c>
      <c r="T55" s="13"/>
    </row>
    <row r="56" spans="3:31" x14ac:dyDescent="0.3">
      <c r="C56" s="220"/>
      <c r="H56" s="15">
        <f t="shared" si="27"/>
        <v>1995</v>
      </c>
      <c r="I56" s="11">
        <f t="shared" si="21"/>
        <v>3173.9954494901835</v>
      </c>
      <c r="J56" s="15">
        <f t="shared" si="28"/>
        <v>1996</v>
      </c>
      <c r="K56" s="11">
        <f t="shared" si="22"/>
        <v>6196.640353875634</v>
      </c>
      <c r="L56" s="15">
        <f t="shared" si="29"/>
        <v>1997</v>
      </c>
      <c r="M56" s="11">
        <f t="shared" si="23"/>
        <v>17217.029757862118</v>
      </c>
      <c r="N56" s="15">
        <f t="shared" si="30"/>
        <v>1998</v>
      </c>
      <c r="O56" s="13">
        <f>SUM(I56,K56,M56,Q56,S56)*(1/(1-O112)-1)</f>
        <v>6484.342218754693</v>
      </c>
      <c r="P56" s="15">
        <f t="shared" si="31"/>
        <v>1999</v>
      </c>
      <c r="Q56" s="11">
        <f t="shared" ref="Q56:Q68" si="34">Q16</f>
        <v>0</v>
      </c>
      <c r="R56" s="15">
        <f t="shared" si="32"/>
        <v>2000</v>
      </c>
      <c r="S56" s="11">
        <f t="shared" si="26"/>
        <v>0</v>
      </c>
      <c r="T56" s="13"/>
    </row>
    <row r="57" spans="3:31" x14ac:dyDescent="0.3">
      <c r="C57" s="220"/>
      <c r="H57" s="15">
        <f t="shared" si="27"/>
        <v>1996</v>
      </c>
      <c r="I57" s="11">
        <f t="shared" si="21"/>
        <v>584.58164386895123</v>
      </c>
      <c r="J57" s="15">
        <f t="shared" si="28"/>
        <v>1997</v>
      </c>
      <c r="K57" s="11">
        <f t="shared" si="22"/>
        <v>4583.23677724154</v>
      </c>
      <c r="L57" s="15">
        <f t="shared" si="29"/>
        <v>1998</v>
      </c>
      <c r="M57" s="13">
        <f>SUM(I57,K57,O57,Q57,S57)*(1/(1-M112)-1)</f>
        <v>17376.264158071965</v>
      </c>
      <c r="N57" s="15">
        <f t="shared" si="30"/>
        <v>1999</v>
      </c>
      <c r="O57" s="11">
        <f t="shared" ref="O57:O68" si="35">O17</f>
        <v>10584.421781522049</v>
      </c>
      <c r="P57" s="15">
        <f t="shared" si="31"/>
        <v>2000</v>
      </c>
      <c r="Q57" s="11">
        <f t="shared" si="34"/>
        <v>0</v>
      </c>
      <c r="R57" s="15">
        <f t="shared" si="32"/>
        <v>2001</v>
      </c>
      <c r="S57" s="11">
        <f t="shared" si="26"/>
        <v>0</v>
      </c>
      <c r="T57" s="13"/>
    </row>
    <row r="58" spans="3:31" x14ac:dyDescent="0.3">
      <c r="C58" s="220"/>
      <c r="H58" s="15">
        <f t="shared" si="27"/>
        <v>1997</v>
      </c>
      <c r="I58" s="11">
        <f t="shared" si="21"/>
        <v>821.33642065830168</v>
      </c>
      <c r="J58" s="15">
        <f t="shared" si="28"/>
        <v>1998</v>
      </c>
      <c r="K58" s="13">
        <f>SUM(I58,M58,O58,Q58,S58)*(1/(1-K112)-1)</f>
        <v>20079.021836292701</v>
      </c>
      <c r="L58" s="15">
        <f t="shared" si="29"/>
        <v>1999</v>
      </c>
      <c r="M58" s="11">
        <f t="shared" ref="M58:M68" si="36">M18</f>
        <v>58639.824191598287</v>
      </c>
      <c r="N58" s="15">
        <f t="shared" si="30"/>
        <v>2000</v>
      </c>
      <c r="O58" s="11">
        <f t="shared" si="35"/>
        <v>234.83308344250167</v>
      </c>
      <c r="P58" s="15">
        <f t="shared" si="31"/>
        <v>2001</v>
      </c>
      <c r="Q58" s="11">
        <f t="shared" si="34"/>
        <v>0</v>
      </c>
      <c r="R58" s="15">
        <f t="shared" si="32"/>
        <v>2002</v>
      </c>
      <c r="S58" s="11">
        <f t="shared" si="26"/>
        <v>0</v>
      </c>
      <c r="T58" s="13"/>
    </row>
    <row r="59" spans="3:31" x14ac:dyDescent="0.3">
      <c r="C59" s="220"/>
      <c r="H59" s="15">
        <f t="shared" si="27"/>
        <v>1998</v>
      </c>
      <c r="I59" s="13">
        <f>SUM(K59,M59,O59,Q59,S59)*(1/(1-I112)-1)</f>
        <v>85.333521190707629</v>
      </c>
      <c r="J59" s="15">
        <f t="shared" si="28"/>
        <v>1999</v>
      </c>
      <c r="K59" s="11">
        <f t="shared" ref="K59:K68" si="37">K19</f>
        <v>1063.7609830675426</v>
      </c>
      <c r="L59" s="15">
        <f t="shared" si="29"/>
        <v>2000</v>
      </c>
      <c r="M59" s="11">
        <f t="shared" si="36"/>
        <v>2465.7473761462679</v>
      </c>
      <c r="N59" s="15">
        <f t="shared" si="30"/>
        <v>2001</v>
      </c>
      <c r="O59" s="11">
        <f t="shared" si="35"/>
        <v>99.840672970582915</v>
      </c>
      <c r="P59" s="15">
        <f t="shared" si="31"/>
        <v>2002</v>
      </c>
      <c r="Q59" s="11">
        <f t="shared" si="34"/>
        <v>37.288518469088736</v>
      </c>
      <c r="R59" s="15">
        <f t="shared" si="32"/>
        <v>2003</v>
      </c>
      <c r="S59" s="11">
        <f t="shared" si="26"/>
        <v>0</v>
      </c>
      <c r="T59" s="13"/>
    </row>
    <row r="60" spans="3:31" x14ac:dyDescent="0.3">
      <c r="C60" s="220"/>
      <c r="H60" s="15">
        <f t="shared" si="27"/>
        <v>1999</v>
      </c>
      <c r="I60" s="11">
        <f t="shared" ref="I60:I68" si="38">I20</f>
        <v>130.8121655801767</v>
      </c>
      <c r="J60" s="15">
        <f t="shared" si="28"/>
        <v>2000</v>
      </c>
      <c r="K60" s="11">
        <f t="shared" si="37"/>
        <v>1038.7975001195587</v>
      </c>
      <c r="L60" s="15">
        <f t="shared" si="29"/>
        <v>2001</v>
      </c>
      <c r="M60" s="11">
        <f t="shared" si="36"/>
        <v>3509.8825125984531</v>
      </c>
      <c r="N60" s="15">
        <f t="shared" si="30"/>
        <v>2002</v>
      </c>
      <c r="O60" s="11">
        <f t="shared" si="35"/>
        <v>2672.3438236180264</v>
      </c>
      <c r="P60" s="15">
        <f t="shared" si="31"/>
        <v>2003</v>
      </c>
      <c r="Q60" s="11">
        <f t="shared" si="34"/>
        <v>82.053850505723574</v>
      </c>
      <c r="R60" s="15">
        <f t="shared" si="32"/>
        <v>2004</v>
      </c>
      <c r="S60" s="11">
        <f t="shared" si="26"/>
        <v>0</v>
      </c>
      <c r="T60" s="11">
        <f t="shared" ref="T60:T68" si="39">E20</f>
        <v>7433.8898524219385</v>
      </c>
      <c r="Z60" s="151" t="s">
        <v>63</v>
      </c>
      <c r="AA60" s="151" t="s">
        <v>148</v>
      </c>
      <c r="AB60" s="151" t="s">
        <v>149</v>
      </c>
      <c r="AC60" s="61"/>
      <c r="AD60" s="163" t="s">
        <v>79</v>
      </c>
      <c r="AE60" s="1"/>
    </row>
    <row r="61" spans="3:31" x14ac:dyDescent="0.3">
      <c r="C61" s="220"/>
      <c r="H61" s="15">
        <f t="shared" si="27"/>
        <v>2000</v>
      </c>
      <c r="I61" s="11">
        <f t="shared" si="38"/>
        <v>80.035035345185264</v>
      </c>
      <c r="J61" s="15">
        <f t="shared" si="28"/>
        <v>2001</v>
      </c>
      <c r="K61" s="11">
        <f t="shared" si="37"/>
        <v>1283.2942828084099</v>
      </c>
      <c r="L61" s="15">
        <f t="shared" si="29"/>
        <v>2002</v>
      </c>
      <c r="M61" s="11">
        <f t="shared" si="36"/>
        <v>13150.417513431961</v>
      </c>
      <c r="N61" s="15">
        <f t="shared" si="30"/>
        <v>2003</v>
      </c>
      <c r="O61" s="11">
        <f t="shared" si="35"/>
        <v>12677.319903134294</v>
      </c>
      <c r="P61" s="15">
        <f t="shared" si="31"/>
        <v>2004</v>
      </c>
      <c r="Q61" s="11">
        <f t="shared" si="34"/>
        <v>0</v>
      </c>
      <c r="R61" s="15">
        <f t="shared" si="32"/>
        <v>2005</v>
      </c>
      <c r="S61" s="11">
        <f t="shared" si="26"/>
        <v>0</v>
      </c>
      <c r="T61" s="11">
        <f t="shared" si="39"/>
        <v>27191.066734719851</v>
      </c>
      <c r="Y61" s="12" t="s">
        <v>163</v>
      </c>
      <c r="Z61" s="150">
        <v>26836.836713312638</v>
      </c>
      <c r="AA61" s="150">
        <f>Z61*EXP($AA$35+Z61*$AD$61)</f>
        <v>78994.836713605764</v>
      </c>
      <c r="AB61" s="150">
        <f>AA61-Z61</f>
        <v>52158.000000293127</v>
      </c>
      <c r="AC61" s="61"/>
      <c r="AD61">
        <f>-1*$AA$33</f>
        <v>-4.0698177700038246E-5</v>
      </c>
      <c r="AE61" s="1"/>
    </row>
    <row r="62" spans="3:31" x14ac:dyDescent="0.3">
      <c r="C62" s="220"/>
      <c r="H62" s="15">
        <f t="shared" si="27"/>
        <v>2001</v>
      </c>
      <c r="I62" s="11">
        <f t="shared" si="38"/>
        <v>137.02822730951218</v>
      </c>
      <c r="J62" s="15">
        <f t="shared" si="28"/>
        <v>2002</v>
      </c>
      <c r="K62" s="11">
        <f t="shared" si="37"/>
        <v>10737.668081643276</v>
      </c>
      <c r="L62" s="15">
        <f t="shared" si="29"/>
        <v>2003</v>
      </c>
      <c r="M62" s="11">
        <f t="shared" si="36"/>
        <v>64699.461123763052</v>
      </c>
      <c r="N62" s="15">
        <f t="shared" si="30"/>
        <v>2004</v>
      </c>
      <c r="O62" s="11">
        <f t="shared" si="35"/>
        <v>5838.8078036837833</v>
      </c>
      <c r="P62" s="15">
        <f t="shared" si="31"/>
        <v>2005</v>
      </c>
      <c r="Q62" s="11">
        <f t="shared" si="34"/>
        <v>61.663890783627785</v>
      </c>
      <c r="R62" s="15">
        <f t="shared" si="32"/>
        <v>2006</v>
      </c>
      <c r="S62" s="11">
        <f t="shared" si="26"/>
        <v>0</v>
      </c>
      <c r="T62" s="11">
        <f t="shared" si="39"/>
        <v>81474.62912718326</v>
      </c>
      <c r="Y62" s="12" t="s">
        <v>141</v>
      </c>
      <c r="Z62" s="150">
        <v>27711.259563914427</v>
      </c>
      <c r="AA62" s="150">
        <f>Z62*EXP($AB$35+Z62*$AD$62)</f>
        <v>75369.259563996195</v>
      </c>
      <c r="AB62" s="150">
        <f>AA62-Z62</f>
        <v>47658.000000081767</v>
      </c>
      <c r="AC62" s="60"/>
      <c r="AD62" s="12">
        <f>-1*AB33</f>
        <v>-3.7985843935937399E-5</v>
      </c>
    </row>
    <row r="63" spans="3:31" x14ac:dyDescent="0.3">
      <c r="C63" s="220"/>
      <c r="H63" s="15">
        <f t="shared" si="27"/>
        <v>2002</v>
      </c>
      <c r="I63" s="11">
        <f t="shared" si="38"/>
        <v>44.71150086030719</v>
      </c>
      <c r="J63" s="15">
        <f t="shared" si="28"/>
        <v>2003</v>
      </c>
      <c r="K63" s="11">
        <f t="shared" si="37"/>
        <v>4370.6275066781272</v>
      </c>
      <c r="L63" s="15">
        <f t="shared" si="29"/>
        <v>2004</v>
      </c>
      <c r="M63" s="11">
        <f t="shared" si="36"/>
        <v>51452.28210034073</v>
      </c>
      <c r="N63" s="15">
        <f t="shared" si="30"/>
        <v>2005</v>
      </c>
      <c r="O63" s="11">
        <f t="shared" si="35"/>
        <v>6135.5571329709655</v>
      </c>
      <c r="P63" s="15">
        <f t="shared" si="31"/>
        <v>2006</v>
      </c>
      <c r="Q63" s="11">
        <f t="shared" si="34"/>
        <v>0</v>
      </c>
      <c r="R63" s="15">
        <f t="shared" si="32"/>
        <v>2007</v>
      </c>
      <c r="S63" s="11">
        <f t="shared" si="26"/>
        <v>0</v>
      </c>
      <c r="T63" s="11">
        <f t="shared" si="39"/>
        <v>62003.178240850131</v>
      </c>
      <c r="Z63" s="149"/>
      <c r="AC63" s="60"/>
    </row>
    <row r="64" spans="3:31" x14ac:dyDescent="0.3">
      <c r="C64" s="220"/>
      <c r="H64" s="15">
        <f t="shared" si="27"/>
        <v>2003</v>
      </c>
      <c r="I64" s="11">
        <f t="shared" si="38"/>
        <v>34.998883189767149</v>
      </c>
      <c r="J64" s="15">
        <f t="shared" si="28"/>
        <v>2004</v>
      </c>
      <c r="K64" s="11">
        <f t="shared" si="37"/>
        <v>31827.453106064524</v>
      </c>
      <c r="L64" s="15">
        <f t="shared" si="29"/>
        <v>2005</v>
      </c>
      <c r="M64" s="11">
        <f t="shared" si="36"/>
        <v>46124.590306153594</v>
      </c>
      <c r="N64" s="15">
        <f t="shared" si="30"/>
        <v>2006</v>
      </c>
      <c r="O64" s="11">
        <f t="shared" si="35"/>
        <v>12377.08793478919</v>
      </c>
      <c r="P64" s="15">
        <f t="shared" si="31"/>
        <v>2007</v>
      </c>
      <c r="Q64" s="11">
        <f t="shared" si="34"/>
        <v>179.33922627177168</v>
      </c>
      <c r="R64" s="15">
        <f t="shared" si="32"/>
        <v>2008</v>
      </c>
      <c r="S64" s="11">
        <f t="shared" si="26"/>
        <v>0</v>
      </c>
      <c r="T64" s="11">
        <f t="shared" si="39"/>
        <v>90543.46945646884</v>
      </c>
      <c r="Z64" s="149" t="s">
        <v>222</v>
      </c>
      <c r="AB64" s="148">
        <f>0.9*AA40</f>
        <v>52158.264279786876</v>
      </c>
      <c r="AC64" s="60"/>
      <c r="AE64" s="147" t="s">
        <v>147</v>
      </c>
    </row>
    <row r="65" spans="1:36" x14ac:dyDescent="0.3">
      <c r="C65" s="220"/>
      <c r="H65" s="15">
        <f t="shared" si="27"/>
        <v>2004</v>
      </c>
      <c r="I65" s="11">
        <f t="shared" si="38"/>
        <v>848.70794385087186</v>
      </c>
      <c r="J65" s="15">
        <f t="shared" si="28"/>
        <v>2005</v>
      </c>
      <c r="K65" s="11">
        <f t="shared" si="37"/>
        <v>18474.486094570457</v>
      </c>
      <c r="L65" s="15">
        <f t="shared" si="29"/>
        <v>2006</v>
      </c>
      <c r="M65" s="11">
        <f t="shared" si="36"/>
        <v>44609.087764969365</v>
      </c>
      <c r="N65" s="15">
        <f t="shared" si="30"/>
        <v>2007</v>
      </c>
      <c r="O65" s="11">
        <f t="shared" si="35"/>
        <v>10939.692802578073</v>
      </c>
      <c r="P65" s="15">
        <f t="shared" si="31"/>
        <v>2008</v>
      </c>
      <c r="Q65" s="11">
        <f t="shared" si="34"/>
        <v>51.108571886382904</v>
      </c>
      <c r="R65" s="15">
        <f t="shared" si="32"/>
        <v>2009</v>
      </c>
      <c r="S65" s="11">
        <f t="shared" si="26"/>
        <v>0</v>
      </c>
      <c r="T65" s="11">
        <f t="shared" si="39"/>
        <v>74923.083177855151</v>
      </c>
      <c r="Z65" s="149" t="s">
        <v>152</v>
      </c>
      <c r="AE65" s="4" t="s">
        <v>151</v>
      </c>
      <c r="AF65" s="4"/>
    </row>
    <row r="66" spans="1:36" s="11" customFormat="1" x14ac:dyDescent="0.3">
      <c r="A66" s="12"/>
      <c r="C66" s="220"/>
      <c r="F66" s="21"/>
      <c r="G66" s="21"/>
      <c r="H66" s="15">
        <f t="shared" si="27"/>
        <v>2005</v>
      </c>
      <c r="I66" s="11">
        <f t="shared" si="38"/>
        <v>1307.2713404313142</v>
      </c>
      <c r="J66" s="15">
        <f t="shared" si="28"/>
        <v>2006</v>
      </c>
      <c r="K66" s="11">
        <f t="shared" si="37"/>
        <v>72199.679619603601</v>
      </c>
      <c r="L66" s="15">
        <f t="shared" si="29"/>
        <v>2007</v>
      </c>
      <c r="M66" s="11">
        <f t="shared" si="36"/>
        <v>66893.531399370841</v>
      </c>
      <c r="N66" s="15">
        <f t="shared" si="30"/>
        <v>2008</v>
      </c>
      <c r="O66" s="11">
        <f t="shared" si="35"/>
        <v>2427.657164603188</v>
      </c>
      <c r="P66" s="15">
        <f t="shared" si="31"/>
        <v>2009</v>
      </c>
      <c r="Q66" s="11">
        <f t="shared" si="34"/>
        <v>0</v>
      </c>
      <c r="R66" s="15">
        <f t="shared" si="32"/>
        <v>2010</v>
      </c>
      <c r="S66" s="11">
        <f t="shared" si="26"/>
        <v>0</v>
      </c>
      <c r="T66" s="11">
        <f t="shared" si="39"/>
        <v>142828.13952400893</v>
      </c>
      <c r="U66" s="12"/>
      <c r="V66" s="17"/>
      <c r="W66" s="17"/>
      <c r="X66" s="12"/>
      <c r="Y66" s="12"/>
      <c r="Z66" s="12"/>
      <c r="AA66" s="12"/>
      <c r="AB66" s="12"/>
      <c r="AC66" s="12"/>
      <c r="AD66" s="12"/>
      <c r="AE66" s="3">
        <v>11749.217854214221</v>
      </c>
      <c r="AF66" s="11">
        <v>26836.836713222576</v>
      </c>
      <c r="AG66" s="12"/>
      <c r="AH66" s="12"/>
      <c r="AI66" s="12"/>
      <c r="AJ66" s="12"/>
    </row>
    <row r="67" spans="1:36" s="11" customFormat="1" x14ac:dyDescent="0.3">
      <c r="A67" s="12"/>
      <c r="C67" s="220"/>
      <c r="F67" s="21"/>
      <c r="G67" s="21"/>
      <c r="H67" s="15">
        <f t="shared" si="27"/>
        <v>2006</v>
      </c>
      <c r="I67" s="11">
        <f t="shared" si="38"/>
        <v>0</v>
      </c>
      <c r="J67" s="15">
        <f t="shared" si="28"/>
        <v>2007</v>
      </c>
      <c r="K67" s="11">
        <f t="shared" si="37"/>
        <v>4662.819883066064</v>
      </c>
      <c r="L67" s="15">
        <f t="shared" si="29"/>
        <v>2008</v>
      </c>
      <c r="M67" s="11">
        <f t="shared" si="36"/>
        <v>7206.308635979989</v>
      </c>
      <c r="N67" s="15">
        <f t="shared" si="30"/>
        <v>2009</v>
      </c>
      <c r="O67" s="11">
        <f t="shared" si="35"/>
        <v>418.31252865603904</v>
      </c>
      <c r="P67" s="15">
        <f t="shared" si="31"/>
        <v>2010</v>
      </c>
      <c r="Q67" s="11">
        <f t="shared" si="34"/>
        <v>0</v>
      </c>
      <c r="R67" s="15">
        <f t="shared" si="32"/>
        <v>2011</v>
      </c>
      <c r="S67" s="11">
        <f t="shared" si="26"/>
        <v>0</v>
      </c>
      <c r="T67" s="11">
        <f t="shared" si="39"/>
        <v>12287.441047702092</v>
      </c>
      <c r="U67" s="12"/>
      <c r="V67" s="17"/>
      <c r="W67" s="17"/>
      <c r="X67" s="12"/>
      <c r="Y67" s="12"/>
      <c r="Z67" s="151"/>
      <c r="AA67" s="151"/>
      <c r="AB67" s="151"/>
      <c r="AC67" s="61"/>
      <c r="AD67" s="163"/>
    </row>
    <row r="68" spans="1:36" s="11" customFormat="1" x14ac:dyDescent="0.3">
      <c r="A68" s="12"/>
      <c r="C68" s="220"/>
      <c r="F68" s="21"/>
      <c r="G68" s="21"/>
      <c r="H68" s="15">
        <f t="shared" si="27"/>
        <v>2007</v>
      </c>
      <c r="I68" s="11">
        <f t="shared" si="38"/>
        <v>0</v>
      </c>
      <c r="J68" s="15">
        <f t="shared" si="28"/>
        <v>2008</v>
      </c>
      <c r="K68" s="11">
        <f t="shared" si="37"/>
        <v>1765.7622842282342</v>
      </c>
      <c r="L68" s="15">
        <f t="shared" si="29"/>
        <v>2009</v>
      </c>
      <c r="M68" s="11">
        <f t="shared" si="36"/>
        <v>11873.640236467567</v>
      </c>
      <c r="N68" s="15">
        <f t="shared" si="30"/>
        <v>2010</v>
      </c>
      <c r="O68" s="11">
        <f t="shared" si="35"/>
        <v>3495.8255658955941</v>
      </c>
      <c r="P68" s="15">
        <f t="shared" si="31"/>
        <v>2011</v>
      </c>
      <c r="Q68" s="11">
        <f t="shared" si="34"/>
        <v>0</v>
      </c>
      <c r="R68" s="15">
        <f t="shared" si="32"/>
        <v>2012</v>
      </c>
      <c r="S68" s="11">
        <f t="shared" si="26"/>
        <v>0</v>
      </c>
      <c r="T68" s="11">
        <f t="shared" si="39"/>
        <v>17135.228086591396</v>
      </c>
      <c r="U68" s="12"/>
      <c r="V68" s="17"/>
      <c r="W68" s="17"/>
      <c r="X68" s="12"/>
      <c r="Y68" s="12"/>
      <c r="Z68" s="150"/>
      <c r="AA68" s="150"/>
      <c r="AB68" s="150"/>
      <c r="AC68" s="61"/>
      <c r="AD68"/>
    </row>
    <row r="69" spans="1:36" s="11" customFormat="1" x14ac:dyDescent="0.3">
      <c r="A69" s="12"/>
      <c r="C69" s="220"/>
      <c r="F69" s="21"/>
      <c r="G69" s="21"/>
      <c r="H69" s="15">
        <f t="shared" ref="H69:I75" si="40">H29</f>
        <v>2008</v>
      </c>
      <c r="I69" s="11">
        <f t="shared" si="40"/>
        <v>22.314818093967506</v>
      </c>
      <c r="J69" s="15">
        <f t="shared" ref="J69:K77" si="41">J29</f>
        <v>2009</v>
      </c>
      <c r="K69" s="11">
        <f t="shared" si="41"/>
        <v>1619.3294097783412</v>
      </c>
      <c r="L69" s="15">
        <f t="shared" ref="L69:M77" si="42">L29</f>
        <v>2010</v>
      </c>
      <c r="M69" s="11">
        <f t="shared" si="42"/>
        <v>4827.568638617724</v>
      </c>
      <c r="N69" s="15">
        <f t="shared" ref="N69:O77" si="43">N29</f>
        <v>2011</v>
      </c>
      <c r="O69" s="11">
        <f t="shared" si="43"/>
        <v>3595.7516390762598</v>
      </c>
      <c r="P69" s="15">
        <f t="shared" ref="P69:Q77" si="44">P29</f>
        <v>2012</v>
      </c>
      <c r="Q69" s="11">
        <f t="shared" si="44"/>
        <v>0</v>
      </c>
      <c r="R69" s="15">
        <f t="shared" ref="R69:S77" si="45">R29</f>
        <v>2013</v>
      </c>
      <c r="S69" s="11">
        <f t="shared" si="45"/>
        <v>0</v>
      </c>
      <c r="T69" s="11">
        <f t="shared" ref="T69:T76" si="46">E29</f>
        <v>10064.964505566293</v>
      </c>
      <c r="U69" s="12"/>
      <c r="V69" s="17"/>
      <c r="W69" s="17"/>
      <c r="X69" s="12"/>
      <c r="Y69" s="12"/>
      <c r="Z69" s="16"/>
    </row>
    <row r="70" spans="1:36" s="11" customFormat="1" x14ac:dyDescent="0.3">
      <c r="A70" s="12"/>
      <c r="C70" s="220"/>
      <c r="F70" s="21"/>
      <c r="G70" s="21"/>
      <c r="H70" s="15">
        <f t="shared" si="40"/>
        <v>2009</v>
      </c>
      <c r="I70" s="11">
        <f t="shared" si="40"/>
        <v>553.68989498421456</v>
      </c>
      <c r="J70" s="15">
        <f t="shared" si="41"/>
        <v>2010</v>
      </c>
      <c r="K70" s="11">
        <f t="shared" si="41"/>
        <v>11835.86354555519</v>
      </c>
      <c r="L70" s="15">
        <f t="shared" si="42"/>
        <v>2011</v>
      </c>
      <c r="M70" s="11">
        <f t="shared" si="42"/>
        <v>15461.73204802792</v>
      </c>
      <c r="N70" s="15">
        <f t="shared" si="43"/>
        <v>2012</v>
      </c>
      <c r="O70" s="11">
        <f t="shared" si="43"/>
        <v>1965.2128664414308</v>
      </c>
      <c r="P70" s="15">
        <f t="shared" si="44"/>
        <v>2013</v>
      </c>
      <c r="Q70" s="11">
        <f t="shared" si="44"/>
        <v>0</v>
      </c>
      <c r="R70" s="15">
        <f t="shared" si="45"/>
        <v>2014</v>
      </c>
      <c r="S70" s="11">
        <f t="shared" si="45"/>
        <v>0</v>
      </c>
      <c r="T70" s="11">
        <f t="shared" si="46"/>
        <v>29816.498355008753</v>
      </c>
      <c r="U70" s="12"/>
      <c r="V70" s="17"/>
      <c r="W70" s="17"/>
      <c r="X70" s="12"/>
      <c r="Y70" s="12"/>
      <c r="Z70" s="16"/>
    </row>
    <row r="71" spans="1:36" s="11" customFormat="1" x14ac:dyDescent="0.3">
      <c r="A71" s="12"/>
      <c r="C71" s="220"/>
      <c r="F71" s="21"/>
      <c r="G71" s="21"/>
      <c r="H71" s="15">
        <f t="shared" si="40"/>
        <v>2010</v>
      </c>
      <c r="I71" s="11">
        <f t="shared" si="40"/>
        <v>0</v>
      </c>
      <c r="J71" s="15">
        <f t="shared" si="41"/>
        <v>2011</v>
      </c>
      <c r="K71" s="11">
        <f t="shared" si="41"/>
        <v>3348.4318010195798</v>
      </c>
      <c r="L71" s="15">
        <f t="shared" si="42"/>
        <v>2012</v>
      </c>
      <c r="M71" s="11">
        <f t="shared" si="42"/>
        <v>16949.960973057343</v>
      </c>
      <c r="N71" s="15">
        <f t="shared" si="43"/>
        <v>2013</v>
      </c>
      <c r="O71" s="11">
        <f t="shared" si="43"/>
        <v>9480.150242337264</v>
      </c>
      <c r="P71" s="15">
        <f t="shared" si="44"/>
        <v>2014</v>
      </c>
      <c r="Q71" s="11">
        <f t="shared" si="44"/>
        <v>96.075375869154399</v>
      </c>
      <c r="R71" s="15">
        <f t="shared" si="45"/>
        <v>2015</v>
      </c>
      <c r="S71" s="11">
        <f t="shared" si="45"/>
        <v>0</v>
      </c>
      <c r="T71" s="11">
        <f t="shared" si="46"/>
        <v>29874.618392283341</v>
      </c>
      <c r="U71" s="12"/>
      <c r="V71" s="17"/>
      <c r="W71" s="17"/>
      <c r="X71" s="12"/>
      <c r="Y71" s="12"/>
      <c r="Z71" s="16"/>
    </row>
    <row r="72" spans="1:36" s="11" customFormat="1" x14ac:dyDescent="0.3">
      <c r="A72" s="12"/>
      <c r="C72" s="220"/>
      <c r="F72" s="21"/>
      <c r="G72" s="21"/>
      <c r="H72" s="15">
        <f t="shared" si="40"/>
        <v>2011</v>
      </c>
      <c r="I72" s="11">
        <f t="shared" si="40"/>
        <v>2437.5422039992668</v>
      </c>
      <c r="J72" s="15">
        <f t="shared" si="41"/>
        <v>2012</v>
      </c>
      <c r="K72" s="11">
        <f t="shared" si="41"/>
        <v>23899.734135707517</v>
      </c>
      <c r="L72" s="15">
        <f t="shared" si="42"/>
        <v>2013</v>
      </c>
      <c r="M72" s="11">
        <f t="shared" si="42"/>
        <v>36407.811037061198</v>
      </c>
      <c r="N72" s="15">
        <f t="shared" si="43"/>
        <v>2014</v>
      </c>
      <c r="O72" s="11">
        <f t="shared" si="43"/>
        <v>4995.9195451960277</v>
      </c>
      <c r="P72" s="15">
        <f t="shared" si="44"/>
        <v>2015</v>
      </c>
      <c r="Q72" s="11">
        <f t="shared" si="44"/>
        <v>0</v>
      </c>
      <c r="R72" s="15">
        <f t="shared" si="45"/>
        <v>2016</v>
      </c>
      <c r="S72" s="11">
        <f t="shared" si="45"/>
        <v>0</v>
      </c>
      <c r="T72" s="11">
        <f t="shared" si="46"/>
        <v>67741.006921964014</v>
      </c>
      <c r="U72" s="12"/>
      <c r="V72" s="17"/>
      <c r="W72" s="17"/>
      <c r="X72" s="12"/>
      <c r="Y72" s="12"/>
    </row>
    <row r="73" spans="1:36" s="11" customFormat="1" x14ac:dyDescent="0.3">
      <c r="A73" s="12"/>
      <c r="C73" s="220"/>
      <c r="F73" s="21"/>
      <c r="G73" s="21"/>
      <c r="H73" s="15">
        <f>H33</f>
        <v>2012</v>
      </c>
      <c r="I73" s="11">
        <f t="shared" ref="I73:I77" si="47">I33</f>
        <v>3541.8578316145727</v>
      </c>
      <c r="J73" s="15">
        <f t="shared" si="41"/>
        <v>2013</v>
      </c>
      <c r="K73" s="11">
        <f t="shared" si="41"/>
        <v>10109.023225231022</v>
      </c>
      <c r="L73" s="15">
        <f t="shared" si="42"/>
        <v>2014</v>
      </c>
      <c r="M73" s="11">
        <f t="shared" si="42"/>
        <v>10376.140593868673</v>
      </c>
      <c r="N73" s="15">
        <f t="shared" si="43"/>
        <v>2015</v>
      </c>
      <c r="O73" s="11">
        <f t="shared" si="43"/>
        <v>189.47053124851311</v>
      </c>
      <c r="P73" s="15">
        <f t="shared" si="44"/>
        <v>2016</v>
      </c>
      <c r="Q73" s="11">
        <f t="shared" si="44"/>
        <v>0</v>
      </c>
      <c r="R73" s="15">
        <f t="shared" si="45"/>
        <v>2017</v>
      </c>
      <c r="S73" s="11">
        <f t="shared" si="45"/>
        <v>0</v>
      </c>
      <c r="T73" s="11">
        <f t="shared" si="46"/>
        <v>24216.492181962782</v>
      </c>
      <c r="U73" s="12"/>
      <c r="V73" s="17"/>
      <c r="W73" s="17"/>
      <c r="X73" s="12"/>
      <c r="Y73" s="12"/>
    </row>
    <row r="74" spans="1:36" s="11" customFormat="1" x14ac:dyDescent="0.3">
      <c r="A74" s="12"/>
      <c r="C74" s="220"/>
      <c r="F74" s="21"/>
      <c r="G74" s="21"/>
      <c r="H74" s="15">
        <f t="shared" si="40"/>
        <v>2013</v>
      </c>
      <c r="I74" s="11">
        <f t="shared" si="47"/>
        <v>1623.2371026370881</v>
      </c>
      <c r="J74" s="15">
        <f t="shared" si="41"/>
        <v>2014</v>
      </c>
      <c r="K74" s="11">
        <f t="shared" si="41"/>
        <v>6179.8896040463187</v>
      </c>
      <c r="L74" s="15">
        <f t="shared" si="42"/>
        <v>2015</v>
      </c>
      <c r="M74" s="11">
        <f t="shared" si="42"/>
        <v>8715.6444374316034</v>
      </c>
      <c r="N74" s="15">
        <f t="shared" si="43"/>
        <v>2016</v>
      </c>
      <c r="O74" s="11">
        <f t="shared" si="43"/>
        <v>735.7534246575342</v>
      </c>
      <c r="P74" s="15">
        <f t="shared" si="44"/>
        <v>2017</v>
      </c>
      <c r="Q74" s="11">
        <f t="shared" si="44"/>
        <v>0</v>
      </c>
      <c r="R74" s="15">
        <f t="shared" si="45"/>
        <v>2018</v>
      </c>
      <c r="S74" s="11">
        <f t="shared" si="45"/>
        <v>0</v>
      </c>
      <c r="T74" s="11">
        <f t="shared" si="46"/>
        <v>17254.524568772544</v>
      </c>
      <c r="U74" s="12"/>
      <c r="V74" s="17"/>
      <c r="W74" s="17"/>
      <c r="X74" s="12"/>
      <c r="Y74" s="12"/>
    </row>
    <row r="75" spans="1:36" s="11" customFormat="1" x14ac:dyDescent="0.3">
      <c r="A75" s="12"/>
      <c r="C75" s="220"/>
      <c r="F75" s="21"/>
      <c r="G75" s="21"/>
      <c r="H75" s="15">
        <f t="shared" si="40"/>
        <v>2014</v>
      </c>
      <c r="I75" s="11">
        <f t="shared" si="47"/>
        <v>2837.3511744136345</v>
      </c>
      <c r="J75" s="15">
        <f t="shared" si="41"/>
        <v>2015</v>
      </c>
      <c r="K75" s="11">
        <f t="shared" si="41"/>
        <v>6627.1179251323401</v>
      </c>
      <c r="L75" s="15">
        <f t="shared" si="42"/>
        <v>2016</v>
      </c>
      <c r="M75" s="11">
        <f t="shared" si="42"/>
        <v>9722.455968688846</v>
      </c>
      <c r="N75" s="15">
        <f t="shared" si="43"/>
        <v>2017</v>
      </c>
      <c r="O75" s="11">
        <f t="shared" si="43"/>
        <v>6405.0390625</v>
      </c>
      <c r="P75" s="15">
        <f t="shared" si="44"/>
        <v>2018</v>
      </c>
      <c r="Q75" s="11">
        <f t="shared" si="44"/>
        <v>0</v>
      </c>
      <c r="R75" s="15">
        <f t="shared" si="45"/>
        <v>2019</v>
      </c>
      <c r="S75" s="13">
        <f t="shared" ref="S75" si="48">S35</f>
        <v>0</v>
      </c>
      <c r="T75" s="11">
        <f t="shared" si="46"/>
        <v>25591.964130734821</v>
      </c>
      <c r="U75" s="12"/>
      <c r="V75" s="17"/>
      <c r="W75" s="17"/>
      <c r="X75" s="12"/>
      <c r="Y75" s="12"/>
    </row>
    <row r="76" spans="1:36" s="11" customFormat="1" x14ac:dyDescent="0.3">
      <c r="A76" s="12"/>
      <c r="C76" s="220"/>
      <c r="F76" s="21"/>
      <c r="G76" s="21"/>
      <c r="H76" s="15">
        <f>H36</f>
        <v>2015</v>
      </c>
      <c r="I76" s="11">
        <f t="shared" si="47"/>
        <v>1537.7442723025902</v>
      </c>
      <c r="J76" s="15">
        <f t="shared" si="41"/>
        <v>2016</v>
      </c>
      <c r="K76" s="11">
        <f t="shared" si="41"/>
        <v>15557.215264187869</v>
      </c>
      <c r="L76" s="15">
        <f t="shared" si="42"/>
        <v>2017</v>
      </c>
      <c r="M76" s="11">
        <f t="shared" si="42"/>
        <v>21309.072265625</v>
      </c>
      <c r="N76" s="15">
        <f t="shared" si="43"/>
        <v>2018</v>
      </c>
      <c r="O76" s="11">
        <f t="shared" si="43"/>
        <v>1171.8797814207651</v>
      </c>
      <c r="P76" s="15">
        <f t="shared" si="44"/>
        <v>2019</v>
      </c>
      <c r="Q76" s="13">
        <f t="shared" si="44"/>
        <v>0</v>
      </c>
      <c r="R76" s="15">
        <f t="shared" si="45"/>
        <v>2020</v>
      </c>
      <c r="S76" s="13">
        <f t="shared" ref="S76:S77" si="49">S36</f>
        <v>0</v>
      </c>
      <c r="T76" s="11">
        <f t="shared" si="46"/>
        <v>39575.911583536224</v>
      </c>
      <c r="U76" s="12"/>
      <c r="V76" s="17"/>
      <c r="W76" s="17"/>
      <c r="X76" s="12"/>
      <c r="Y76" s="12"/>
    </row>
    <row r="77" spans="1:36" s="11" customFormat="1" x14ac:dyDescent="0.3">
      <c r="A77" s="12"/>
      <c r="C77" s="220"/>
      <c r="F77" s="21"/>
      <c r="G77" s="21"/>
      <c r="H77" s="15">
        <f>H37</f>
        <v>2016</v>
      </c>
      <c r="I77" s="11">
        <f t="shared" si="47"/>
        <v>623.94520547945206</v>
      </c>
      <c r="J77" s="15">
        <f t="shared" si="41"/>
        <v>2017</v>
      </c>
      <c r="K77" s="11">
        <f t="shared" si="41"/>
        <v>4928.826171875</v>
      </c>
      <c r="L77" s="15">
        <f t="shared" si="42"/>
        <v>2018</v>
      </c>
      <c r="M77" s="11">
        <f t="shared" si="42"/>
        <v>13867.24408014572</v>
      </c>
      <c r="N77" s="15">
        <f t="shared" si="43"/>
        <v>2019</v>
      </c>
      <c r="O77" s="13">
        <f>SUM(I77,K77,M77,Q77,S77)*(1/(1-O112)-1)</f>
        <v>4736.2573381986413</v>
      </c>
      <c r="P77" s="15">
        <f t="shared" si="44"/>
        <v>2020</v>
      </c>
      <c r="Q77" s="13">
        <f t="shared" si="44"/>
        <v>0</v>
      </c>
      <c r="R77" s="15">
        <f t="shared" si="45"/>
        <v>2021</v>
      </c>
      <c r="S77" s="13">
        <f t="shared" si="49"/>
        <v>0</v>
      </c>
      <c r="T77" s="13"/>
      <c r="U77" s="12"/>
      <c r="V77" s="17"/>
      <c r="W77" s="17"/>
      <c r="X77" s="12"/>
      <c r="Y77" s="12"/>
    </row>
    <row r="78" spans="1:36" s="11" customFormat="1" x14ac:dyDescent="0.3">
      <c r="A78" s="12"/>
      <c r="F78" s="21"/>
      <c r="G78" s="21"/>
      <c r="H78" s="20"/>
      <c r="J78" s="20"/>
      <c r="L78" s="20"/>
      <c r="N78" s="20"/>
      <c r="P78" s="20"/>
      <c r="R78" s="20"/>
      <c r="U78" s="12"/>
      <c r="V78" s="17"/>
      <c r="W78" s="17"/>
      <c r="X78" s="12"/>
      <c r="Y78" s="12"/>
    </row>
    <row r="79" spans="1:36" s="11" customFormat="1" x14ac:dyDescent="0.3">
      <c r="A79" s="12"/>
      <c r="F79" s="21"/>
      <c r="G79" s="21"/>
      <c r="H79" s="46" t="s">
        <v>0</v>
      </c>
      <c r="I79" s="44" t="s">
        <v>43</v>
      </c>
      <c r="J79" s="44"/>
      <c r="K79" s="44" t="s">
        <v>44</v>
      </c>
      <c r="L79" s="44"/>
      <c r="M79" s="44" t="s">
        <v>45</v>
      </c>
      <c r="N79" s="44"/>
      <c r="O79" s="44" t="s">
        <v>46</v>
      </c>
      <c r="P79" s="44"/>
      <c r="Q79" s="44" t="s">
        <v>47</v>
      </c>
      <c r="R79" s="44"/>
      <c r="S79" s="44" t="s">
        <v>48</v>
      </c>
      <c r="U79" s="12"/>
      <c r="V79" s="17"/>
      <c r="W79" s="17"/>
      <c r="X79" s="12"/>
      <c r="Y79" s="12"/>
    </row>
    <row r="80" spans="1:36" s="11" customFormat="1" x14ac:dyDescent="0.3">
      <c r="A80" s="12"/>
      <c r="F80" s="21"/>
      <c r="G80" s="21"/>
      <c r="H80" s="15">
        <v>1985</v>
      </c>
      <c r="I80" s="18">
        <f>I46/$T46</f>
        <v>1.1006304872781333E-2</v>
      </c>
      <c r="J80" s="15">
        <v>1986</v>
      </c>
      <c r="K80" s="18">
        <f>K46/$T46</f>
        <v>0.26369751986202372</v>
      </c>
      <c r="L80" s="15">
        <v>1987</v>
      </c>
      <c r="M80" s="18">
        <f>M46/$T46</f>
        <v>0.67274297719729081</v>
      </c>
      <c r="N80" s="15">
        <v>1988</v>
      </c>
      <c r="O80" s="18">
        <f>O46/$T46</f>
        <v>4.956288641711859E-2</v>
      </c>
      <c r="P80" s="15">
        <v>1989</v>
      </c>
      <c r="Q80" s="18">
        <f>Q46/$T46</f>
        <v>2.9903116507855269E-3</v>
      </c>
      <c r="R80" s="15">
        <v>1990</v>
      </c>
      <c r="S80" s="18">
        <f>S46/$T46</f>
        <v>0</v>
      </c>
      <c r="T80" s="18">
        <f>SUM(I80,K80,M80,O80,Q80,S80)</f>
        <v>1</v>
      </c>
      <c r="U80" s="12"/>
      <c r="V80" s="17"/>
      <c r="W80" s="17"/>
      <c r="X80" s="12"/>
      <c r="Y80" s="12"/>
    </row>
    <row r="81" spans="1:36" s="11" customFormat="1" x14ac:dyDescent="0.3">
      <c r="A81" s="12"/>
      <c r="F81" s="21"/>
      <c r="G81" s="21"/>
      <c r="H81" s="15">
        <v>1986</v>
      </c>
      <c r="I81" s="18">
        <f t="shared" ref="I81:K96" si="50">I47/$T47</f>
        <v>5.3432824993100946E-3</v>
      </c>
      <c r="J81" s="15">
        <v>1987</v>
      </c>
      <c r="K81" s="18">
        <f t="shared" si="50"/>
        <v>0.46317506003908404</v>
      </c>
      <c r="L81" s="15">
        <v>1988</v>
      </c>
      <c r="M81" s="18">
        <f t="shared" ref="M81:M88" si="51">M47/$T47</f>
        <v>0.21694216798093732</v>
      </c>
      <c r="N81" s="15">
        <v>1989</v>
      </c>
      <c r="O81" s="18">
        <f t="shared" ref="O81:O88" si="52">O47/$T47</f>
        <v>0.31285713012443533</v>
      </c>
      <c r="P81" s="15">
        <v>1990</v>
      </c>
      <c r="Q81" s="18">
        <f t="shared" ref="Q81:Q88" si="53">Q47/$T47</f>
        <v>0</v>
      </c>
      <c r="R81" s="15">
        <v>1991</v>
      </c>
      <c r="S81" s="18">
        <f t="shared" ref="S81:S88" si="54">S47/$T47</f>
        <v>1.6823593562332476E-3</v>
      </c>
      <c r="T81" s="18">
        <f t="shared" ref="T81:T88" si="55">SUM(I81,K81,M81,O81,Q81,S81)</f>
        <v>1</v>
      </c>
      <c r="U81" s="12"/>
      <c r="V81" s="17"/>
      <c r="W81" s="17"/>
      <c r="X81" s="12"/>
      <c r="Y81" s="12"/>
    </row>
    <row r="82" spans="1:36" s="11" customFormat="1" x14ac:dyDescent="0.3">
      <c r="A82" s="12"/>
      <c r="F82" s="21"/>
      <c r="G82" s="21"/>
      <c r="H82" s="15">
        <v>1987</v>
      </c>
      <c r="I82" s="18">
        <f t="shared" si="50"/>
        <v>1.8812127975366829E-3</v>
      </c>
      <c r="J82" s="15">
        <v>1988</v>
      </c>
      <c r="K82" s="18">
        <f t="shared" si="50"/>
        <v>9.3059161023313196E-3</v>
      </c>
      <c r="L82" s="15">
        <v>1989</v>
      </c>
      <c r="M82" s="18">
        <f t="shared" si="51"/>
        <v>0.5432391524847312</v>
      </c>
      <c r="N82" s="15">
        <v>1990</v>
      </c>
      <c r="O82" s="18">
        <f t="shared" si="52"/>
        <v>0.42097857064480482</v>
      </c>
      <c r="P82" s="15">
        <v>1991</v>
      </c>
      <c r="Q82" s="18">
        <f t="shared" si="53"/>
        <v>2.4595147970595872E-2</v>
      </c>
      <c r="R82" s="15">
        <v>1992</v>
      </c>
      <c r="S82" s="18">
        <f t="shared" si="54"/>
        <v>0</v>
      </c>
      <c r="T82" s="18">
        <f t="shared" si="55"/>
        <v>0.99999999999999989</v>
      </c>
      <c r="U82" s="12"/>
      <c r="V82" s="17"/>
      <c r="W82" s="17"/>
      <c r="X82" s="12"/>
      <c r="Y82" s="12"/>
    </row>
    <row r="83" spans="1:36" s="11" customFormat="1" x14ac:dyDescent="0.3">
      <c r="A83" s="12"/>
      <c r="F83" s="21"/>
      <c r="G83" s="21"/>
      <c r="H83" s="15">
        <v>1988</v>
      </c>
      <c r="I83" s="18">
        <f t="shared" si="50"/>
        <v>0</v>
      </c>
      <c r="J83" s="15">
        <v>1989</v>
      </c>
      <c r="K83" s="18">
        <f t="shared" si="50"/>
        <v>2.8866675775338496E-2</v>
      </c>
      <c r="L83" s="15">
        <v>1990</v>
      </c>
      <c r="M83" s="18">
        <f t="shared" si="51"/>
        <v>0.55531317982237927</v>
      </c>
      <c r="N83" s="15">
        <v>1991</v>
      </c>
      <c r="O83" s="18">
        <f t="shared" si="52"/>
        <v>0.41369709214476802</v>
      </c>
      <c r="P83" s="15">
        <v>1992</v>
      </c>
      <c r="Q83" s="18">
        <f t="shared" si="53"/>
        <v>2.1230522575141487E-3</v>
      </c>
      <c r="R83" s="15">
        <v>1993</v>
      </c>
      <c r="S83" s="18">
        <f t="shared" si="54"/>
        <v>0</v>
      </c>
      <c r="T83" s="18">
        <f t="shared" si="55"/>
        <v>1</v>
      </c>
      <c r="U83" s="12"/>
      <c r="V83" s="17"/>
      <c r="W83" s="17"/>
      <c r="X83" s="12"/>
      <c r="Y83" s="12"/>
    </row>
    <row r="84" spans="1:36" s="11" customFormat="1" x14ac:dyDescent="0.3">
      <c r="A84" s="12"/>
      <c r="F84" s="21"/>
      <c r="G84" s="21"/>
      <c r="H84" s="15">
        <v>1989</v>
      </c>
      <c r="I84" s="18">
        <f t="shared" si="50"/>
        <v>1.3846566909729803E-2</v>
      </c>
      <c r="J84" s="15">
        <v>1990</v>
      </c>
      <c r="K84" s="18">
        <f t="shared" si="50"/>
        <v>0.38673680669841159</v>
      </c>
      <c r="L84" s="15">
        <v>1991</v>
      </c>
      <c r="M84" s="18">
        <f t="shared" si="51"/>
        <v>0.29666315263425963</v>
      </c>
      <c r="N84" s="15">
        <v>1992</v>
      </c>
      <c r="O84" s="18">
        <f t="shared" si="52"/>
        <v>0.27836336707570419</v>
      </c>
      <c r="P84" s="15">
        <v>1993</v>
      </c>
      <c r="Q84" s="18">
        <f t="shared" si="53"/>
        <v>2.4390106681894629E-2</v>
      </c>
      <c r="R84" s="15">
        <v>1994</v>
      </c>
      <c r="S84" s="18">
        <f t="shared" si="54"/>
        <v>0</v>
      </c>
      <c r="T84" s="18">
        <f t="shared" si="55"/>
        <v>0.99999999999999989</v>
      </c>
      <c r="U84" s="12"/>
      <c r="V84" s="17"/>
      <c r="W84" s="17"/>
      <c r="X84" s="12"/>
      <c r="Y84" s="12"/>
    </row>
    <row r="85" spans="1:36" s="11" customFormat="1" x14ac:dyDescent="0.3">
      <c r="A85" s="12"/>
      <c r="F85" s="21"/>
      <c r="G85" s="21"/>
      <c r="H85" s="15">
        <v>1990</v>
      </c>
      <c r="I85" s="18">
        <f t="shared" si="50"/>
        <v>3.2726998396769381E-2</v>
      </c>
      <c r="J85" s="15">
        <v>1991</v>
      </c>
      <c r="K85" s="18">
        <f t="shared" si="50"/>
        <v>0.29439687979462809</v>
      </c>
      <c r="L85" s="15">
        <v>1992</v>
      </c>
      <c r="M85" s="18">
        <f t="shared" si="51"/>
        <v>0.32935379739635628</v>
      </c>
      <c r="N85" s="15">
        <v>1993</v>
      </c>
      <c r="O85" s="18">
        <f t="shared" si="52"/>
        <v>0.2912069907063361</v>
      </c>
      <c r="P85" s="15">
        <v>1994</v>
      </c>
      <c r="Q85" s="18">
        <f t="shared" si="53"/>
        <v>5.23153337059101E-2</v>
      </c>
      <c r="R85" s="15">
        <v>1995</v>
      </c>
      <c r="S85" s="18">
        <f t="shared" si="54"/>
        <v>0</v>
      </c>
      <c r="T85" s="18">
        <f t="shared" si="55"/>
        <v>1</v>
      </c>
      <c r="U85" s="12"/>
      <c r="V85" s="17"/>
      <c r="W85" s="17"/>
      <c r="X85" s="12"/>
      <c r="Y85" s="12"/>
    </row>
    <row r="86" spans="1:36" s="11" customFormat="1" ht="15" thickBot="1" x14ac:dyDescent="0.35">
      <c r="A86" s="12"/>
      <c r="F86" s="21"/>
      <c r="G86" s="21"/>
      <c r="H86" s="15">
        <v>1991</v>
      </c>
      <c r="I86" s="18">
        <f t="shared" si="50"/>
        <v>3.1012260596606617E-3</v>
      </c>
      <c r="J86" s="15">
        <v>1992</v>
      </c>
      <c r="K86" s="18">
        <f t="shared" si="50"/>
        <v>5.325174474601807E-2</v>
      </c>
      <c r="L86" s="15">
        <v>1993</v>
      </c>
      <c r="M86" s="18">
        <f t="shared" si="51"/>
        <v>0.43084068106125256</v>
      </c>
      <c r="N86" s="15">
        <v>1994</v>
      </c>
      <c r="O86" s="18">
        <f t="shared" si="52"/>
        <v>0.50960345748132008</v>
      </c>
      <c r="P86" s="15">
        <v>1995</v>
      </c>
      <c r="Q86" s="18">
        <f t="shared" si="53"/>
        <v>3.2028906517486016E-3</v>
      </c>
      <c r="R86" s="15">
        <v>1996</v>
      </c>
      <c r="S86" s="18">
        <f t="shared" si="54"/>
        <v>0</v>
      </c>
      <c r="T86" s="18">
        <f t="shared" si="55"/>
        <v>1</v>
      </c>
      <c r="U86" s="12"/>
      <c r="V86" s="17"/>
      <c r="W86" s="17"/>
      <c r="X86" s="12"/>
      <c r="Y86" s="12"/>
      <c r="Z86" s="71"/>
      <c r="AA86" s="71"/>
      <c r="AB86"/>
      <c r="AC86"/>
      <c r="AD86"/>
      <c r="AE86"/>
      <c r="AF86"/>
      <c r="AG86"/>
      <c r="AH86"/>
      <c r="AI86" s="152">
        <v>-4.0689368384563525E-5</v>
      </c>
    </row>
    <row r="87" spans="1:36" s="11" customFormat="1" x14ac:dyDescent="0.3">
      <c r="A87" s="12"/>
      <c r="F87" s="21"/>
      <c r="G87" s="21"/>
      <c r="H87" s="15">
        <v>1992</v>
      </c>
      <c r="I87" s="18">
        <f t="shared" si="50"/>
        <v>2.6789161475843884E-2</v>
      </c>
      <c r="J87" s="15">
        <v>1993</v>
      </c>
      <c r="K87" s="18">
        <f t="shared" si="50"/>
        <v>0.33802995938718539</v>
      </c>
      <c r="L87" s="15">
        <v>1994</v>
      </c>
      <c r="M87" s="18">
        <f t="shared" si="51"/>
        <v>0.56011462652097133</v>
      </c>
      <c r="N87" s="15">
        <v>1995</v>
      </c>
      <c r="O87" s="18">
        <f t="shared" si="52"/>
        <v>7.4497402446897162E-2</v>
      </c>
      <c r="P87" s="15">
        <v>1996</v>
      </c>
      <c r="Q87" s="18">
        <f t="shared" si="53"/>
        <v>5.6885016910232966E-4</v>
      </c>
      <c r="R87" s="15">
        <v>1997</v>
      </c>
      <c r="S87" s="18">
        <f t="shared" si="54"/>
        <v>0</v>
      </c>
      <c r="T87" s="18">
        <f t="shared" si="55"/>
        <v>1</v>
      </c>
      <c r="U87" s="12"/>
      <c r="V87" s="17"/>
      <c r="W87" s="17"/>
      <c r="X87" s="12"/>
      <c r="Y87" s="12"/>
      <c r="Z87"/>
      <c r="AB87"/>
      <c r="AC87"/>
      <c r="AD87"/>
      <c r="AE87"/>
      <c r="AF87"/>
      <c r="AG87"/>
      <c r="AH87"/>
      <c r="AI87" s="153">
        <v>4.0689368384563525E-5</v>
      </c>
    </row>
    <row r="88" spans="1:36" s="11" customFormat="1" x14ac:dyDescent="0.3">
      <c r="A88" s="12"/>
      <c r="F88" s="21"/>
      <c r="G88" s="21"/>
      <c r="H88" s="15">
        <v>1993</v>
      </c>
      <c r="I88" s="18">
        <f t="shared" si="50"/>
        <v>6.001261225795267E-3</v>
      </c>
      <c r="J88" s="15">
        <v>1994</v>
      </c>
      <c r="K88" s="18">
        <f t="shared" si="50"/>
        <v>0.2808940983983868</v>
      </c>
      <c r="L88" s="15">
        <v>1995</v>
      </c>
      <c r="M88" s="18">
        <f t="shared" si="51"/>
        <v>0.64481396204139441</v>
      </c>
      <c r="N88" s="15">
        <v>1996</v>
      </c>
      <c r="O88" s="18">
        <f t="shared" si="52"/>
        <v>6.8290678334423427E-2</v>
      </c>
      <c r="P88" s="15">
        <v>1997</v>
      </c>
      <c r="Q88" s="18">
        <f t="shared" si="53"/>
        <v>0</v>
      </c>
      <c r="R88" s="15">
        <v>1998</v>
      </c>
      <c r="S88" s="18">
        <f t="shared" si="54"/>
        <v>0</v>
      </c>
      <c r="T88" s="18">
        <f t="shared" si="55"/>
        <v>1</v>
      </c>
      <c r="U88" s="12"/>
      <c r="V88" s="17"/>
      <c r="W88" s="17"/>
      <c r="X88" s="12"/>
      <c r="Y88" s="12"/>
      <c r="Z88" s="12"/>
    </row>
    <row r="89" spans="1:36" s="11" customFormat="1" x14ac:dyDescent="0.3">
      <c r="A89" s="12"/>
      <c r="F89" s="21"/>
      <c r="G89" s="21"/>
      <c r="H89" s="15">
        <v>1994</v>
      </c>
      <c r="I89" s="18"/>
      <c r="J89" s="15">
        <v>1995</v>
      </c>
      <c r="K89" s="18"/>
      <c r="L89" s="15">
        <v>1996</v>
      </c>
      <c r="M89" s="18"/>
      <c r="N89" s="15">
        <v>1997</v>
      </c>
      <c r="O89" s="18"/>
      <c r="P89" s="15">
        <v>1998</v>
      </c>
      <c r="Q89" s="18"/>
      <c r="R89" s="15">
        <v>1999</v>
      </c>
      <c r="S89" s="18"/>
      <c r="U89" s="12"/>
      <c r="V89" s="17"/>
      <c r="W89" s="17"/>
      <c r="X89" s="12"/>
      <c r="Y89" s="12"/>
      <c r="Z89" s="12"/>
    </row>
    <row r="90" spans="1:36" s="11" customFormat="1" x14ac:dyDescent="0.3">
      <c r="A90" s="12"/>
      <c r="F90" s="21"/>
      <c r="G90" s="21"/>
      <c r="H90" s="15">
        <v>1995</v>
      </c>
      <c r="I90" s="18"/>
      <c r="J90" s="15">
        <v>1996</v>
      </c>
      <c r="K90" s="18"/>
      <c r="L90" s="15">
        <v>1997</v>
      </c>
      <c r="M90" s="18"/>
      <c r="N90" s="15">
        <v>1998</v>
      </c>
      <c r="O90" s="18"/>
      <c r="P90" s="15">
        <v>1999</v>
      </c>
      <c r="Q90" s="18"/>
      <c r="R90" s="15">
        <v>2000</v>
      </c>
      <c r="S90" s="18"/>
      <c r="U90" s="12"/>
      <c r="V90" s="17"/>
      <c r="W90" s="17"/>
      <c r="X90" s="12"/>
      <c r="Y90" s="12"/>
      <c r="Z90" s="12"/>
    </row>
    <row r="91" spans="1:36" s="11" customFormat="1" x14ac:dyDescent="0.3">
      <c r="A91" s="12"/>
      <c r="F91" s="21"/>
      <c r="G91" s="21"/>
      <c r="H91" s="15">
        <v>1996</v>
      </c>
      <c r="I91" s="18"/>
      <c r="J91" s="15">
        <v>1997</v>
      </c>
      <c r="K91" s="18"/>
      <c r="L91" s="15">
        <v>1998</v>
      </c>
      <c r="M91" s="18"/>
      <c r="N91" s="15">
        <v>1999</v>
      </c>
      <c r="O91" s="18"/>
      <c r="P91" s="15">
        <v>2000</v>
      </c>
      <c r="Q91" s="18"/>
      <c r="R91" s="15">
        <v>2001</v>
      </c>
      <c r="S91" s="18"/>
      <c r="U91" s="12"/>
      <c r="V91" s="17"/>
      <c r="W91" s="17"/>
      <c r="X91" s="12"/>
      <c r="Y91" s="12"/>
      <c r="Z91" s="12"/>
    </row>
    <row r="92" spans="1:36" s="11" customFormat="1" x14ac:dyDescent="0.3">
      <c r="A92" s="12"/>
      <c r="F92" s="21"/>
      <c r="G92" s="21"/>
      <c r="H92" s="15">
        <v>1997</v>
      </c>
      <c r="I92" s="18"/>
      <c r="J92" s="15">
        <v>1998</v>
      </c>
      <c r="K92" s="18"/>
      <c r="L92" s="15">
        <v>1999</v>
      </c>
      <c r="M92" s="18"/>
      <c r="N92" s="15">
        <v>2000</v>
      </c>
      <c r="O92" s="18"/>
      <c r="P92" s="15">
        <v>2001</v>
      </c>
      <c r="Q92" s="18"/>
      <c r="R92" s="15">
        <v>2002</v>
      </c>
      <c r="S92" s="18"/>
      <c r="U92" s="12"/>
      <c r="V92" s="17"/>
      <c r="W92" s="17"/>
      <c r="X92" s="12"/>
      <c r="Y92" s="12"/>
      <c r="Z92" s="12"/>
    </row>
    <row r="93" spans="1:36" s="11" customFormat="1" x14ac:dyDescent="0.3">
      <c r="A93" s="12"/>
      <c r="F93" s="21"/>
      <c r="G93" s="21"/>
      <c r="H93" s="15">
        <v>1998</v>
      </c>
      <c r="I93" s="18"/>
      <c r="J93" s="15">
        <v>1999</v>
      </c>
      <c r="K93" s="18"/>
      <c r="L93" s="15">
        <v>2000</v>
      </c>
      <c r="M93" s="18"/>
      <c r="N93" s="15">
        <v>2001</v>
      </c>
      <c r="O93" s="18"/>
      <c r="P93" s="15">
        <v>2002</v>
      </c>
      <c r="Q93" s="18"/>
      <c r="R93" s="15">
        <v>2003</v>
      </c>
      <c r="S93" s="18"/>
      <c r="U93" s="12"/>
      <c r="V93" s="17"/>
      <c r="W93" s="17"/>
      <c r="X93" s="12"/>
      <c r="Y93" s="12"/>
      <c r="Z93" s="12"/>
    </row>
    <row r="94" spans="1:36" s="11" customFormat="1" x14ac:dyDescent="0.3">
      <c r="A94" s="12"/>
      <c r="F94" s="21"/>
      <c r="G94" s="21"/>
      <c r="H94" s="15">
        <v>1999</v>
      </c>
      <c r="I94" s="18">
        <f t="shared" si="50"/>
        <v>1.7596731748393945E-2</v>
      </c>
      <c r="J94" s="15">
        <v>2000</v>
      </c>
      <c r="K94" s="18">
        <f t="shared" si="50"/>
        <v>0.13973808070092963</v>
      </c>
      <c r="L94" s="15">
        <v>2001</v>
      </c>
      <c r="M94" s="18">
        <f t="shared" ref="M94:M110" si="56">M60/$T60</f>
        <v>0.47214615528032666</v>
      </c>
      <c r="N94" s="15">
        <v>2002</v>
      </c>
      <c r="O94" s="18">
        <f t="shared" ref="O94:O110" si="57">O60/$T60</f>
        <v>0.35948122405222144</v>
      </c>
      <c r="P94" s="15">
        <v>2003</v>
      </c>
      <c r="Q94" s="18">
        <f t="shared" ref="Q94:Q110" si="58">Q60/$T60</f>
        <v>1.1037808218128317E-2</v>
      </c>
      <c r="R94" s="15">
        <v>2004</v>
      </c>
      <c r="S94" s="18">
        <f t="shared" ref="S94:S110" si="59">S60/$T60</f>
        <v>0</v>
      </c>
      <c r="T94" s="18">
        <f t="shared" ref="T94:T110" si="60">SUM(I94,K94,M94,O94,Q94,S94)</f>
        <v>0.99999999999999989</v>
      </c>
      <c r="U94" s="12"/>
      <c r="V94" s="17"/>
      <c r="W94" s="17"/>
      <c r="X94" s="12"/>
      <c r="Y94" s="12"/>
      <c r="Z94" s="12"/>
    </row>
    <row r="95" spans="1:36" x14ac:dyDescent="0.3">
      <c r="H95" s="15">
        <v>2000</v>
      </c>
      <c r="I95" s="18">
        <f t="shared" si="50"/>
        <v>2.9434312425481186E-3</v>
      </c>
      <c r="J95" s="15">
        <v>2001</v>
      </c>
      <c r="K95" s="18">
        <f t="shared" si="50"/>
        <v>4.7195437212096993E-2</v>
      </c>
      <c r="L95" s="15">
        <v>2002</v>
      </c>
      <c r="M95" s="18">
        <f t="shared" si="56"/>
        <v>0.48363007018920656</v>
      </c>
      <c r="N95" s="15">
        <v>2003</v>
      </c>
      <c r="O95" s="18">
        <f t="shared" si="57"/>
        <v>0.46623106135614828</v>
      </c>
      <c r="P95" s="15">
        <v>2004</v>
      </c>
      <c r="Q95" s="18">
        <f t="shared" si="58"/>
        <v>0</v>
      </c>
      <c r="R95" s="15">
        <v>2005</v>
      </c>
      <c r="S95" s="18">
        <f t="shared" si="59"/>
        <v>0</v>
      </c>
      <c r="T95" s="18">
        <f t="shared" si="60"/>
        <v>1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s="11" customFormat="1" x14ac:dyDescent="0.3">
      <c r="A96" s="12"/>
      <c r="F96" s="21"/>
      <c r="G96" s="21"/>
      <c r="H96" s="15">
        <v>2001</v>
      </c>
      <c r="I96" s="18">
        <f t="shared" si="50"/>
        <v>1.6818515012275641E-3</v>
      </c>
      <c r="J96" s="15">
        <v>2002</v>
      </c>
      <c r="K96" s="18">
        <f t="shared" si="50"/>
        <v>0.13179155519544122</v>
      </c>
      <c r="L96" s="15">
        <v>2003</v>
      </c>
      <c r="M96" s="18">
        <f t="shared" si="56"/>
        <v>0.79410562302488186</v>
      </c>
      <c r="N96" s="15">
        <v>2004</v>
      </c>
      <c r="O96" s="18">
        <f t="shared" si="57"/>
        <v>7.1664122515603071E-2</v>
      </c>
      <c r="P96" s="15">
        <v>2005</v>
      </c>
      <c r="Q96" s="18">
        <f t="shared" si="58"/>
        <v>7.5684776284614221E-4</v>
      </c>
      <c r="R96" s="15">
        <v>2006</v>
      </c>
      <c r="S96" s="18">
        <f t="shared" si="59"/>
        <v>0</v>
      </c>
      <c r="T96" s="18">
        <f t="shared" si="60"/>
        <v>0.99999999999999989</v>
      </c>
      <c r="U96" s="12"/>
      <c r="V96" s="17"/>
      <c r="W96" s="17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1" customFormat="1" x14ac:dyDescent="0.3">
      <c r="A97" s="12"/>
      <c r="F97" s="21"/>
      <c r="G97" s="21"/>
      <c r="H97" s="15">
        <v>2002</v>
      </c>
      <c r="I97" s="18">
        <f t="shared" ref="I97:K102" si="61">I63/$T63</f>
        <v>7.2111627385657939E-4</v>
      </c>
      <c r="J97" s="15">
        <v>2003</v>
      </c>
      <c r="K97" s="18">
        <f t="shared" si="61"/>
        <v>7.0490378568990611E-2</v>
      </c>
      <c r="L97" s="15">
        <v>2004</v>
      </c>
      <c r="M97" s="18">
        <f t="shared" si="56"/>
        <v>0.82983297889142627</v>
      </c>
      <c r="N97" s="15">
        <v>2005</v>
      </c>
      <c r="O97" s="18">
        <f t="shared" si="57"/>
        <v>9.8955526265726471E-2</v>
      </c>
      <c r="P97" s="15">
        <v>2006</v>
      </c>
      <c r="Q97" s="18">
        <f t="shared" si="58"/>
        <v>0</v>
      </c>
      <c r="R97" s="15">
        <v>2007</v>
      </c>
      <c r="S97" s="18">
        <f t="shared" si="59"/>
        <v>0</v>
      </c>
      <c r="T97" s="18">
        <f t="shared" si="60"/>
        <v>0.99999999999999989</v>
      </c>
      <c r="U97" s="12"/>
      <c r="V97" s="17"/>
      <c r="W97" s="17"/>
      <c r="X97" s="12"/>
      <c r="Y97" s="12"/>
      <c r="Z97" s="12"/>
    </row>
    <row r="98" spans="1:36" x14ac:dyDescent="0.3">
      <c r="H98" s="15">
        <v>2003</v>
      </c>
      <c r="I98" s="18">
        <f t="shared" si="61"/>
        <v>3.8654232491713592E-4</v>
      </c>
      <c r="J98" s="15">
        <v>2004</v>
      </c>
      <c r="K98" s="18">
        <f t="shared" si="61"/>
        <v>0.35151572274758491</v>
      </c>
      <c r="L98" s="15">
        <v>2005</v>
      </c>
      <c r="M98" s="18">
        <f t="shared" si="56"/>
        <v>0.50941929421347398</v>
      </c>
      <c r="N98" s="15">
        <v>2006</v>
      </c>
      <c r="O98" s="18">
        <f t="shared" si="57"/>
        <v>0.13669774318444691</v>
      </c>
      <c r="P98" s="15">
        <v>2007</v>
      </c>
      <c r="Q98" s="18">
        <f t="shared" si="58"/>
        <v>1.9806975295771469E-3</v>
      </c>
      <c r="R98" s="15">
        <v>2008</v>
      </c>
      <c r="S98" s="18">
        <f t="shared" si="59"/>
        <v>0</v>
      </c>
      <c r="T98" s="18">
        <f t="shared" si="60"/>
        <v>1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x14ac:dyDescent="0.3">
      <c r="H99" s="15">
        <v>2004</v>
      </c>
      <c r="I99" s="18">
        <f t="shared" si="61"/>
        <v>1.132772315090368E-2</v>
      </c>
      <c r="J99" s="15">
        <v>2005</v>
      </c>
      <c r="K99" s="18">
        <f t="shared" si="61"/>
        <v>0.24657936260731619</v>
      </c>
      <c r="L99" s="15">
        <v>2006</v>
      </c>
      <c r="M99" s="18">
        <f t="shared" si="56"/>
        <v>0.5953984522910607</v>
      </c>
      <c r="N99" s="15">
        <v>2007</v>
      </c>
      <c r="O99" s="18">
        <f t="shared" si="57"/>
        <v>0.14601231474429624</v>
      </c>
      <c r="P99" s="15">
        <v>2008</v>
      </c>
      <c r="Q99" s="18">
        <f t="shared" si="58"/>
        <v>6.8214720642314607E-4</v>
      </c>
      <c r="R99" s="15">
        <v>2009</v>
      </c>
      <c r="S99" s="18">
        <f t="shared" si="59"/>
        <v>0</v>
      </c>
      <c r="T99" s="18">
        <f t="shared" si="60"/>
        <v>0.99999999999999989</v>
      </c>
    </row>
    <row r="100" spans="1:36" x14ac:dyDescent="0.3">
      <c r="H100" s="15">
        <v>2005</v>
      </c>
      <c r="I100" s="18">
        <f t="shared" si="61"/>
        <v>9.1527576063648603E-3</v>
      </c>
      <c r="J100" s="15">
        <v>2006</v>
      </c>
      <c r="K100" s="18">
        <f t="shared" si="61"/>
        <v>0.50550038570982769</v>
      </c>
      <c r="L100" s="15">
        <v>2007</v>
      </c>
      <c r="M100" s="18">
        <f t="shared" si="56"/>
        <v>0.46834980573366819</v>
      </c>
      <c r="N100" s="15">
        <v>2008</v>
      </c>
      <c r="O100" s="18">
        <f t="shared" si="57"/>
        <v>1.6997050950139325E-2</v>
      </c>
      <c r="P100" s="15">
        <v>2009</v>
      </c>
      <c r="Q100" s="18">
        <f t="shared" si="58"/>
        <v>0</v>
      </c>
      <c r="R100" s="15">
        <v>2010</v>
      </c>
      <c r="S100" s="18">
        <f t="shared" si="59"/>
        <v>0</v>
      </c>
      <c r="T100" s="18">
        <f t="shared" si="60"/>
        <v>1.0000000000000002</v>
      </c>
    </row>
    <row r="101" spans="1:36" x14ac:dyDescent="0.3">
      <c r="H101" s="15">
        <v>2006</v>
      </c>
      <c r="I101" s="18">
        <f t="shared" si="61"/>
        <v>0</v>
      </c>
      <c r="J101" s="15">
        <v>2007</v>
      </c>
      <c r="K101" s="18">
        <f t="shared" si="61"/>
        <v>0.3794785150922918</v>
      </c>
      <c r="L101" s="15">
        <v>2008</v>
      </c>
      <c r="M101" s="18">
        <f t="shared" si="56"/>
        <v>0.58647757559965352</v>
      </c>
      <c r="N101" s="15">
        <v>2009</v>
      </c>
      <c r="O101" s="18">
        <f t="shared" si="57"/>
        <v>3.4043909308054732E-2</v>
      </c>
      <c r="P101" s="15">
        <v>2010</v>
      </c>
      <c r="Q101" s="18">
        <f t="shared" si="58"/>
        <v>0</v>
      </c>
      <c r="R101" s="15">
        <v>2011</v>
      </c>
      <c r="S101" s="18">
        <f t="shared" si="59"/>
        <v>0</v>
      </c>
      <c r="T101" s="18">
        <f t="shared" si="60"/>
        <v>1</v>
      </c>
    </row>
    <row r="102" spans="1:36" x14ac:dyDescent="0.3">
      <c r="H102" s="15">
        <v>2007</v>
      </c>
      <c r="I102" s="18">
        <f t="shared" si="61"/>
        <v>0</v>
      </c>
      <c r="J102" s="15">
        <v>2008</v>
      </c>
      <c r="K102" s="18">
        <f t="shared" si="61"/>
        <v>0.10304865948122237</v>
      </c>
      <c r="L102" s="15">
        <v>2009</v>
      </c>
      <c r="M102" s="18">
        <f t="shared" si="56"/>
        <v>0.69293739053049952</v>
      </c>
      <c r="N102" s="15">
        <v>2010</v>
      </c>
      <c r="O102" s="18">
        <f t="shared" si="57"/>
        <v>0.20401394998827801</v>
      </c>
      <c r="P102" s="15">
        <v>2011</v>
      </c>
      <c r="Q102" s="18">
        <f t="shared" si="58"/>
        <v>0</v>
      </c>
      <c r="R102" s="15">
        <v>2012</v>
      </c>
      <c r="S102" s="18">
        <f t="shared" si="59"/>
        <v>0</v>
      </c>
      <c r="T102" s="18">
        <f t="shared" si="60"/>
        <v>0.99999999999999989</v>
      </c>
    </row>
    <row r="103" spans="1:36" x14ac:dyDescent="0.3">
      <c r="H103" s="15">
        <v>2008</v>
      </c>
      <c r="I103" s="18">
        <f t="shared" ref="I103" si="62">I69/$T69</f>
        <v>2.2170786674534813E-3</v>
      </c>
      <c r="J103" s="15">
        <v>2009</v>
      </c>
      <c r="K103" s="18">
        <f t="shared" ref="K103" si="63">K69/$T69</f>
        <v>0.16088774171859155</v>
      </c>
      <c r="L103" s="15">
        <v>2010</v>
      </c>
      <c r="M103" s="18">
        <f t="shared" si="56"/>
        <v>0.47964090046695168</v>
      </c>
      <c r="N103" s="15">
        <v>2011</v>
      </c>
      <c r="O103" s="18">
        <f t="shared" si="57"/>
        <v>0.35725427914700325</v>
      </c>
      <c r="P103" s="15">
        <v>2012</v>
      </c>
      <c r="Q103" s="18">
        <f t="shared" si="58"/>
        <v>0</v>
      </c>
      <c r="R103" s="15">
        <v>2013</v>
      </c>
      <c r="S103" s="18">
        <f t="shared" si="59"/>
        <v>0</v>
      </c>
      <c r="T103" s="18">
        <f t="shared" si="60"/>
        <v>1</v>
      </c>
    </row>
    <row r="104" spans="1:36" x14ac:dyDescent="0.3">
      <c r="H104" s="15">
        <v>2009</v>
      </c>
      <c r="I104" s="18">
        <f t="shared" ref="I104" si="64">I70/$T70</f>
        <v>1.8569916842404884E-2</v>
      </c>
      <c r="J104" s="15">
        <v>2010</v>
      </c>
      <c r="K104" s="18">
        <f t="shared" ref="K104" si="65">K70/$T70</f>
        <v>0.39695685940823872</v>
      </c>
      <c r="L104" s="15">
        <v>2011</v>
      </c>
      <c r="M104" s="18">
        <f t="shared" si="56"/>
        <v>0.5185629735569055</v>
      </c>
      <c r="N104" s="15">
        <v>2012</v>
      </c>
      <c r="O104" s="18">
        <f t="shared" si="57"/>
        <v>6.5910250192451003E-2</v>
      </c>
      <c r="P104" s="15">
        <v>2013</v>
      </c>
      <c r="Q104" s="18">
        <f t="shared" si="58"/>
        <v>0</v>
      </c>
      <c r="R104" s="15">
        <v>2014</v>
      </c>
      <c r="S104" s="18">
        <f t="shared" si="59"/>
        <v>0</v>
      </c>
      <c r="T104" s="18">
        <f t="shared" si="60"/>
        <v>1</v>
      </c>
    </row>
    <row r="105" spans="1:36" x14ac:dyDescent="0.3">
      <c r="H105" s="15">
        <v>2010</v>
      </c>
      <c r="I105" s="18">
        <f t="shared" ref="I105" si="66">I71/$T71</f>
        <v>0</v>
      </c>
      <c r="J105" s="15">
        <v>2011</v>
      </c>
      <c r="K105" s="18">
        <f t="shared" ref="K105" si="67">K71/$T71</f>
        <v>0.11208283088511299</v>
      </c>
      <c r="L105" s="15">
        <v>2012</v>
      </c>
      <c r="M105" s="18">
        <f t="shared" si="56"/>
        <v>0.56736995768406351</v>
      </c>
      <c r="N105" s="15">
        <v>2013</v>
      </c>
      <c r="O105" s="18">
        <f t="shared" si="57"/>
        <v>0.31733125818892471</v>
      </c>
      <c r="P105" s="15">
        <v>2014</v>
      </c>
      <c r="Q105" s="18">
        <f t="shared" si="58"/>
        <v>3.2159532418988427E-3</v>
      </c>
      <c r="R105" s="15">
        <v>2015</v>
      </c>
      <c r="S105" s="18">
        <f t="shared" si="59"/>
        <v>0</v>
      </c>
      <c r="T105" s="18">
        <f t="shared" si="60"/>
        <v>1</v>
      </c>
    </row>
    <row r="106" spans="1:36" x14ac:dyDescent="0.3">
      <c r="H106" s="15">
        <v>2011</v>
      </c>
      <c r="I106" s="18">
        <f t="shared" ref="I106" si="68">I72/$T72</f>
        <v>3.5983259103415099E-2</v>
      </c>
      <c r="J106" s="15">
        <v>2012</v>
      </c>
      <c r="K106" s="18">
        <f t="shared" ref="K106" si="69">K72/$T72</f>
        <v>0.35281043523960942</v>
      </c>
      <c r="L106" s="15">
        <v>2013</v>
      </c>
      <c r="M106" s="18">
        <f t="shared" si="56"/>
        <v>0.53745600621204381</v>
      </c>
      <c r="N106" s="15">
        <v>2014</v>
      </c>
      <c r="O106" s="18">
        <f t="shared" si="57"/>
        <v>7.3750299444931555E-2</v>
      </c>
      <c r="P106" s="15">
        <v>2015</v>
      </c>
      <c r="Q106" s="18">
        <f t="shared" si="58"/>
        <v>0</v>
      </c>
      <c r="R106" s="15">
        <v>2016</v>
      </c>
      <c r="S106" s="18">
        <f t="shared" si="59"/>
        <v>0</v>
      </c>
      <c r="T106" s="18">
        <f t="shared" si="60"/>
        <v>0.99999999999999978</v>
      </c>
    </row>
    <row r="107" spans="1:36" x14ac:dyDescent="0.3">
      <c r="H107" s="15">
        <v>2012</v>
      </c>
      <c r="I107" s="18">
        <f t="shared" ref="I107" si="70">I73/$T73</f>
        <v>0.14625808746374347</v>
      </c>
      <c r="J107" s="15">
        <v>2013</v>
      </c>
      <c r="K107" s="18">
        <f t="shared" ref="K107" si="71">K73/$T73</f>
        <v>0.41744374657038669</v>
      </c>
      <c r="L107" s="15">
        <v>2014</v>
      </c>
      <c r="M107" s="18">
        <f t="shared" si="56"/>
        <v>0.428474137207913</v>
      </c>
      <c r="N107" s="15">
        <v>2015</v>
      </c>
      <c r="O107" s="18">
        <f t="shared" si="57"/>
        <v>7.8240287579568121E-3</v>
      </c>
      <c r="P107" s="15">
        <v>2016</v>
      </c>
      <c r="Q107" s="18">
        <f t="shared" si="58"/>
        <v>0</v>
      </c>
      <c r="R107" s="15">
        <v>2017</v>
      </c>
      <c r="S107" s="18">
        <f t="shared" si="59"/>
        <v>0</v>
      </c>
      <c r="T107" s="18">
        <f t="shared" si="60"/>
        <v>1</v>
      </c>
    </row>
    <row r="108" spans="1:36" x14ac:dyDescent="0.3">
      <c r="H108" s="15">
        <v>2013</v>
      </c>
      <c r="I108" s="18">
        <f t="shared" ref="I108" si="72">I74/$T74</f>
        <v>9.4076026039850616E-2</v>
      </c>
      <c r="J108" s="15">
        <v>2014</v>
      </c>
      <c r="K108" s="18">
        <f t="shared" ref="K108" si="73">K74/$T74</f>
        <v>0.35816052649927899</v>
      </c>
      <c r="L108" s="15">
        <v>2015</v>
      </c>
      <c r="M108" s="18">
        <f t="shared" si="56"/>
        <v>0.50512225953795831</v>
      </c>
      <c r="N108" s="15">
        <v>2016</v>
      </c>
      <c r="O108" s="18">
        <f t="shared" si="57"/>
        <v>4.2641187922912119E-2</v>
      </c>
      <c r="P108" s="15">
        <v>2017</v>
      </c>
      <c r="Q108" s="18">
        <f t="shared" si="58"/>
        <v>0</v>
      </c>
      <c r="R108" s="15">
        <v>2018</v>
      </c>
      <c r="S108" s="18">
        <f t="shared" si="59"/>
        <v>0</v>
      </c>
      <c r="T108" s="18">
        <f t="shared" si="60"/>
        <v>1</v>
      </c>
    </row>
    <row r="109" spans="1:36" x14ac:dyDescent="0.3">
      <c r="H109" s="15">
        <v>2014</v>
      </c>
      <c r="I109" s="18">
        <f t="shared" ref="I109" si="74">I75/$T75</f>
        <v>0.11086883210367197</v>
      </c>
      <c r="J109" s="15">
        <v>2015</v>
      </c>
      <c r="K109" s="18">
        <f t="shared" ref="K109" si="75">K75/$T75</f>
        <v>0.25895307961820185</v>
      </c>
      <c r="L109" s="15">
        <v>2016</v>
      </c>
      <c r="M109" s="18">
        <f t="shared" si="56"/>
        <v>0.37990268816501682</v>
      </c>
      <c r="N109" s="15">
        <v>2017</v>
      </c>
      <c r="O109" s="18">
        <f t="shared" si="57"/>
        <v>0.25027540011310934</v>
      </c>
      <c r="P109" s="15">
        <v>2018</v>
      </c>
      <c r="Q109" s="18">
        <f t="shared" si="58"/>
        <v>0</v>
      </c>
      <c r="R109" s="15">
        <v>2019</v>
      </c>
      <c r="S109" s="120">
        <f t="shared" si="59"/>
        <v>0</v>
      </c>
      <c r="T109" s="18">
        <f t="shared" si="60"/>
        <v>1</v>
      </c>
    </row>
    <row r="110" spans="1:36" x14ac:dyDescent="0.3">
      <c r="H110" s="15">
        <v>2015</v>
      </c>
      <c r="I110" s="18">
        <f t="shared" ref="I110" si="76">I76/$T76</f>
        <v>3.8855561647815569E-2</v>
      </c>
      <c r="J110" s="15">
        <v>2016</v>
      </c>
      <c r="K110" s="18">
        <f t="shared" ref="K110" si="77">K76/$T76</f>
        <v>0.39309809027013665</v>
      </c>
      <c r="L110" s="15">
        <v>2017</v>
      </c>
      <c r="M110" s="18">
        <f t="shared" si="56"/>
        <v>0.5384354121735424</v>
      </c>
      <c r="N110" s="15">
        <v>2018</v>
      </c>
      <c r="O110" s="18">
        <f t="shared" si="57"/>
        <v>2.9610935908505335E-2</v>
      </c>
      <c r="P110" s="15">
        <v>2019</v>
      </c>
      <c r="Q110" s="120">
        <f t="shared" si="58"/>
        <v>0</v>
      </c>
      <c r="R110" s="15">
        <v>2020</v>
      </c>
      <c r="S110" s="120">
        <f t="shared" si="59"/>
        <v>0</v>
      </c>
      <c r="T110" s="18">
        <f t="shared" si="60"/>
        <v>1</v>
      </c>
    </row>
    <row r="112" spans="1:36" x14ac:dyDescent="0.3">
      <c r="H112" s="20" t="s">
        <v>66</v>
      </c>
      <c r="I112" s="18">
        <f>AVERAGE(I80:I110)</f>
        <v>2.2743651152076695E-2</v>
      </c>
      <c r="K112" s="18">
        <f>AVERAGE(K80:K110)</f>
        <v>0.25169561801264095</v>
      </c>
      <c r="M112" s="18">
        <f>AVERAGE(M80:M110)</f>
        <v>0.52451097607300623</v>
      </c>
      <c r="O112" s="18">
        <f>AVERAGE(O80:O110)</f>
        <v>0.19606738913140451</v>
      </c>
      <c r="Q112" s="18">
        <f>AVERAGE(Q80:Q110)</f>
        <v>4.9176595017855701E-3</v>
      </c>
      <c r="S112" s="18">
        <f>AVERAGE(S80:S110)</f>
        <v>6.4706129085894141E-5</v>
      </c>
      <c r="T112" s="18">
        <f t="shared" ref="T112:T116" si="78">SUM(I112,K112,M112,O112,Q112,S112)</f>
        <v>1</v>
      </c>
    </row>
    <row r="113" spans="8:20" x14ac:dyDescent="0.3">
      <c r="H113" s="20" t="s">
        <v>67</v>
      </c>
      <c r="I113" s="18">
        <f>MEDIAN(I80:I110)</f>
        <v>7.5770094160800636E-3</v>
      </c>
      <c r="K113" s="18">
        <f>MEDIAN(K80:K110)</f>
        <v>0.27229580913020524</v>
      </c>
      <c r="M113" s="18">
        <f>MEDIAN(M80:M110)</f>
        <v>0.52800948988447471</v>
      </c>
      <c r="O113" s="18">
        <f>MEDIAN(O80:O110)</f>
        <v>0.14135502896437158</v>
      </c>
      <c r="Q113" s="18">
        <f>MEDIAN(Q80:Q110)</f>
        <v>0</v>
      </c>
      <c r="S113" s="18">
        <f>MEDIAN(S80:S110)</f>
        <v>0</v>
      </c>
      <c r="T113" s="18">
        <f t="shared" si="78"/>
        <v>0.94923733739513161</v>
      </c>
    </row>
    <row r="115" spans="8:20" x14ac:dyDescent="0.3">
      <c r="H115" s="140" t="s">
        <v>156</v>
      </c>
      <c r="I115" s="18">
        <f>AVERAGE(I80:I88)</f>
        <v>1.1188446026380789E-2</v>
      </c>
      <c r="K115" s="18">
        <f>AVERAGE(K80:K88)</f>
        <v>0.23537274008926751</v>
      </c>
      <c r="M115" s="18">
        <f>AVERAGE(M80:M88)</f>
        <v>0.47222485523773028</v>
      </c>
      <c r="O115" s="18">
        <f>AVERAGE(O80:O88)</f>
        <v>0.26878417504175645</v>
      </c>
      <c r="Q115" s="18">
        <f>AVERAGE(Q80:Q88)</f>
        <v>1.224285478750569E-2</v>
      </c>
      <c r="S115" s="18">
        <f>AVERAGE(S80:S88)</f>
        <v>1.8692881735924972E-4</v>
      </c>
      <c r="T115" s="18">
        <f t="shared" si="78"/>
        <v>0.99999999999999989</v>
      </c>
    </row>
    <row r="116" spans="8:20" x14ac:dyDescent="0.3">
      <c r="H116" s="20" t="s">
        <v>168</v>
      </c>
      <c r="I116" s="18">
        <f>AVERAGE(I94:I110)</f>
        <v>2.8861112689209822E-2</v>
      </c>
      <c r="K116" s="18">
        <f>AVERAGE(K94:K110)</f>
        <v>0.26033714161913285</v>
      </c>
      <c r="M116" s="18">
        <f>AVERAGE(M94:M110)</f>
        <v>0.55219186357403482</v>
      </c>
      <c r="O116" s="18">
        <f>AVERAGE(O94:O110)</f>
        <v>0.15757026717886521</v>
      </c>
      <c r="Q116" s="18">
        <f>AVERAGE(Q94:Q110)</f>
        <v>1.0396149387572702E-3</v>
      </c>
      <c r="S116" s="18">
        <f>AVERAGE(S94:S110)</f>
        <v>0</v>
      </c>
      <c r="T116" s="18">
        <f t="shared" si="78"/>
        <v>1</v>
      </c>
    </row>
  </sheetData>
  <sortState xmlns:xlrd2="http://schemas.microsoft.com/office/spreadsheetml/2017/richdata2" ref="A46:C77">
    <sortCondition ref="C46:C77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B6A4-2569-4884-939B-142B9D91DCF8}">
  <dimension ref="A1:AI115"/>
  <sheetViews>
    <sheetView workbookViewId="0">
      <pane xSplit="1" ySplit="5" topLeftCell="B21" activePane="bottomRight" state="frozen"/>
      <selection pane="topRight" activeCell="B1" sqref="B1"/>
      <selection pane="bottomLeft" activeCell="A5" sqref="A5"/>
      <selection pane="bottomRight" activeCell="AC31" sqref="AC31:AC43"/>
    </sheetView>
  </sheetViews>
  <sheetFormatPr defaultColWidth="9.109375" defaultRowHeight="14.4" x14ac:dyDescent="0.3"/>
  <cols>
    <col min="1" max="1" width="9.109375" style="12"/>
    <col min="2" max="2" width="11.33203125" style="11" bestFit="1" customWidth="1"/>
    <col min="3" max="5" width="9.33203125" style="11" customWidth="1"/>
    <col min="6" max="7" width="8" style="21" customWidth="1"/>
    <col min="8" max="8" width="7.6640625" style="20" customWidth="1"/>
    <col min="9" max="9" width="6.6640625" style="11" customWidth="1"/>
    <col min="10" max="10" width="6.6640625" style="20" customWidth="1"/>
    <col min="11" max="11" width="6.6640625" style="11" customWidth="1"/>
    <col min="12" max="12" width="6.6640625" style="20" customWidth="1"/>
    <col min="13" max="13" width="6.6640625" style="11" customWidth="1"/>
    <col min="14" max="14" width="6.6640625" style="20" customWidth="1"/>
    <col min="15" max="15" width="6.6640625" style="11" customWidth="1"/>
    <col min="16" max="16" width="6.6640625" style="20" customWidth="1"/>
    <col min="17" max="17" width="6.6640625" style="11" customWidth="1"/>
    <col min="18" max="18" width="6.6640625" style="20" customWidth="1"/>
    <col min="19" max="19" width="6.6640625" style="11" customWidth="1"/>
    <col min="20" max="20" width="7.33203125" style="11" customWidth="1"/>
    <col min="21" max="21" width="6.6640625" style="12" customWidth="1"/>
    <col min="22" max="23" width="6.6640625" style="17" customWidth="1"/>
    <col min="24" max="25" width="6.6640625" style="12" customWidth="1"/>
    <col min="26" max="26" width="10.88671875" style="12" customWidth="1"/>
    <col min="27" max="27" width="13.109375" style="12" bestFit="1" customWidth="1"/>
    <col min="28" max="34" width="9.109375" style="12"/>
    <col min="35" max="35" width="20" style="12" customWidth="1"/>
    <col min="36" max="16384" width="9.109375" style="12"/>
  </cols>
  <sheetData>
    <row r="1" spans="1:26" ht="18" x14ac:dyDescent="0.35">
      <c r="A1" s="74" t="s">
        <v>166</v>
      </c>
    </row>
    <row r="2" spans="1:26" ht="15.6" x14ac:dyDescent="0.3">
      <c r="A2" s="59" t="s">
        <v>143</v>
      </c>
    </row>
    <row r="3" spans="1:26" x14ac:dyDescent="0.3">
      <c r="H3" s="13"/>
    </row>
    <row r="4" spans="1:26" x14ac:dyDescent="0.3">
      <c r="A4" s="30"/>
      <c r="B4" s="39"/>
      <c r="C4" s="37"/>
      <c r="D4" s="37"/>
      <c r="E4" s="37"/>
      <c r="F4" s="37"/>
      <c r="G4" s="37"/>
      <c r="H4" s="31" t="s">
        <v>50</v>
      </c>
      <c r="I4" s="32"/>
      <c r="J4" s="33"/>
      <c r="K4" s="34"/>
      <c r="L4" s="35"/>
      <c r="M4" s="34"/>
      <c r="N4" s="35"/>
      <c r="O4" s="34"/>
      <c r="P4" s="35"/>
      <c r="Q4" s="34"/>
      <c r="R4" s="35"/>
      <c r="S4" s="34"/>
      <c r="U4" s="14"/>
    </row>
    <row r="5" spans="1:26" x14ac:dyDescent="0.3">
      <c r="A5" s="28" t="s">
        <v>0</v>
      </c>
      <c r="B5" s="38" t="s">
        <v>1</v>
      </c>
      <c r="C5" s="38" t="s">
        <v>9</v>
      </c>
      <c r="D5" s="38" t="s">
        <v>27</v>
      </c>
      <c r="E5" s="38" t="s">
        <v>13</v>
      </c>
      <c r="F5" s="38" t="s">
        <v>52</v>
      </c>
      <c r="G5" s="38" t="s">
        <v>62</v>
      </c>
      <c r="H5" s="29" t="s">
        <v>0</v>
      </c>
      <c r="I5" s="29" t="s">
        <v>43</v>
      </c>
      <c r="J5" s="29"/>
      <c r="K5" s="29" t="s">
        <v>44</v>
      </c>
      <c r="L5" s="29"/>
      <c r="M5" s="29" t="s">
        <v>45</v>
      </c>
      <c r="N5" s="29"/>
      <c r="O5" s="29" t="s">
        <v>46</v>
      </c>
      <c r="P5" s="29"/>
      <c r="Q5" s="29" t="s">
        <v>47</v>
      </c>
      <c r="R5" s="29"/>
      <c r="S5" s="29" t="s">
        <v>48</v>
      </c>
      <c r="T5" s="16"/>
      <c r="U5" s="21" t="s">
        <v>63</v>
      </c>
      <c r="V5" s="21" t="s">
        <v>64</v>
      </c>
      <c r="X5" s="16"/>
      <c r="Y5" s="16"/>
      <c r="Z5" s="16"/>
    </row>
    <row r="6" spans="1:26" x14ac:dyDescent="0.3">
      <c r="A6" s="17">
        <v>1982</v>
      </c>
      <c r="B6" s="11">
        <f>'Summary Data'!C6</f>
        <v>455.8408662342689</v>
      </c>
      <c r="C6" s="11">
        <f>'Summary Data'!H6</f>
        <v>97</v>
      </c>
      <c r="D6" s="11">
        <f>SUM(B6:C6)</f>
        <v>552.8408662342689</v>
      </c>
      <c r="E6" s="11">
        <f t="shared" ref="E6:E39" si="0">SUM(I6,K6,M6,O6,Q6,S6)</f>
        <v>6855.6678088028229</v>
      </c>
      <c r="F6" s="119">
        <f>E6/B6</f>
        <v>15.0396077153809</v>
      </c>
      <c r="G6" s="40">
        <f>LN(F6)</f>
        <v>2.7106872354276033</v>
      </c>
      <c r="H6" s="25">
        <v>1985</v>
      </c>
      <c r="I6" s="24">
        <f>B9*SUM('Escapement Age'!S9:T9)+C9*'Escapement Age'!S9</f>
        <v>75.455570010196638</v>
      </c>
      <c r="J6" s="25">
        <v>1986</v>
      </c>
      <c r="K6" s="24">
        <f>B10*SUM('Escapement Age'!U10:W10)+C10*SUM('Escapement Age'!U10:V10)</f>
        <v>1807.8225981792191</v>
      </c>
      <c r="L6" s="25">
        <v>1987</v>
      </c>
      <c r="M6" s="24">
        <f>B11*SUM('Escapement Age'!X11:Z11)+C11*SUM('Escapement Age'!X11:Y11)</f>
        <v>4612.102372369638</v>
      </c>
      <c r="N6" s="25">
        <v>1988</v>
      </c>
      <c r="O6" s="24">
        <f>B12*SUM('Escapement Age'!AA12:AC12)+'Run Reconstruction 2'!C12*SUM('Escapement Age'!AA12:AC12)</f>
        <v>339.78668492119061</v>
      </c>
      <c r="P6" s="25">
        <v>1989</v>
      </c>
      <c r="Q6" s="24">
        <f>B13*SUM('Escapement Age'!AD13:AF13)+C13*SUM('Escapement Age'!AD13:AF13)</f>
        <v>20.500583322578365</v>
      </c>
      <c r="R6" s="25">
        <v>1990</v>
      </c>
      <c r="S6" s="24">
        <f>B14*SUM('Escapement Age'!AG14)+C14*SUM('Escapement Age'!AG14)</f>
        <v>0</v>
      </c>
      <c r="U6" s="21">
        <f t="shared" ref="U6:U37" si="1">B6/1000</f>
        <v>0.45584086623426889</v>
      </c>
      <c r="V6" s="21">
        <f t="shared" ref="V6:V37" si="2">E6/1000</f>
        <v>6.8556678088028233</v>
      </c>
      <c r="X6" s="18"/>
      <c r="Y6" s="18"/>
      <c r="Z6" s="18"/>
    </row>
    <row r="7" spans="1:26" x14ac:dyDescent="0.3">
      <c r="A7" s="17">
        <v>1983</v>
      </c>
      <c r="B7" s="11">
        <f>'Summary Data'!C7</f>
        <v>2539.7855103785087</v>
      </c>
      <c r="C7" s="11">
        <f>'Summary Data'!H7</f>
        <v>36</v>
      </c>
      <c r="D7" s="11">
        <f t="shared" ref="D7:D39" si="3">SUM(B7:C7)</f>
        <v>2575.7855103785087</v>
      </c>
      <c r="E7" s="11">
        <f t="shared" si="0"/>
        <v>12843.28833940016</v>
      </c>
      <c r="F7" s="119">
        <f t="shared" ref="F7:F37" si="4">E7/B7</f>
        <v>5.0568397555296327</v>
      </c>
      <c r="G7" s="40">
        <f t="shared" ref="G7:G37" si="5">LN(F7)</f>
        <v>1.6207417339409731</v>
      </c>
      <c r="H7" s="25">
        <v>1986</v>
      </c>
      <c r="I7" s="24">
        <f>B10*SUM('Escapement Age'!S10:T10)+C10*'Escapement Age'!S10</f>
        <v>68.625317817510279</v>
      </c>
      <c r="J7" s="25">
        <v>1987</v>
      </c>
      <c r="K7" s="24">
        <f>B11*SUM('Escapement Age'!U11:W11)+C11*SUM('Escapement Age'!U11:V11)</f>
        <v>5948.6908477009374</v>
      </c>
      <c r="L7" s="25">
        <v>1988</v>
      </c>
      <c r="M7" s="24">
        <f>B12*SUM('Escapement Age'!X12:Z12)+C12*SUM('Escapement Age'!X12:Y12)</f>
        <v>2786.2508163537632</v>
      </c>
      <c r="N7" s="25">
        <v>1989</v>
      </c>
      <c r="O7" s="24">
        <f>B13*SUM('Escapement Age'!AA13:AC13)+'Run Reconstruction 2'!C13*SUM('Escapement Age'!AA13:AC13)</f>
        <v>4018.1143312253589</v>
      </c>
      <c r="P7" s="25">
        <v>1990</v>
      </c>
      <c r="Q7" s="24">
        <f>B14*SUM('Escapement Age'!AD14:AF14)+C14*SUM('Escapement Age'!AD14:AF14)</f>
        <v>0</v>
      </c>
      <c r="R7" s="25">
        <v>1991</v>
      </c>
      <c r="S7" s="24">
        <f>B15*SUM('Escapement Age'!AG15)+C15*SUM('Escapement Age'!AG15)</f>
        <v>21.60702630259123</v>
      </c>
      <c r="U7" s="21">
        <f t="shared" si="1"/>
        <v>2.5397855103785085</v>
      </c>
      <c r="V7" s="21">
        <f t="shared" si="2"/>
        <v>12.843288339400161</v>
      </c>
      <c r="X7" s="18"/>
      <c r="Y7" s="18"/>
      <c r="Z7" s="18"/>
    </row>
    <row r="8" spans="1:26" x14ac:dyDescent="0.3">
      <c r="A8" s="17">
        <v>1984</v>
      </c>
      <c r="B8" s="11">
        <f>'Summary Data'!C8</f>
        <v>11579.406940083547</v>
      </c>
      <c r="C8" s="11">
        <f>'Summary Data'!H8</f>
        <v>175</v>
      </c>
      <c r="D8" s="11">
        <f t="shared" si="3"/>
        <v>11754.406940083547</v>
      </c>
      <c r="E8" s="11">
        <f t="shared" si="0"/>
        <v>50074.937573870666</v>
      </c>
      <c r="F8" s="119">
        <f t="shared" si="4"/>
        <v>4.3244820596580027</v>
      </c>
      <c r="G8" s="40">
        <f t="shared" si="5"/>
        <v>1.4642923782202717</v>
      </c>
      <c r="H8" s="25">
        <v>1987</v>
      </c>
      <c r="I8" s="24">
        <f>B11*SUM('Escapement Age'!S11:T11)+C11*'Escapement Age'!S11</f>
        <v>94.201613399815997</v>
      </c>
      <c r="J8" s="25">
        <v>1988</v>
      </c>
      <c r="K8" s="24">
        <f>B12*SUM('Escapement Age'!U12:W12)+C12*SUM('Escapement Age'!U12:V12)</f>
        <v>465.99316789191863</v>
      </c>
      <c r="L8" s="25">
        <v>1989</v>
      </c>
      <c r="M8" s="24">
        <f>B13*SUM('Escapement Age'!X13:Z13)+C13*SUM('Escapement Age'!X13:Y13)</f>
        <v>27202.666648355324</v>
      </c>
      <c r="N8" s="25">
        <v>1990</v>
      </c>
      <c r="O8" s="24">
        <f>B14*SUM('Escapement Age'!AA14:AC14)+'Run Reconstruction 2'!C14*SUM('Escapement Age'!AA14:AC14)</f>
        <v>21080.475644975904</v>
      </c>
      <c r="P8" s="25">
        <v>1991</v>
      </c>
      <c r="Q8" s="24">
        <f>B15*SUM('Escapement Age'!AD15:AF15)+C15*SUM('Escapement Age'!AD15:AF15)</f>
        <v>1231.6004992477001</v>
      </c>
      <c r="R8" s="25">
        <v>1992</v>
      </c>
      <c r="S8" s="24">
        <f>B16*SUM('Escapement Age'!AG16)+C16*SUM('Escapement Age'!AG16)</f>
        <v>0</v>
      </c>
      <c r="U8" s="21">
        <f t="shared" si="1"/>
        <v>11.579406940083548</v>
      </c>
      <c r="V8" s="21">
        <f t="shared" si="2"/>
        <v>50.074937573870663</v>
      </c>
      <c r="X8" s="18"/>
      <c r="Y8" s="18"/>
      <c r="Z8" s="18"/>
    </row>
    <row r="9" spans="1:26" x14ac:dyDescent="0.3">
      <c r="A9" s="17">
        <v>1985</v>
      </c>
      <c r="B9" s="11">
        <f>'Summary Data'!C9</f>
        <v>10991.361364818644</v>
      </c>
      <c r="C9" s="11">
        <f>'Summary Data'!H9</f>
        <v>238</v>
      </c>
      <c r="D9" s="11">
        <f t="shared" si="3"/>
        <v>11229.361364818644</v>
      </c>
      <c r="E9" s="11">
        <f t="shared" si="0"/>
        <v>96153.770907218423</v>
      </c>
      <c r="F9" s="119">
        <f t="shared" si="4"/>
        <v>8.7481220674801232</v>
      </c>
      <c r="G9" s="40">
        <f t="shared" si="5"/>
        <v>2.1688390564757563</v>
      </c>
      <c r="H9" s="25">
        <v>1988</v>
      </c>
      <c r="I9" s="24">
        <f>B12*SUM('Escapement Age'!S12:T12)+C12*'Escapement Age'!S12</f>
        <v>0</v>
      </c>
      <c r="J9" s="25">
        <v>1989</v>
      </c>
      <c r="K9" s="24">
        <f>B13*SUM('Escapement Age'!U13:W13)+C13*SUM('Escapement Age'!U13:V13)</f>
        <v>2775.6397293548494</v>
      </c>
      <c r="L9" s="25">
        <v>1990</v>
      </c>
      <c r="M9" s="24">
        <f>B14*SUM('Escapement Age'!X14:Z14)+C14*SUM('Escapement Age'!X14:Y14)</f>
        <v>53395.456274400043</v>
      </c>
      <c r="N9" s="25">
        <v>1991</v>
      </c>
      <c r="O9" s="24">
        <f>B15*SUM('Escapement Age'!AA15:AC15)+'Run Reconstruction 2'!C15*SUM('Escapement Age'!AA15:AC15)</f>
        <v>39778.535423070454</v>
      </c>
      <c r="P9" s="25">
        <v>1992</v>
      </c>
      <c r="Q9" s="24">
        <f>B16*SUM('Escapement Age'!AD16:AF16)+C16*SUM('Escapement Age'!AD16:AF16)</f>
        <v>204.13948039306837</v>
      </c>
      <c r="R9" s="25">
        <v>1993</v>
      </c>
      <c r="S9" s="24">
        <f>B17*SUM('Escapement Age'!AG17)+C17*SUM('Escapement Age'!AG17)</f>
        <v>0</v>
      </c>
      <c r="U9" s="21">
        <f t="shared" si="1"/>
        <v>10.991361364818644</v>
      </c>
      <c r="V9" s="21">
        <f t="shared" si="2"/>
        <v>96.153770907218416</v>
      </c>
      <c r="X9" s="18"/>
      <c r="Y9" s="18"/>
      <c r="Z9" s="18"/>
    </row>
    <row r="10" spans="1:26" x14ac:dyDescent="0.3">
      <c r="A10" s="17">
        <v>1986</v>
      </c>
      <c r="B10" s="11">
        <f>'Summary Data'!C10</f>
        <v>9798.1703772778565</v>
      </c>
      <c r="C10" s="11">
        <f>'Summary Data'!H10</f>
        <v>98</v>
      </c>
      <c r="D10" s="11">
        <f t="shared" si="3"/>
        <v>9896.1703772778565</v>
      </c>
      <c r="E10" s="11">
        <f t="shared" si="0"/>
        <v>10915.723869799616</v>
      </c>
      <c r="F10" s="119">
        <f t="shared" si="4"/>
        <v>1.1140573647416243</v>
      </c>
      <c r="G10" s="40">
        <f t="shared" si="5"/>
        <v>0.10800863456137061</v>
      </c>
      <c r="H10" s="25">
        <v>1989</v>
      </c>
      <c r="I10" s="24">
        <f>B13*SUM('Escapement Age'!S13:T13)+C13*'Escapement Age'!S13</f>
        <v>151.14530093131512</v>
      </c>
      <c r="J10" s="25">
        <v>1990</v>
      </c>
      <c r="K10" s="24">
        <f>B14*SUM('Escapement Age'!U14:W14)+C14*SUM('Escapement Age'!U14:V14)</f>
        <v>4221.5121922079315</v>
      </c>
      <c r="L10" s="25">
        <v>1991</v>
      </c>
      <c r="M10" s="24">
        <f>B15*SUM('Escapement Age'!X15:Z15)+C15*SUM('Escapement Age'!X15:Y15)</f>
        <v>3238.2930564997951</v>
      </c>
      <c r="N10" s="25">
        <v>1992</v>
      </c>
      <c r="O10" s="24">
        <f>B16*SUM('Escapement Age'!AA16:AC16)+'Run Reconstruction 2'!C16*SUM('Escapement Age'!AA16:AC16)</f>
        <v>3038.5376504660567</v>
      </c>
      <c r="P10" s="25">
        <v>1993</v>
      </c>
      <c r="Q10" s="24">
        <f>B17*SUM('Escapement Age'!AD17:AF17)+C17*SUM('Escapement Age'!AD17:AF17)</f>
        <v>266.23566969451633</v>
      </c>
      <c r="R10" s="25">
        <v>1994</v>
      </c>
      <c r="S10" s="24">
        <f>B18*SUM('Escapement Age'!AG18)+C18*SUM('Escapement Age'!AG18)</f>
        <v>0</v>
      </c>
      <c r="U10" s="21">
        <f t="shared" si="1"/>
        <v>9.7981703772778559</v>
      </c>
      <c r="V10" s="21">
        <f t="shared" si="2"/>
        <v>10.915723869799617</v>
      </c>
      <c r="X10" s="18"/>
      <c r="Y10" s="18"/>
      <c r="Z10" s="18"/>
    </row>
    <row r="11" spans="1:26" x14ac:dyDescent="0.3">
      <c r="A11" s="17">
        <v>1987</v>
      </c>
      <c r="B11" s="11">
        <f>'Summary Data'!C11</f>
        <v>14251.358370057878</v>
      </c>
      <c r="C11" s="11">
        <f>'Summary Data'!H11</f>
        <v>285</v>
      </c>
      <c r="D11" s="11">
        <f t="shared" si="3"/>
        <v>14536.358370057878</v>
      </c>
      <c r="E11" s="11">
        <f t="shared" si="0"/>
        <v>14253.97142045392</v>
      </c>
      <c r="F11" s="119">
        <f t="shared" si="4"/>
        <v>1.0001833544794951</v>
      </c>
      <c r="G11" s="40">
        <f t="shared" si="5"/>
        <v>1.8333767211699991E-4</v>
      </c>
      <c r="H11" s="25">
        <v>1990</v>
      </c>
      <c r="I11" s="24">
        <f>B14*SUM('Escapement Age'!S14:T14)+C14*'Escapement Age'!S14</f>
        <v>466.48969982479201</v>
      </c>
      <c r="J11" s="25">
        <v>1991</v>
      </c>
      <c r="K11" s="24">
        <f>B15*SUM('Escapement Age'!U15:W15)+C15*SUM('Escapement Age'!U15:V15)</f>
        <v>4196.3247108634368</v>
      </c>
      <c r="L11" s="25">
        <v>1992</v>
      </c>
      <c r="M11" s="24">
        <f>B16*SUM('Escapement Age'!X16:Z16)+C16*SUM('Escapement Age'!X16:Y16)</f>
        <v>4694.5996153056331</v>
      </c>
      <c r="N11" s="25">
        <v>1993</v>
      </c>
      <c r="O11" s="24">
        <f>B17*SUM('Escapement Age'!AA17:AC17)+'Run Reconstruction 2'!C17*SUM('Escapement Age'!AA17:AC17)</f>
        <v>4150.8561229645047</v>
      </c>
      <c r="P11" s="25">
        <v>1994</v>
      </c>
      <c r="Q11" s="24">
        <f>B18*SUM('Escapement Age'!AD18:AF18)+C18*SUM('Escapement Age'!AD18:AF18)</f>
        <v>745.70127149555219</v>
      </c>
      <c r="R11" s="25">
        <v>1995</v>
      </c>
      <c r="S11" s="24">
        <f>B19*SUM('Escapement Age'!AG19)+C19*SUM('Escapement Age'!AG19)</f>
        <v>0</v>
      </c>
      <c r="U11" s="21">
        <f t="shared" si="1"/>
        <v>14.251358370057879</v>
      </c>
      <c r="V11" s="21">
        <f t="shared" si="2"/>
        <v>14.253971420453919</v>
      </c>
      <c r="X11" s="18"/>
      <c r="Y11" s="18"/>
      <c r="Z11" s="18"/>
    </row>
    <row r="12" spans="1:26" x14ac:dyDescent="0.3">
      <c r="A12" s="17">
        <v>1988</v>
      </c>
      <c r="B12" s="11">
        <f>'Summary Data'!C12</f>
        <v>3252.0306691668725</v>
      </c>
      <c r="C12" s="11">
        <f>'Summary Data'!H12</f>
        <v>340</v>
      </c>
      <c r="D12" s="11">
        <f t="shared" si="3"/>
        <v>3592.0306691668725</v>
      </c>
      <c r="E12" s="11">
        <f t="shared" si="0"/>
        <v>32610.62152360475</v>
      </c>
      <c r="F12" s="119">
        <f t="shared" si="4"/>
        <v>10.027771826628918</v>
      </c>
      <c r="G12" s="40">
        <f t="shared" si="5"/>
        <v>2.3053584264102267</v>
      </c>
      <c r="H12" s="25">
        <v>1991</v>
      </c>
      <c r="I12" s="24">
        <f>B15*SUM('Escapement Age'!S15:T15)+C15*'Escapement Age'!S15</f>
        <v>101.13290929073392</v>
      </c>
      <c r="J12" s="25">
        <v>1992</v>
      </c>
      <c r="K12" s="24">
        <f>B16*SUM('Escapement Age'!U16:W16)+C16*SUM('Escapement Age'!U16:V16)</f>
        <v>1736.5724933840031</v>
      </c>
      <c r="L12" s="25">
        <v>1993</v>
      </c>
      <c r="M12" s="24">
        <f>B17*SUM('Escapement Age'!X17:Z17)+C17*SUM('Escapement Age'!X17:Y17)</f>
        <v>14049.982387060612</v>
      </c>
      <c r="N12" s="25">
        <v>1994</v>
      </c>
      <c r="O12" s="24">
        <f>B18*SUM('Escapement Age'!AA18:AC18)+'Run Reconstruction 2'!C18*SUM('Escapement Age'!AA18:AC18)</f>
        <v>16618.485479043735</v>
      </c>
      <c r="P12" s="25">
        <v>1995</v>
      </c>
      <c r="Q12" s="24">
        <f>B19*SUM('Escapement Age'!AD19:AF19)+C19*SUM('Escapement Age'!AD19:AF19)</f>
        <v>104.44825482566539</v>
      </c>
      <c r="R12" s="25">
        <v>1996</v>
      </c>
      <c r="S12" s="24">
        <f>B20*SUM('Escapement Age'!AG20)+C20*SUM('Escapement Age'!AG20)</f>
        <v>0</v>
      </c>
      <c r="U12" s="21">
        <f t="shared" si="1"/>
        <v>3.2520306691668726</v>
      </c>
      <c r="V12" s="21">
        <f t="shared" si="2"/>
        <v>32.610621523604749</v>
      </c>
      <c r="X12" s="18"/>
      <c r="Y12" s="18"/>
      <c r="Z12" s="18"/>
    </row>
    <row r="13" spans="1:26" x14ac:dyDescent="0.3">
      <c r="A13" s="17">
        <v>1989</v>
      </c>
      <c r="B13" s="11">
        <f>'Summary Data'!C13</f>
        <v>31570.474732028444</v>
      </c>
      <c r="C13" s="11">
        <f>'Summary Data'!H13</f>
        <v>2686</v>
      </c>
      <c r="D13" s="11">
        <f t="shared" si="3"/>
        <v>34256.474732028444</v>
      </c>
      <c r="E13" s="11">
        <f t="shared" si="0"/>
        <v>27573.431342598109</v>
      </c>
      <c r="F13" s="119">
        <f t="shared" si="4"/>
        <v>0.87339299065479969</v>
      </c>
      <c r="G13" s="40">
        <f t="shared" si="5"/>
        <v>-0.13536966331804387</v>
      </c>
      <c r="H13" s="25">
        <v>1992</v>
      </c>
      <c r="I13" s="24">
        <f>B16*SUM('Escapement Age'!S16:T16)+C16*'Escapement Age'!S16</f>
        <v>738.66910467995558</v>
      </c>
      <c r="J13" s="25">
        <v>1993</v>
      </c>
      <c r="K13" s="24">
        <f>B17*SUM('Escapement Age'!U17:W17)+C17*SUM('Escapement Age'!U17:V17)</f>
        <v>9320.6458769037836</v>
      </c>
      <c r="L13" s="25">
        <v>1994</v>
      </c>
      <c r="M13" s="24">
        <f>B18*SUM('Escapement Age'!X18:Z18)+C18*SUM('Escapement Age'!X18:Y18)</f>
        <v>15444.282198360985</v>
      </c>
      <c r="N13" s="25">
        <v>1995</v>
      </c>
      <c r="O13" s="24">
        <f>B19*SUM('Escapement Age'!AA19:AC19)+'Run Reconstruction 2'!C19*SUM('Escapement Age'!AA19:AC19)</f>
        <v>2054.1490115714191</v>
      </c>
      <c r="P13" s="25">
        <v>1996</v>
      </c>
      <c r="Q13" s="24">
        <f>B20*SUM('Escapement Age'!AD20:AF20)+C20*SUM('Escapement Age'!AD20:AF20)</f>
        <v>15.68515108196841</v>
      </c>
      <c r="R13" s="25">
        <v>1997</v>
      </c>
      <c r="S13" s="24">
        <f>B21*SUM('Escapement Age'!AG21)+C21*SUM('Escapement Age'!AG21)</f>
        <v>0</v>
      </c>
      <c r="U13" s="21">
        <f t="shared" si="1"/>
        <v>31.570474732028444</v>
      </c>
      <c r="V13" s="21">
        <f t="shared" si="2"/>
        <v>27.573431342598109</v>
      </c>
      <c r="X13" s="18"/>
      <c r="Y13" s="18"/>
      <c r="Z13" s="18"/>
    </row>
    <row r="14" spans="1:26" x14ac:dyDescent="0.3">
      <c r="A14" s="17">
        <v>1990</v>
      </c>
      <c r="B14" s="11">
        <f>'Summary Data'!C14</f>
        <v>73180.571660014248</v>
      </c>
      <c r="C14" s="11">
        <f>'Summary Data'!H14</f>
        <v>6029</v>
      </c>
      <c r="D14" s="11">
        <f t="shared" si="3"/>
        <v>79209.571660014248</v>
      </c>
      <c r="E14" s="11">
        <f t="shared" si="0"/>
        <v>44788.022839745063</v>
      </c>
      <c r="F14" s="119">
        <f t="shared" si="4"/>
        <v>0.6120206746651744</v>
      </c>
      <c r="G14" s="40">
        <f t="shared" si="5"/>
        <v>-0.49098921490777647</v>
      </c>
      <c r="H14" s="25">
        <v>1993</v>
      </c>
      <c r="I14" s="24">
        <f>B17*SUM('Escapement Age'!S17:T17)+C17*'Escapement Age'!S17</f>
        <v>268.78462484819488</v>
      </c>
      <c r="J14" s="25">
        <v>1994</v>
      </c>
      <c r="K14" s="24">
        <f>B18*SUM('Escapement Age'!U18:W18)+C18*SUM('Escapement Age'!U18:V18)</f>
        <v>12580.691294616545</v>
      </c>
      <c r="L14" s="25">
        <v>1995</v>
      </c>
      <c r="M14" s="24">
        <f>B19*SUM('Escapement Age'!X19:Z19)+C19*SUM('Escapement Age'!X19:Y19)</f>
        <v>28879.942459296479</v>
      </c>
      <c r="N14" s="25">
        <v>1996</v>
      </c>
      <c r="O14" s="24">
        <f>B20*SUM('Escapement Age'!AA20:AC20)+'Run Reconstruction 2'!C20*SUM('Escapement Age'!AA20:AC20)</f>
        <v>3058.60446098384</v>
      </c>
      <c r="P14" s="25">
        <v>1997</v>
      </c>
      <c r="Q14" s="24">
        <f>B21*SUM('Escapement Age'!AD21:AF21)+C21*SUM('Escapement Age'!AD21:AF21)</f>
        <v>0</v>
      </c>
      <c r="R14" s="25">
        <v>1998</v>
      </c>
      <c r="S14" s="26">
        <v>0</v>
      </c>
      <c r="U14" s="21">
        <f t="shared" si="1"/>
        <v>73.180571660014252</v>
      </c>
      <c r="V14" s="21">
        <f t="shared" si="2"/>
        <v>44.788022839745061</v>
      </c>
      <c r="X14" s="18"/>
      <c r="Y14" s="18"/>
      <c r="Z14" s="18"/>
    </row>
    <row r="15" spans="1:26" x14ac:dyDescent="0.3">
      <c r="A15" s="17">
        <v>1991</v>
      </c>
      <c r="B15" s="11">
        <f>'Summary Data'!C15</f>
        <v>45509.809180830263</v>
      </c>
      <c r="C15" s="11">
        <f>'Summary Data'!H15</f>
        <v>3106</v>
      </c>
      <c r="D15" s="11">
        <f t="shared" si="3"/>
        <v>48615.809180830263</v>
      </c>
      <c r="E15" s="11">
        <f t="shared" si="0"/>
        <v>36169.985752975212</v>
      </c>
      <c r="F15" s="119">
        <f t="shared" si="4"/>
        <v>0.79477339949407677</v>
      </c>
      <c r="G15" s="40">
        <f t="shared" si="5"/>
        <v>-0.22969823704009223</v>
      </c>
      <c r="H15" s="25">
        <v>1994</v>
      </c>
      <c r="I15" s="24">
        <f>B18*SUM('Escapement Age'!S18:T18)+C18*'Escapement Age'!S18</f>
        <v>384.19488186101904</v>
      </c>
      <c r="J15" s="25">
        <v>1995</v>
      </c>
      <c r="K15" s="24">
        <f>B19*SUM('Escapement Age'!U19:W19)+C19*SUM('Escapement Age'!U19:V19)</f>
        <v>5419.2377886806571</v>
      </c>
      <c r="L15" s="25">
        <v>1996</v>
      </c>
      <c r="M15" s="24">
        <f>B20*SUM('Escapement Age'!X20:Z20)+C20*SUM('Escapement Age'!X20:Y20)</f>
        <v>14775.412319214242</v>
      </c>
      <c r="N15" s="25">
        <v>1997</v>
      </c>
      <c r="O15" s="24">
        <f>B21*SUM('Escapement Age'!AA21:AC21)+'Run Reconstruction 2'!C21*SUM('Escapement Age'!AA21:AC21)</f>
        <v>15148.316879979462</v>
      </c>
      <c r="P15" s="25">
        <v>1998</v>
      </c>
      <c r="Q15" s="26">
        <f>Q55</f>
        <v>442.82388323982542</v>
      </c>
      <c r="R15" s="25">
        <v>1999</v>
      </c>
      <c r="S15" s="24">
        <f>B23*SUM('Escapement Age'!AG23)+C23*SUM('Escapement Age'!AG23)</f>
        <v>0</v>
      </c>
      <c r="U15" s="21">
        <f t="shared" si="1"/>
        <v>45.50980918083026</v>
      </c>
      <c r="V15" s="21">
        <f t="shared" si="2"/>
        <v>36.169985752975215</v>
      </c>
      <c r="X15" s="18"/>
      <c r="Y15" s="18"/>
      <c r="Z15" s="18"/>
    </row>
    <row r="16" spans="1:26" x14ac:dyDescent="0.3">
      <c r="A16" s="17">
        <v>1992</v>
      </c>
      <c r="B16" s="11">
        <f>'Summary Data'!C16</f>
        <v>10325.816536999801</v>
      </c>
      <c r="C16" s="11">
        <f>'Summary Data'!H16</f>
        <v>101</v>
      </c>
      <c r="D16" s="11">
        <f t="shared" si="3"/>
        <v>10426.816536999801</v>
      </c>
      <c r="E16" s="11">
        <f t="shared" si="0"/>
        <v>36360.90009778746</v>
      </c>
      <c r="F16" s="119">
        <f t="shared" si="4"/>
        <v>3.5213583320503425</v>
      </c>
      <c r="G16" s="40">
        <f t="shared" si="5"/>
        <v>1.2588468049607198</v>
      </c>
      <c r="H16" s="25">
        <v>1995</v>
      </c>
      <c r="I16" s="24">
        <f>B19*SUM('Escapement Age'!S19:T19)+C19*'Escapement Age'!S19</f>
        <v>3173.9954494901835</v>
      </c>
      <c r="J16" s="25">
        <v>1996</v>
      </c>
      <c r="K16" s="24">
        <f>B20*SUM('Escapement Age'!U20:W20)+C20*SUM('Escapement Age'!U20:V20)</f>
        <v>6196.640353875634</v>
      </c>
      <c r="L16" s="25">
        <v>1997</v>
      </c>
      <c r="M16" s="24">
        <f>B21*SUM('Escapement Age'!X21:Z21)+C21*SUM('Escapement Age'!X21:Y21)</f>
        <v>17217.029757862118</v>
      </c>
      <c r="N16" s="25">
        <v>1998</v>
      </c>
      <c r="O16" s="26">
        <f>O56</f>
        <v>9773.2345365595229</v>
      </c>
      <c r="P16" s="25">
        <v>1999</v>
      </c>
      <c r="Q16" s="24">
        <f>B23*SUM('Escapement Age'!AD23:AF23)+C23*SUM('Escapement Age'!AD23:AF23)</f>
        <v>0</v>
      </c>
      <c r="R16" s="25">
        <v>2000</v>
      </c>
      <c r="S16" s="24">
        <f>B24*SUM('Escapement Age'!AG24)+C24*SUM('Escapement Age'!AG24)</f>
        <v>0</v>
      </c>
      <c r="U16" s="21">
        <f t="shared" si="1"/>
        <v>10.325816536999801</v>
      </c>
      <c r="V16" s="21">
        <f t="shared" si="2"/>
        <v>36.360900097787457</v>
      </c>
      <c r="X16" s="18"/>
      <c r="Y16" s="18"/>
      <c r="Z16" s="18"/>
    </row>
    <row r="17" spans="1:30" x14ac:dyDescent="0.3">
      <c r="A17" s="17">
        <v>1993</v>
      </c>
      <c r="B17" s="11">
        <f>'Summary Data'!C17</f>
        <v>25018.47288086998</v>
      </c>
      <c r="C17" s="11">
        <f>'Summary Data'!H17</f>
        <v>3142</v>
      </c>
      <c r="D17" s="11">
        <f t="shared" si="3"/>
        <v>28160.47288086998</v>
      </c>
      <c r="E17" s="11">
        <f t="shared" si="0"/>
        <v>29846.498757966248</v>
      </c>
      <c r="F17" s="119">
        <f t="shared" si="4"/>
        <v>1.1929784403742705</v>
      </c>
      <c r="G17" s="40">
        <f t="shared" si="5"/>
        <v>0.17645307117902953</v>
      </c>
      <c r="H17" s="25">
        <v>1996</v>
      </c>
      <c r="I17" s="24">
        <f>B20*SUM('Escapement Age'!S20:T20)+C20*'Escapement Age'!S20</f>
        <v>584.58164386895123</v>
      </c>
      <c r="J17" s="25">
        <v>1997</v>
      </c>
      <c r="K17" s="24">
        <f>B21*SUM('Escapement Age'!U21:W21)+C21*SUM('Escapement Age'!U21:V21)</f>
        <v>4583.23677724154</v>
      </c>
      <c r="L17" s="25">
        <v>1998</v>
      </c>
      <c r="M17" s="26">
        <f>M57</f>
        <v>14094.258555333709</v>
      </c>
      <c r="N17" s="25">
        <v>1999</v>
      </c>
      <c r="O17" s="24">
        <f>B23*SUM('Escapement Age'!AA23:AC23)+'Run Reconstruction 2'!C23*SUM('Escapement Age'!AA23:AC23)</f>
        <v>10584.421781522049</v>
      </c>
      <c r="P17" s="25">
        <v>2000</v>
      </c>
      <c r="Q17" s="24">
        <f>B24*SUM('Escapement Age'!AD24:AF24)+C24*SUM('Escapement Age'!AD24:AF24)</f>
        <v>0</v>
      </c>
      <c r="R17" s="25">
        <v>2001</v>
      </c>
      <c r="S17" s="24">
        <f>B25*SUM('Escapement Age'!AG25)+C25*SUM('Escapement Age'!AG25)</f>
        <v>0</v>
      </c>
      <c r="U17" s="21">
        <f t="shared" si="1"/>
        <v>25.018472880869979</v>
      </c>
      <c r="V17" s="21">
        <f t="shared" si="2"/>
        <v>29.846498757966248</v>
      </c>
      <c r="X17" s="18"/>
      <c r="Y17" s="18"/>
      <c r="Z17" s="18"/>
    </row>
    <row r="18" spans="1:30" x14ac:dyDescent="0.3">
      <c r="A18" s="17">
        <v>1994</v>
      </c>
      <c r="B18" s="11">
        <f>'Summary Data'!C18</f>
        <v>39710.382989154925</v>
      </c>
      <c r="C18" s="11">
        <f>'Summary Data'!H18</f>
        <v>6168</v>
      </c>
      <c r="D18" s="11">
        <f t="shared" si="3"/>
        <v>45878.382989154925</v>
      </c>
      <c r="E18" s="11">
        <f t="shared" si="0"/>
        <v>78072.018649542253</v>
      </c>
      <c r="F18" s="119">
        <f t="shared" si="4"/>
        <v>1.966035398622674</v>
      </c>
      <c r="G18" s="40">
        <f t="shared" si="5"/>
        <v>0.67601902696607075</v>
      </c>
      <c r="H18" s="25">
        <v>1997</v>
      </c>
      <c r="I18" s="24">
        <f>B21*SUM('Escapement Age'!S21:T21)+C21*'Escapement Age'!S21</f>
        <v>821.33642065830168</v>
      </c>
      <c r="J18" s="25">
        <v>1998</v>
      </c>
      <c r="K18" s="26">
        <f>K58</f>
        <v>18376.02495384316</v>
      </c>
      <c r="L18" s="25">
        <v>1999</v>
      </c>
      <c r="M18" s="24">
        <f>B23*SUM('Escapement Age'!X23:Z23)+C23*SUM('Escapement Age'!X23:Y23)</f>
        <v>58639.824191598287</v>
      </c>
      <c r="N18" s="25">
        <v>2000</v>
      </c>
      <c r="O18" s="24">
        <f>B24*SUM('Escapement Age'!AA24:AC24)+'Run Reconstruction 2'!C24*SUM('Escapement Age'!AA24:AC24)</f>
        <v>234.83308344250167</v>
      </c>
      <c r="P18" s="25">
        <v>2001</v>
      </c>
      <c r="Q18" s="24">
        <f>B25*SUM('Escapement Age'!AD25:AF25)+C25*SUM('Escapement Age'!AD25:AF25)</f>
        <v>0</v>
      </c>
      <c r="R18" s="25">
        <v>2002</v>
      </c>
      <c r="S18" s="24">
        <f>B26*SUM('Escapement Age'!AG26)+C26*SUM('Escapement Age'!AG26)</f>
        <v>0</v>
      </c>
      <c r="U18" s="21">
        <f t="shared" si="1"/>
        <v>39.710382989154922</v>
      </c>
      <c r="V18" s="21">
        <f t="shared" si="2"/>
        <v>78.072018649542258</v>
      </c>
      <c r="X18" s="18"/>
      <c r="Y18" s="18"/>
      <c r="Z18" s="18"/>
    </row>
    <row r="19" spans="1:30" x14ac:dyDescent="0.3">
      <c r="A19" s="17">
        <v>1995</v>
      </c>
      <c r="B19" s="11">
        <f>'Summary Data'!C19</f>
        <v>34797.618320235895</v>
      </c>
      <c r="C19" s="11">
        <f>'Summary Data'!H19</f>
        <v>5502</v>
      </c>
      <c r="D19" s="11">
        <f t="shared" si="3"/>
        <v>40299.618320235895</v>
      </c>
      <c r="E19" s="11">
        <f t="shared" si="0"/>
        <v>3708.1257150756405</v>
      </c>
      <c r="F19" s="119">
        <f t="shared" si="4"/>
        <v>0.10656262968776947</v>
      </c>
      <c r="G19" s="40">
        <f t="shared" si="5"/>
        <v>-2.2390223944937153</v>
      </c>
      <c r="H19" s="25">
        <v>1998</v>
      </c>
      <c r="I19" s="26">
        <f>I59</f>
        <v>41.488164422158441</v>
      </c>
      <c r="J19" s="25">
        <v>1999</v>
      </c>
      <c r="K19" s="24">
        <f>B23*SUM('Escapement Age'!U23:W23)+C23*SUM('Escapement Age'!U23:V23)</f>
        <v>1063.7609830675426</v>
      </c>
      <c r="L19" s="25">
        <v>2000</v>
      </c>
      <c r="M19" s="24">
        <f>B24*SUM('Escapement Age'!X24:Z24)+C24*SUM('Escapement Age'!X24:Y24)</f>
        <v>2465.7473761462679</v>
      </c>
      <c r="N19" s="25">
        <v>2001</v>
      </c>
      <c r="O19" s="24">
        <f>B25*SUM('Escapement Age'!AA25:AC25)+'Run Reconstruction 2'!C25*SUM('Escapement Age'!AA25:AC25)</f>
        <v>99.840672970582915</v>
      </c>
      <c r="P19" s="25">
        <v>2002</v>
      </c>
      <c r="Q19" s="24">
        <f>B26*SUM('Escapement Age'!AD26:AF26)+C26*SUM('Escapement Age'!AD26:AF26)</f>
        <v>37.288518469088736</v>
      </c>
      <c r="R19" s="25">
        <v>2003</v>
      </c>
      <c r="S19" s="24">
        <f>B27*SUM('Escapement Age'!AG27)+C27*SUM('Escapement Age'!AG27)</f>
        <v>0</v>
      </c>
      <c r="U19" s="21">
        <f t="shared" si="1"/>
        <v>34.797618320235898</v>
      </c>
      <c r="V19" s="21">
        <f t="shared" si="2"/>
        <v>3.7081257150756404</v>
      </c>
      <c r="X19" s="18"/>
      <c r="Y19" s="18"/>
      <c r="Z19" s="18"/>
    </row>
    <row r="20" spans="1:30" x14ac:dyDescent="0.3">
      <c r="A20" s="17">
        <v>1996</v>
      </c>
      <c r="B20" s="11">
        <f>'Summary Data'!C20</f>
        <v>19209.334767083867</v>
      </c>
      <c r="C20" s="11">
        <f>'Summary Data'!H20</f>
        <v>5683</v>
      </c>
      <c r="D20" s="11">
        <f t="shared" si="3"/>
        <v>24892.334767083867</v>
      </c>
      <c r="E20" s="11">
        <f t="shared" si="0"/>
        <v>7433.8898524219385</v>
      </c>
      <c r="F20" s="119">
        <f t="shared" si="4"/>
        <v>0.3869936123535247</v>
      </c>
      <c r="G20" s="40">
        <f t="shared" si="5"/>
        <v>-0.94934709163502107</v>
      </c>
      <c r="H20" s="25">
        <v>1999</v>
      </c>
      <c r="I20" s="24">
        <f>B23*SUM('Escapement Age'!S23:T23)+C23*'Escapement Age'!S23</f>
        <v>130.8121655801767</v>
      </c>
      <c r="J20" s="25">
        <v>2000</v>
      </c>
      <c r="K20" s="24">
        <f>B24*SUM('Escapement Age'!U24:W24)+C24*SUM('Escapement Age'!U24:V24)</f>
        <v>1038.7975001195587</v>
      </c>
      <c r="L20" s="25">
        <v>2001</v>
      </c>
      <c r="M20" s="24">
        <f>B25*SUM('Escapement Age'!X25:Z25)+C25*SUM('Escapement Age'!X25:Y25)</f>
        <v>3509.8825125984531</v>
      </c>
      <c r="N20" s="25">
        <v>2002</v>
      </c>
      <c r="O20" s="24">
        <f>B26*SUM('Escapement Age'!AA26:AC26)+'Run Reconstruction 2'!C26*SUM('Escapement Age'!AA26:AC26)</f>
        <v>2672.3438236180264</v>
      </c>
      <c r="P20" s="25">
        <v>2003</v>
      </c>
      <c r="Q20" s="24">
        <f>B27*SUM('Escapement Age'!AD27:AF27)+C27*SUM('Escapement Age'!AD27:AF27)</f>
        <v>82.053850505723574</v>
      </c>
      <c r="R20" s="25">
        <v>2004</v>
      </c>
      <c r="S20" s="24">
        <f>B28*SUM('Escapement Age'!AG28)+C28*SUM('Escapement Age'!AG28)</f>
        <v>0</v>
      </c>
      <c r="U20" s="21">
        <f t="shared" si="1"/>
        <v>19.209334767083867</v>
      </c>
      <c r="V20" s="21">
        <f t="shared" si="2"/>
        <v>7.4338898524219381</v>
      </c>
      <c r="X20" s="18"/>
      <c r="Y20" s="18"/>
      <c r="Z20" s="18"/>
    </row>
    <row r="21" spans="1:30" x14ac:dyDescent="0.3">
      <c r="A21" s="17">
        <v>1997</v>
      </c>
      <c r="B21" s="11">
        <f>'Summary Data'!C21</f>
        <v>28898.406062239013</v>
      </c>
      <c r="C21" s="11">
        <f>'Summary Data'!H21</f>
        <v>9256</v>
      </c>
      <c r="D21" s="11">
        <f t="shared" si="3"/>
        <v>38154.40606223901</v>
      </c>
      <c r="E21" s="11">
        <f t="shared" si="0"/>
        <v>27191.066734719851</v>
      </c>
      <c r="F21" s="119">
        <f t="shared" si="4"/>
        <v>0.94091925610561233</v>
      </c>
      <c r="G21" s="40">
        <f t="shared" si="5"/>
        <v>-6.0897949554844968E-2</v>
      </c>
      <c r="H21" s="25">
        <v>2000</v>
      </c>
      <c r="I21" s="24">
        <f>B24*SUM('Escapement Age'!S24:T24)+C24*'Escapement Age'!S24</f>
        <v>80.035035345185264</v>
      </c>
      <c r="J21" s="25">
        <v>2001</v>
      </c>
      <c r="K21" s="24">
        <f>B25*SUM('Escapement Age'!U25:W25)+C25*SUM('Escapement Age'!U25:V25)</f>
        <v>1283.2942828084099</v>
      </c>
      <c r="L21" s="25">
        <v>2002</v>
      </c>
      <c r="M21" s="24">
        <f>B26*SUM('Escapement Age'!X26:Z26)+C26*SUM('Escapement Age'!X26:Y26)</f>
        <v>13150.417513431961</v>
      </c>
      <c r="N21" s="25">
        <v>2003</v>
      </c>
      <c r="O21" s="24">
        <f>B27*SUM('Escapement Age'!AA27:AC27)+'Run Reconstruction 2'!C27*SUM('Escapement Age'!AA27:AC27)</f>
        <v>12677.319903134294</v>
      </c>
      <c r="P21" s="25">
        <v>2004</v>
      </c>
      <c r="Q21" s="24">
        <f>B28*SUM('Escapement Age'!AD28:AF28)+C28*SUM('Escapement Age'!AD28:AF28)</f>
        <v>0</v>
      </c>
      <c r="R21" s="25">
        <v>2005</v>
      </c>
      <c r="S21" s="24">
        <f>B29*SUM('Escapement Age'!AG29)+C29*SUM('Escapement Age'!AG29)</f>
        <v>0</v>
      </c>
      <c r="U21" s="21">
        <f t="shared" si="1"/>
        <v>28.898406062239012</v>
      </c>
      <c r="V21" s="21">
        <f t="shared" si="2"/>
        <v>27.19106673471985</v>
      </c>
      <c r="X21" s="18"/>
      <c r="Y21" s="18"/>
      <c r="Z21" s="18"/>
    </row>
    <row r="22" spans="1:30" x14ac:dyDescent="0.3">
      <c r="A22" s="17">
        <v>1998</v>
      </c>
      <c r="B22" s="13">
        <f>D22-C22</f>
        <v>33793.830093398377</v>
      </c>
      <c r="C22" s="11">
        <f>'Summary Data'!H22</f>
        <v>8934</v>
      </c>
      <c r="D22" s="13">
        <f>SUM(I19,K18,M17,O16,Q15,S14)</f>
        <v>42727.830093398377</v>
      </c>
      <c r="E22" s="11">
        <f t="shared" si="0"/>
        <v>81474.62912718326</v>
      </c>
      <c r="F22" s="119">
        <f t="shared" si="4"/>
        <v>2.4109320814481849</v>
      </c>
      <c r="G22" s="40">
        <f t="shared" si="5"/>
        <v>0.88001342851945064</v>
      </c>
      <c r="H22" s="25">
        <v>2001</v>
      </c>
      <c r="I22" s="24">
        <f>B25*SUM('Escapement Age'!S25:T25)+C25*'Escapement Age'!S25</f>
        <v>137.02822730951218</v>
      </c>
      <c r="J22" s="25">
        <v>2002</v>
      </c>
      <c r="K22" s="24">
        <f>B26*SUM('Escapement Age'!U26:W26)+C26*SUM('Escapement Age'!U26:V26)</f>
        <v>10737.668081643276</v>
      </c>
      <c r="L22" s="25">
        <v>2003</v>
      </c>
      <c r="M22" s="24">
        <f>B27*SUM('Escapement Age'!X27:Z27)+C27*SUM('Escapement Age'!X27:Y27)</f>
        <v>64699.461123763052</v>
      </c>
      <c r="N22" s="25">
        <v>2004</v>
      </c>
      <c r="O22" s="24">
        <f>B28*SUM('Escapement Age'!AA28:AC28)+'Run Reconstruction 2'!C28*SUM('Escapement Age'!AA28:AC28)</f>
        <v>5838.8078036837833</v>
      </c>
      <c r="P22" s="25">
        <v>2005</v>
      </c>
      <c r="Q22" s="24">
        <f>B29*SUM('Escapement Age'!AD29:AF29)+C29*SUM('Escapement Age'!AD29:AF29)</f>
        <v>61.663890783627785</v>
      </c>
      <c r="R22" s="25">
        <v>2006</v>
      </c>
      <c r="S22" s="24">
        <f>B30*SUM('Escapement Age'!AG30)+C30*SUM('Escapement Age'!AG30)</f>
        <v>0</v>
      </c>
      <c r="U22" s="21">
        <f t="shared" si="1"/>
        <v>33.793830093398377</v>
      </c>
      <c r="V22" s="21">
        <f t="shared" si="2"/>
        <v>81.474629127183263</v>
      </c>
      <c r="X22" s="18"/>
      <c r="Y22" s="18"/>
      <c r="Z22" s="18"/>
    </row>
    <row r="23" spans="1:30" x14ac:dyDescent="0.3">
      <c r="A23" s="17">
        <v>1999</v>
      </c>
      <c r="B23" s="11">
        <f>'Summary Data'!C23</f>
        <v>57753.571103648006</v>
      </c>
      <c r="C23" s="11">
        <f>'Summary Data'!H23</f>
        <v>12694</v>
      </c>
      <c r="D23" s="11">
        <f t="shared" si="3"/>
        <v>70447.571103648006</v>
      </c>
      <c r="E23" s="11">
        <f t="shared" si="0"/>
        <v>62003.178240850131</v>
      </c>
      <c r="F23" s="119">
        <f t="shared" si="4"/>
        <v>1.0735817206796707</v>
      </c>
      <c r="G23" s="40">
        <f t="shared" si="5"/>
        <v>7.1000460897775952E-2</v>
      </c>
      <c r="H23" s="25">
        <v>2002</v>
      </c>
      <c r="I23" s="24">
        <f>B26*SUM('Escapement Age'!S26:T26)+C26*'Escapement Age'!S26</f>
        <v>44.71150086030719</v>
      </c>
      <c r="J23" s="25">
        <v>2003</v>
      </c>
      <c r="K23" s="24">
        <f>B27*SUM('Escapement Age'!U27:W27)+C27*SUM('Escapement Age'!U27:V27)</f>
        <v>4370.6275066781272</v>
      </c>
      <c r="L23" s="25">
        <v>2004</v>
      </c>
      <c r="M23" s="24">
        <f>B28*SUM('Escapement Age'!X28:Z28)+C28*SUM('Escapement Age'!X28:Y28)</f>
        <v>51452.28210034073</v>
      </c>
      <c r="N23" s="25">
        <v>2005</v>
      </c>
      <c r="O23" s="24">
        <f>B29*SUM('Escapement Age'!AA29:AC29)+'Run Reconstruction 2'!C29*SUM('Escapement Age'!AA29:AC29)</f>
        <v>6135.5571329709655</v>
      </c>
      <c r="P23" s="25">
        <v>2006</v>
      </c>
      <c r="Q23" s="24">
        <f>B30*SUM('Escapement Age'!AD30:AF30)+C30*SUM('Escapement Age'!AD30:AF30)</f>
        <v>0</v>
      </c>
      <c r="R23" s="25">
        <v>2007</v>
      </c>
      <c r="S23" s="24">
        <f>B31*SUM('Escapement Age'!AG31)+C31*SUM('Escapement Age'!AG31)</f>
        <v>0</v>
      </c>
      <c r="U23" s="21">
        <f t="shared" si="1"/>
        <v>57.753571103648007</v>
      </c>
      <c r="V23" s="21">
        <f t="shared" si="2"/>
        <v>62.003178240850133</v>
      </c>
      <c r="X23" s="18"/>
      <c r="Y23" s="18"/>
      <c r="Z23" s="18"/>
    </row>
    <row r="24" spans="1:30" ht="15" thickBot="1" x14ac:dyDescent="0.35">
      <c r="A24" s="17">
        <v>2000</v>
      </c>
      <c r="B24" s="11">
        <f>'Summary Data'!C24</f>
        <v>3032.1982934523489</v>
      </c>
      <c r="C24" s="11">
        <f>'Summary Data'!H24</f>
        <v>809</v>
      </c>
      <c r="D24" s="11">
        <f t="shared" si="3"/>
        <v>3841.1982934523489</v>
      </c>
      <c r="E24" s="11">
        <f t="shared" si="0"/>
        <v>90543.46945646884</v>
      </c>
      <c r="F24" s="119">
        <f t="shared" si="4"/>
        <v>29.860668958222846</v>
      </c>
      <c r="G24" s="40">
        <f t="shared" si="5"/>
        <v>3.3965421950155843</v>
      </c>
      <c r="H24" s="25">
        <v>2003</v>
      </c>
      <c r="I24" s="24">
        <f>B27*SUM('Escapement Age'!S27:T27)+C27*'Escapement Age'!S27</f>
        <v>34.998883189767149</v>
      </c>
      <c r="J24" s="25">
        <v>2004</v>
      </c>
      <c r="K24" s="24">
        <f>B28*SUM('Escapement Age'!U28:W28)+C28*SUM('Escapement Age'!U28:V28)</f>
        <v>31827.453106064524</v>
      </c>
      <c r="L24" s="25">
        <v>2005</v>
      </c>
      <c r="M24" s="24">
        <f>B29*SUM('Escapement Age'!X29:Z29)+C29*SUM('Escapement Age'!X29:Y29)</f>
        <v>46124.590306153594</v>
      </c>
      <c r="N24" s="25">
        <v>2006</v>
      </c>
      <c r="O24" s="24">
        <f>B30*SUM('Escapement Age'!AA30:AC30)+'Run Reconstruction 2'!C30*SUM('Escapement Age'!AA30:AC30)</f>
        <v>12377.08793478919</v>
      </c>
      <c r="P24" s="25">
        <v>2007</v>
      </c>
      <c r="Q24" s="24">
        <f>B31*SUM('Escapement Age'!AD31:AF31)+C31*SUM('Escapement Age'!AD31:AF31)</f>
        <v>179.33922627177168</v>
      </c>
      <c r="R24" s="25">
        <v>2008</v>
      </c>
      <c r="S24" s="24">
        <f>B32*SUM('Escapement Age'!AG32)+C32*SUM('Escapement Age'!AG32)</f>
        <v>0</v>
      </c>
      <c r="U24" s="21">
        <f t="shared" si="1"/>
        <v>3.0321982934523488</v>
      </c>
      <c r="V24" s="21">
        <f t="shared" si="2"/>
        <v>90.543469456468841</v>
      </c>
      <c r="X24" s="18"/>
      <c r="Y24" s="18"/>
      <c r="Z24" s="48"/>
      <c r="AA24" s="48" t="s">
        <v>68</v>
      </c>
      <c r="AB24" s="52"/>
      <c r="AC24" s="48"/>
    </row>
    <row r="25" spans="1:30" x14ac:dyDescent="0.3">
      <c r="A25" s="17">
        <v>2001</v>
      </c>
      <c r="B25" s="11">
        <f>'Summary Data'!C25</f>
        <v>3666.9945177828154</v>
      </c>
      <c r="C25" s="11">
        <f>'Summary Data'!H25</f>
        <v>1454</v>
      </c>
      <c r="D25" s="11">
        <f t="shared" si="3"/>
        <v>5120.9945177828158</v>
      </c>
      <c r="E25" s="11">
        <f t="shared" si="0"/>
        <v>74923.083177855151</v>
      </c>
      <c r="F25" s="119">
        <f t="shared" si="4"/>
        <v>20.431741256912513</v>
      </c>
      <c r="G25" s="40">
        <f t="shared" si="5"/>
        <v>3.0170896355898207</v>
      </c>
      <c r="H25" s="25">
        <v>2004</v>
      </c>
      <c r="I25" s="24">
        <f>B28*SUM('Escapement Age'!S28:T28)+C28*'Escapement Age'!S28</f>
        <v>848.70794385087186</v>
      </c>
      <c r="J25" s="25">
        <v>2005</v>
      </c>
      <c r="K25" s="24">
        <f>B29*SUM('Escapement Age'!U29:W29)+C29*SUM('Escapement Age'!U29:V29)</f>
        <v>18474.486094570457</v>
      </c>
      <c r="L25" s="25">
        <v>2006</v>
      </c>
      <c r="M25" s="24">
        <f>B30*SUM('Escapement Age'!X30:Z30)+C30*SUM('Escapement Age'!X30:Y30)</f>
        <v>44609.087764969365</v>
      </c>
      <c r="N25" s="25">
        <v>2007</v>
      </c>
      <c r="O25" s="24">
        <f>B31*SUM('Escapement Age'!AA31:AC31)+'Run Reconstruction 2'!C31*SUM('Escapement Age'!AA31:AC31)</f>
        <v>10939.692802578073</v>
      </c>
      <c r="P25" s="25">
        <v>2008</v>
      </c>
      <c r="Q25" s="24">
        <f>B32*SUM('Escapement Age'!AD32:AF32)+C32*SUM('Escapement Age'!AD32:AF32)</f>
        <v>51.108571886382904</v>
      </c>
      <c r="R25" s="25">
        <v>2009</v>
      </c>
      <c r="S25" s="24">
        <f>B33*SUM('Escapement Age'!AG33)+C33*SUM('Escapement Age'!AG33)</f>
        <v>0</v>
      </c>
      <c r="U25" s="21">
        <f t="shared" si="1"/>
        <v>3.6669945177828152</v>
      </c>
      <c r="V25" s="21">
        <f t="shared" si="2"/>
        <v>74.923083177855148</v>
      </c>
      <c r="X25" s="18"/>
      <c r="Y25" s="18" t="s">
        <v>79</v>
      </c>
      <c r="Z25" s="49" t="s">
        <v>69</v>
      </c>
      <c r="AA25" s="56">
        <f t="array" ref="AA25:AB29">LINEST(G6:G37,B6:B37,1,1)</f>
        <v>-4.0804638788784087E-5</v>
      </c>
      <c r="AB25" s="54">
        <v>1.6845423127153829</v>
      </c>
      <c r="AC25" s="48" t="s">
        <v>70</v>
      </c>
      <c r="AD25" s="12" t="s">
        <v>78</v>
      </c>
    </row>
    <row r="26" spans="1:30" x14ac:dyDescent="0.3">
      <c r="A26" s="17">
        <v>2002</v>
      </c>
      <c r="B26" s="11">
        <f>'Summary Data'!C26</f>
        <v>23987.72021155481</v>
      </c>
      <c r="C26" s="11">
        <f>'Summary Data'!H26</f>
        <v>2686</v>
      </c>
      <c r="D26" s="11">
        <f t="shared" si="3"/>
        <v>26673.72021155481</v>
      </c>
      <c r="E26" s="11">
        <f t="shared" si="0"/>
        <v>142828.13952400893</v>
      </c>
      <c r="F26" s="119">
        <f t="shared" si="4"/>
        <v>5.954219003071791</v>
      </c>
      <c r="G26" s="40">
        <f t="shared" si="5"/>
        <v>1.7841000444283426</v>
      </c>
      <c r="H26" s="25">
        <v>2005</v>
      </c>
      <c r="I26" s="24">
        <f>B29*SUM('Escapement Age'!S29:T29)+C29*'Escapement Age'!S29</f>
        <v>1307.2713404313142</v>
      </c>
      <c r="J26" s="25">
        <v>2006</v>
      </c>
      <c r="K26" s="24">
        <f>B30*SUM('Escapement Age'!U30:W30)+C30*SUM('Escapement Age'!U30:V30)</f>
        <v>72199.679619603601</v>
      </c>
      <c r="L26" s="25">
        <v>2007</v>
      </c>
      <c r="M26" s="24">
        <f>B31*SUM('Escapement Age'!X31:Z31)+C31*SUM('Escapement Age'!X31:Y31)</f>
        <v>66893.531399370841</v>
      </c>
      <c r="N26" s="25">
        <v>2008</v>
      </c>
      <c r="O26" s="24">
        <f>B32*SUM('Escapement Age'!AA32:AC32)+'Run Reconstruction 2'!C32*SUM('Escapement Age'!AA32:AC32)</f>
        <v>2427.657164603188</v>
      </c>
      <c r="P26" s="25">
        <v>2009</v>
      </c>
      <c r="Q26" s="24">
        <f>B33*SUM('Escapement Age'!AD33:AF33)+C33*SUM('Escapement Age'!AD33:AF33)</f>
        <v>0</v>
      </c>
      <c r="R26" s="25">
        <v>2010</v>
      </c>
      <c r="S26" s="24">
        <f>B34*SUM('Escapement Age'!AG34)+C34*SUM('Escapement Age'!AG34)</f>
        <v>0</v>
      </c>
      <c r="U26" s="21">
        <f t="shared" si="1"/>
        <v>23.987720211554809</v>
      </c>
      <c r="V26" s="21">
        <f t="shared" si="2"/>
        <v>142.82813952400895</v>
      </c>
      <c r="X26" s="18"/>
      <c r="Y26" s="18"/>
      <c r="Z26" s="49" t="s">
        <v>71</v>
      </c>
      <c r="AA26" s="51">
        <v>6.69036222534284E-6</v>
      </c>
      <c r="AB26" s="58">
        <v>0.27586510796238667</v>
      </c>
      <c r="AC26" s="48" t="s">
        <v>71</v>
      </c>
    </row>
    <row r="27" spans="1:30" x14ac:dyDescent="0.3">
      <c r="A27" s="17">
        <v>2003</v>
      </c>
      <c r="B27" s="11">
        <f>'Summary Data'!C27</f>
        <v>69892.769729965003</v>
      </c>
      <c r="C27" s="11">
        <f>'Summary Data'!H27</f>
        <v>12038</v>
      </c>
      <c r="D27" s="11">
        <f t="shared" si="3"/>
        <v>81930.769729965003</v>
      </c>
      <c r="E27" s="11">
        <f t="shared" si="0"/>
        <v>12287.441047702092</v>
      </c>
      <c r="F27" s="119">
        <f t="shared" si="4"/>
        <v>0.17580417967660136</v>
      </c>
      <c r="G27" s="40">
        <f t="shared" si="5"/>
        <v>-1.738384518833928</v>
      </c>
      <c r="H27" s="25">
        <v>2006</v>
      </c>
      <c r="I27" s="24">
        <f>B30*SUM('Escapement Age'!S30:T30)+C30*'Escapement Age'!S30</f>
        <v>0</v>
      </c>
      <c r="J27" s="25">
        <v>2007</v>
      </c>
      <c r="K27" s="24">
        <f>B31*SUM('Escapement Age'!U31:W31)+C31*SUM('Escapement Age'!U31:V31)</f>
        <v>4662.819883066064</v>
      </c>
      <c r="L27" s="25">
        <v>2008</v>
      </c>
      <c r="M27" s="24">
        <f>B32*SUM('Escapement Age'!X32:Z32)+C32*SUM('Escapement Age'!X32:Y32)</f>
        <v>7206.308635979989</v>
      </c>
      <c r="N27" s="25">
        <v>2009</v>
      </c>
      <c r="O27" s="24">
        <f>B33*SUM('Escapement Age'!AA33:AC33)+'Run Reconstruction 2'!C33*SUM('Escapement Age'!AA33:AC33)</f>
        <v>418.31252865603904</v>
      </c>
      <c r="P27" s="25">
        <v>2010</v>
      </c>
      <c r="Q27" s="24">
        <f>B34*SUM('Escapement Age'!AD34:AF34)+C34*SUM('Escapement Age'!AD34:AF34)</f>
        <v>0</v>
      </c>
      <c r="R27" s="25">
        <v>2011</v>
      </c>
      <c r="S27" s="24">
        <f>B35*SUM('Escapement Age'!AG35)+C35*SUM('Escapement Age'!AG35)</f>
        <v>0</v>
      </c>
      <c r="U27" s="21">
        <f t="shared" si="1"/>
        <v>69.892769729964996</v>
      </c>
      <c r="V27" s="21">
        <f t="shared" si="2"/>
        <v>12.287441047702092</v>
      </c>
      <c r="X27" s="18"/>
      <c r="Y27" s="18"/>
      <c r="Z27" s="49" t="s">
        <v>72</v>
      </c>
      <c r="AA27" s="55">
        <v>0.55355826793684726</v>
      </c>
      <c r="AB27" s="58">
        <v>0.99050509108216611</v>
      </c>
      <c r="AC27" s="48" t="s">
        <v>73</v>
      </c>
      <c r="AD27" s="12" t="s">
        <v>80</v>
      </c>
    </row>
    <row r="28" spans="1:30" x14ac:dyDescent="0.3">
      <c r="A28" s="17">
        <v>2004</v>
      </c>
      <c r="B28" s="11">
        <f>'Summary Data'!C28</f>
        <v>77262.733888424016</v>
      </c>
      <c r="C28" s="11">
        <f>'Summary Data'!H28</f>
        <v>12938</v>
      </c>
      <c r="D28" s="11">
        <f t="shared" si="3"/>
        <v>90200.733888424016</v>
      </c>
      <c r="E28" s="11">
        <f t="shared" si="0"/>
        <v>17135.228086591396</v>
      </c>
      <c r="F28" s="119">
        <f t="shared" si="4"/>
        <v>0.22177869231674577</v>
      </c>
      <c r="G28" s="40">
        <f t="shared" si="5"/>
        <v>-1.506075275782748</v>
      </c>
      <c r="H28" s="25">
        <v>2007</v>
      </c>
      <c r="I28" s="24">
        <f>B31*SUM('Escapement Age'!S31:T31)+C31*'Escapement Age'!S31</f>
        <v>0</v>
      </c>
      <c r="J28" s="25">
        <v>2008</v>
      </c>
      <c r="K28" s="24">
        <f>B32*SUM('Escapement Age'!U32:W32)+C32*SUM('Escapement Age'!U32:V32)</f>
        <v>1765.7622842282342</v>
      </c>
      <c r="L28" s="25">
        <v>2009</v>
      </c>
      <c r="M28" s="24">
        <f>B33*SUM('Escapement Age'!X33:Z33)+C33*SUM('Escapement Age'!X33:Y33)</f>
        <v>11873.640236467567</v>
      </c>
      <c r="N28" s="25">
        <v>2010</v>
      </c>
      <c r="O28" s="24">
        <f>B34*SUM('Escapement Age'!AA34:AC34)+'Run Reconstruction 2'!C34*SUM('Escapement Age'!AA34:AC34)</f>
        <v>3495.8255658955941</v>
      </c>
      <c r="P28" s="25">
        <v>2011</v>
      </c>
      <c r="Q28" s="24">
        <f>B35*SUM('Escapement Age'!AD35:AF35)+C35*SUM('Escapement Age'!AD35:AF35)</f>
        <v>0</v>
      </c>
      <c r="R28" s="25">
        <v>2012</v>
      </c>
      <c r="S28" s="24">
        <f>B36*SUM('Escapement Age'!AG36)+C36*SUM('Escapement Age'!AG36)</f>
        <v>0</v>
      </c>
      <c r="U28" s="21">
        <f t="shared" si="1"/>
        <v>77.262733888424023</v>
      </c>
      <c r="V28" s="21">
        <f t="shared" si="2"/>
        <v>17.135228086591397</v>
      </c>
      <c r="Z28" s="49" t="s">
        <v>74</v>
      </c>
      <c r="AA28" s="55">
        <v>37.198019014396841</v>
      </c>
      <c r="AB28" s="53">
        <v>30</v>
      </c>
      <c r="AC28" s="48" t="s">
        <v>75</v>
      </c>
    </row>
    <row r="29" spans="1:30" ht="15" thickBot="1" x14ac:dyDescent="0.35">
      <c r="A29" s="17">
        <v>2005</v>
      </c>
      <c r="B29" s="11">
        <f>'Summary Data'!C29</f>
        <v>65653.382797031678</v>
      </c>
      <c r="C29" s="11">
        <f>'Summary Data'!H29</f>
        <v>7295</v>
      </c>
      <c r="D29" s="11">
        <f t="shared" si="3"/>
        <v>72948.382797031678</v>
      </c>
      <c r="E29" s="11">
        <f t="shared" si="0"/>
        <v>10064.964505566293</v>
      </c>
      <c r="F29" s="119">
        <f t="shared" si="4"/>
        <v>0.15330458350763534</v>
      </c>
      <c r="G29" s="40">
        <f t="shared" si="5"/>
        <v>-1.8753285946104632</v>
      </c>
      <c r="H29" s="25">
        <v>2008</v>
      </c>
      <c r="I29" s="24">
        <f>B32*SUM('Escapement Age'!S32:T32)+C32*'Escapement Age'!S32</f>
        <v>22.314818093967506</v>
      </c>
      <c r="J29" s="25">
        <v>2009</v>
      </c>
      <c r="K29" s="24">
        <f>B33*SUM('Escapement Age'!U33:W33)+C33*SUM('Escapement Age'!U33:V33)</f>
        <v>1619.3294097783412</v>
      </c>
      <c r="L29" s="25">
        <v>2010</v>
      </c>
      <c r="M29" s="24">
        <f>B34*SUM('Escapement Age'!X34:Z34)+C34*SUM('Escapement Age'!X34:Y34)</f>
        <v>4827.568638617724</v>
      </c>
      <c r="N29" s="25">
        <v>2011</v>
      </c>
      <c r="O29" s="24">
        <f>B35*SUM('Escapement Age'!AA35:AC35)+'Run Reconstruction 2'!C35*SUM('Escapement Age'!AA35:AC35)</f>
        <v>3595.7516390762598</v>
      </c>
      <c r="P29" s="25">
        <v>2012</v>
      </c>
      <c r="Q29" s="24">
        <f>B36*SUM('Escapement Age'!AD36:AF36)+C36*SUM('Escapement Age'!AD36:AF36)</f>
        <v>0</v>
      </c>
      <c r="R29" s="25">
        <v>2013</v>
      </c>
      <c r="S29" s="24">
        <f>B37*SUM('Escapement Age'!AG37)+C37*SUM('Escapement Age'!AG37)</f>
        <v>0</v>
      </c>
      <c r="U29" s="21">
        <f t="shared" si="1"/>
        <v>65.653382797031682</v>
      </c>
      <c r="V29" s="21">
        <f t="shared" si="2"/>
        <v>10.064964505566293</v>
      </c>
      <c r="Z29" s="49" t="s">
        <v>76</v>
      </c>
      <c r="AA29" s="50">
        <v>36.494988933460675</v>
      </c>
      <c r="AB29" s="57">
        <v>29.433010063790704</v>
      </c>
      <c r="AC29" s="48" t="s">
        <v>77</v>
      </c>
    </row>
    <row r="30" spans="1:30" x14ac:dyDescent="0.3">
      <c r="A30" s="17">
        <v>2006</v>
      </c>
      <c r="B30" s="11">
        <f>'Summary Data'!C30</f>
        <v>103952.85531936215</v>
      </c>
      <c r="C30" s="11">
        <f>'Summary Data'!H30</f>
        <v>25233</v>
      </c>
      <c r="D30" s="11">
        <f t="shared" si="3"/>
        <v>129185.85531936215</v>
      </c>
      <c r="E30" s="11">
        <f t="shared" si="0"/>
        <v>29816.498355008753</v>
      </c>
      <c r="F30" s="119">
        <f t="shared" si="4"/>
        <v>0.28682712238549896</v>
      </c>
      <c r="G30" s="40">
        <f t="shared" si="5"/>
        <v>-1.2488756057409411</v>
      </c>
      <c r="H30" s="25">
        <v>2009</v>
      </c>
      <c r="I30" s="24">
        <f>B33*SUM('Escapement Age'!S33:T33)+C33*'Escapement Age'!S33</f>
        <v>553.68989498421456</v>
      </c>
      <c r="J30" s="25">
        <v>2010</v>
      </c>
      <c r="K30" s="24">
        <f>B34*SUM('Escapement Age'!U34:W34)+C34*SUM('Escapement Age'!U34:V34)</f>
        <v>11835.86354555519</v>
      </c>
      <c r="L30" s="25">
        <v>2011</v>
      </c>
      <c r="M30" s="24">
        <f>B35*SUM('Escapement Age'!X35:Z35)+C35*SUM('Escapement Age'!X35:Y35)</f>
        <v>15461.73204802792</v>
      </c>
      <c r="N30" s="25">
        <v>2012</v>
      </c>
      <c r="O30" s="24">
        <f>B36*SUM('Escapement Age'!AA36:AC36)+'Run Reconstruction 2'!C36*SUM('Escapement Age'!AA36:AC36)</f>
        <v>1965.2128664414308</v>
      </c>
      <c r="P30" s="25">
        <v>2013</v>
      </c>
      <c r="Q30" s="24">
        <f>B37*SUM('Escapement Age'!AD37:AF37)+C37*SUM('Escapement Age'!AD37:AF37)</f>
        <v>0</v>
      </c>
      <c r="R30" s="25">
        <v>2014</v>
      </c>
      <c r="S30" s="24">
        <f>B38*SUM('Escapement Age'!AG38)+C38*SUM('Escapement Age'!AG38)</f>
        <v>0</v>
      </c>
      <c r="U30" s="21">
        <f t="shared" si="1"/>
        <v>103.95285531936214</v>
      </c>
      <c r="V30" s="21">
        <f t="shared" si="2"/>
        <v>29.816498355008754</v>
      </c>
      <c r="Z30" s="52"/>
      <c r="AA30" s="47"/>
      <c r="AB30" s="52"/>
      <c r="AC30" s="52"/>
    </row>
    <row r="31" spans="1:30" x14ac:dyDescent="0.3">
      <c r="A31" s="17">
        <v>2007</v>
      </c>
      <c r="B31" s="11">
        <f>'Summary Data'!C31</f>
        <v>66938.383311286743</v>
      </c>
      <c r="C31" s="11">
        <f>'Summary Data'!H31</f>
        <v>15737</v>
      </c>
      <c r="D31" s="11">
        <f t="shared" si="3"/>
        <v>82675.383311286743</v>
      </c>
      <c r="E31" s="11">
        <f t="shared" si="0"/>
        <v>29874.618392283341</v>
      </c>
      <c r="F31" s="119">
        <f t="shared" si="4"/>
        <v>0.44630026771569886</v>
      </c>
      <c r="G31" s="40">
        <f t="shared" si="5"/>
        <v>-0.80676330749116876</v>
      </c>
      <c r="H31" s="25">
        <v>2010</v>
      </c>
      <c r="I31" s="24">
        <f>B34*SUM('Escapement Age'!S34:T34)+C34*'Escapement Age'!S34</f>
        <v>0</v>
      </c>
      <c r="J31" s="25">
        <v>2011</v>
      </c>
      <c r="K31" s="24">
        <f>B35*SUM('Escapement Age'!U35:W35)+C35*SUM('Escapement Age'!U35:V35)</f>
        <v>3348.4318010195798</v>
      </c>
      <c r="L31" s="25">
        <v>2012</v>
      </c>
      <c r="M31" s="24">
        <f>B36*SUM('Escapement Age'!X36:Z36)+C36*SUM('Escapement Age'!X36:Y36)</f>
        <v>16949.960973057343</v>
      </c>
      <c r="N31" s="25">
        <v>2013</v>
      </c>
      <c r="O31" s="24">
        <f>B37*SUM('Escapement Age'!AA37:AC37)+'Run Reconstruction 2'!C37*SUM('Escapement Age'!AA37:AC37)</f>
        <v>9480.150242337264</v>
      </c>
      <c r="P31" s="25">
        <v>2014</v>
      </c>
      <c r="Q31" s="24">
        <f>B38*SUM('Escapement Age'!AD38:AF38)+C38*SUM('Escapement Age'!AD38:AF38)</f>
        <v>96.075375869154399</v>
      </c>
      <c r="R31" s="25">
        <v>2015</v>
      </c>
      <c r="S31" s="24">
        <f>B39*SUM('Escapement Age'!AG39)+C39*SUM('Escapement Age'!AG39)</f>
        <v>0</v>
      </c>
      <c r="U31" s="21">
        <f t="shared" si="1"/>
        <v>66.938383311286742</v>
      </c>
      <c r="V31" s="21">
        <f t="shared" si="2"/>
        <v>29.874618392283342</v>
      </c>
      <c r="AA31" s="15" t="s">
        <v>163</v>
      </c>
      <c r="AB31" s="15" t="s">
        <v>141</v>
      </c>
      <c r="AC31" s="15"/>
    </row>
    <row r="32" spans="1:30" x14ac:dyDescent="0.3">
      <c r="A32" s="17">
        <v>2008</v>
      </c>
      <c r="B32" s="11">
        <f>'Summary Data'!C32</f>
        <v>10063.982960379346</v>
      </c>
      <c r="C32" s="11">
        <f>'Summary Data'!H32</f>
        <v>1461</v>
      </c>
      <c r="D32" s="11">
        <f t="shared" si="3"/>
        <v>11524.982960379346</v>
      </c>
      <c r="E32" s="11">
        <f t="shared" si="0"/>
        <v>67741.006921964014</v>
      </c>
      <c r="F32" s="119">
        <f t="shared" si="4"/>
        <v>6.7310335469219256</v>
      </c>
      <c r="G32" s="40">
        <f t="shared" si="5"/>
        <v>1.9067287049593928</v>
      </c>
      <c r="H32" s="25">
        <v>2011</v>
      </c>
      <c r="I32" s="24">
        <f>B35*SUM('Escapement Age'!S35:T35)+C35*'Escapement Age'!S35</f>
        <v>2437.5422039992668</v>
      </c>
      <c r="J32" s="25">
        <v>2012</v>
      </c>
      <c r="K32" s="24">
        <f>B36*SUM('Escapement Age'!U36:W36)+C36*SUM('Escapement Age'!U36:V36)</f>
        <v>23899.734135707517</v>
      </c>
      <c r="L32" s="25">
        <v>2013</v>
      </c>
      <c r="M32" s="24">
        <f>B37*SUM('Escapement Age'!X37:Z37)+C37*SUM('Escapement Age'!X37:Y37)</f>
        <v>36407.811037061198</v>
      </c>
      <c r="N32" s="25">
        <v>2014</v>
      </c>
      <c r="O32" s="24">
        <f>B38*SUM('Escapement Age'!AA38:AC38)+'Run Reconstruction 2'!C38*SUM('Escapement Age'!AA38:AC38)</f>
        <v>4995.9195451960277</v>
      </c>
      <c r="P32" s="25">
        <v>2015</v>
      </c>
      <c r="Q32" s="24">
        <f>B39*SUM('Escapement Age'!AD39:AF39)+C39*SUM('Escapement Age'!AD39:AF39)</f>
        <v>0</v>
      </c>
      <c r="R32" s="25">
        <v>2016</v>
      </c>
      <c r="S32" s="24">
        <f>B40*SUM('Escapement Age'!AG40)+C40*SUM('Escapement Age'!AG40)</f>
        <v>0</v>
      </c>
      <c r="U32" s="21">
        <f t="shared" si="1"/>
        <v>10.063982960379345</v>
      </c>
      <c r="V32" s="21">
        <f t="shared" si="2"/>
        <v>67.741006921964015</v>
      </c>
      <c r="Z32" s="167" t="s">
        <v>87</v>
      </c>
      <c r="AA32" s="62">
        <f>AB25</f>
        <v>1.6845423127153829</v>
      </c>
      <c r="AB32" s="62"/>
      <c r="AC32" s="141"/>
    </row>
    <row r="33" spans="1:33" x14ac:dyDescent="0.3">
      <c r="A33" s="17">
        <v>2009</v>
      </c>
      <c r="B33" s="11">
        <f>'Summary Data'!C33</f>
        <v>12568.76061614167</v>
      </c>
      <c r="C33" s="11">
        <f>'Summary Data'!H33</f>
        <v>2040</v>
      </c>
      <c r="D33" s="11">
        <f t="shared" si="3"/>
        <v>14608.76061614167</v>
      </c>
      <c r="E33" s="11">
        <f t="shared" si="0"/>
        <v>24216.492181962782</v>
      </c>
      <c r="F33" s="119">
        <f t="shared" si="4"/>
        <v>1.9267207739530254</v>
      </c>
      <c r="G33" s="40">
        <f t="shared" si="5"/>
        <v>0.65581947698846821</v>
      </c>
      <c r="H33" s="25">
        <v>2012</v>
      </c>
      <c r="I33" s="24">
        <f>B36*SUM('Escapement Age'!S36:T36)+C36*'Escapement Age'!S36</f>
        <v>3541.8578316145727</v>
      </c>
      <c r="J33" s="25">
        <v>2013</v>
      </c>
      <c r="K33" s="24">
        <f>B37*SUM('Escapement Age'!U37:W37)+C37*SUM('Escapement Age'!U37:V37)</f>
        <v>10109.023225231022</v>
      </c>
      <c r="L33" s="25">
        <v>2014</v>
      </c>
      <c r="M33" s="24">
        <f>B38*SUM('Escapement Age'!X38:Z38)+C38*SUM('Escapement Age'!X38:Y38)</f>
        <v>10376.140593868673</v>
      </c>
      <c r="N33" s="25">
        <v>2015</v>
      </c>
      <c r="O33" s="24">
        <f>B39*SUM('Escapement Age'!AA39:AC39)+'Run Reconstruction 2'!C39*SUM('Escapement Age'!AA39:AC39)</f>
        <v>189.47053124851311</v>
      </c>
      <c r="P33" s="25">
        <v>2016</v>
      </c>
      <c r="Q33" s="24">
        <f>B40*SUM('Escapement Age'!AD40:AF40)+C40*SUM('Escapement Age'!AD40:AF40)</f>
        <v>0</v>
      </c>
      <c r="R33" s="25">
        <v>2017</v>
      </c>
      <c r="S33" s="24">
        <f>B41*SUM('Escapement Age'!AG41)+C41*SUM('Escapement Age'!AG41)</f>
        <v>0</v>
      </c>
      <c r="U33" s="21">
        <f t="shared" si="1"/>
        <v>12.56876061614167</v>
      </c>
      <c r="V33" s="21">
        <f t="shared" si="2"/>
        <v>24.216492181962781</v>
      </c>
      <c r="Z33" s="167" t="s">
        <v>79</v>
      </c>
      <c r="AA33" s="139">
        <f>-AA25</f>
        <v>4.0804638788784087E-5</v>
      </c>
      <c r="AC33" s="169"/>
    </row>
    <row r="34" spans="1:33" x14ac:dyDescent="0.3">
      <c r="A34" s="17">
        <v>2010</v>
      </c>
      <c r="B34" s="11">
        <f>'Summary Data'!C34</f>
        <v>17156.230945944797</v>
      </c>
      <c r="C34" s="11">
        <f>'Summary Data'!H34</f>
        <v>3028</v>
      </c>
      <c r="D34" s="11">
        <f t="shared" si="3"/>
        <v>20184.230945944797</v>
      </c>
      <c r="E34" s="11">
        <f t="shared" si="0"/>
        <v>17254.524568772544</v>
      </c>
      <c r="F34" s="119">
        <f t="shared" si="4"/>
        <v>1.0057293249978649</v>
      </c>
      <c r="G34" s="40">
        <f t="shared" si="5"/>
        <v>5.712974835934621E-3</v>
      </c>
      <c r="H34" s="25">
        <v>2013</v>
      </c>
      <c r="I34" s="24">
        <f>B37*SUM('Escapement Age'!S37:T37)+C37*'Escapement Age'!S37</f>
        <v>1623.2371026370881</v>
      </c>
      <c r="J34" s="25">
        <v>2014</v>
      </c>
      <c r="K34" s="24">
        <f>B38*SUM('Escapement Age'!U38:W38)+C38*SUM('Escapement Age'!U38:V38)</f>
        <v>6179.8896040463187</v>
      </c>
      <c r="L34" s="25">
        <v>2015</v>
      </c>
      <c r="M34" s="24">
        <f>B39*SUM('Escapement Age'!X39:Z39)+C39*SUM('Escapement Age'!X39:Y39)</f>
        <v>8715.6444374316034</v>
      </c>
      <c r="N34" s="25">
        <v>2016</v>
      </c>
      <c r="O34" s="24">
        <f>B40*SUM('Escapement Age'!AA40:AC40)+'Run Reconstruction 2'!C40*SUM('Escapement Age'!AA40:AC40)</f>
        <v>735.7534246575342</v>
      </c>
      <c r="P34" s="25">
        <v>2017</v>
      </c>
      <c r="Q34" s="24">
        <f>B41*SUM('Escapement Age'!AD41:AF41)+C41*SUM('Escapement Age'!AD41:AF41)</f>
        <v>0</v>
      </c>
      <c r="R34" s="25">
        <v>2018</v>
      </c>
      <c r="S34" s="24">
        <f>B42*SUM('Escapement Age'!AG42)+C42*SUM('Escapement Age'!AG42)</f>
        <v>0</v>
      </c>
      <c r="U34" s="21">
        <f t="shared" si="1"/>
        <v>17.156230945944795</v>
      </c>
      <c r="V34" s="21">
        <f t="shared" si="2"/>
        <v>17.254524568772545</v>
      </c>
      <c r="Z34" s="167" t="s">
        <v>80</v>
      </c>
      <c r="AA34" s="62">
        <f>AB27</f>
        <v>0.99050509108216611</v>
      </c>
      <c r="AB34" s="62"/>
      <c r="AC34" s="141"/>
    </row>
    <row r="35" spans="1:33" x14ac:dyDescent="0.3">
      <c r="A35" s="17">
        <v>2011</v>
      </c>
      <c r="B35" s="11">
        <f>'Summary Data'!C35</f>
        <v>22719.73299576675</v>
      </c>
      <c r="C35" s="11">
        <f>'Summary Data'!H35</f>
        <v>2656</v>
      </c>
      <c r="D35" s="11">
        <f t="shared" si="3"/>
        <v>25375.73299576675</v>
      </c>
      <c r="E35" s="11">
        <f t="shared" si="0"/>
        <v>25591.964130734821</v>
      </c>
      <c r="F35" s="119">
        <f t="shared" si="4"/>
        <v>1.1264201095806556</v>
      </c>
      <c r="G35" s="40">
        <f t="shared" si="5"/>
        <v>0.11904455922805954</v>
      </c>
      <c r="H35" s="25">
        <v>2014</v>
      </c>
      <c r="I35" s="24">
        <f>B38*SUM('Escapement Age'!S38:T38)+C38*'Escapement Age'!S38</f>
        <v>2837.3511744136345</v>
      </c>
      <c r="J35" s="25">
        <v>2015</v>
      </c>
      <c r="K35" s="24">
        <f>B39*SUM('Escapement Age'!U39:W39)+C39*SUM('Escapement Age'!U39:V39)</f>
        <v>6627.1179251323401</v>
      </c>
      <c r="L35" s="25">
        <v>2016</v>
      </c>
      <c r="M35" s="24">
        <f>B40*SUM('Escapement Age'!X40:Z40)+C40*SUM('Escapement Age'!X40:Y40)</f>
        <v>9722.455968688846</v>
      </c>
      <c r="N35" s="25">
        <v>2017</v>
      </c>
      <c r="O35" s="24">
        <f>B41*SUM('Escapement Age'!AA41:AC41)+'Run Reconstruction 2'!C41*SUM('Escapement Age'!AA41:AC41)</f>
        <v>6405.0390625</v>
      </c>
      <c r="P35" s="25">
        <v>2018</v>
      </c>
      <c r="Q35" s="24">
        <f>B42*SUM('Escapement Age'!AD42:AF42)+C42*SUM('Escapement Age'!AD42:AF42)</f>
        <v>0</v>
      </c>
      <c r="R35" s="25">
        <v>2019</v>
      </c>
      <c r="S35" s="26">
        <v>0</v>
      </c>
      <c r="U35" s="21">
        <f t="shared" si="1"/>
        <v>22.719732995766751</v>
      </c>
      <c r="V35" s="21">
        <f t="shared" si="2"/>
        <v>25.591964130734819</v>
      </c>
      <c r="Z35" s="167" t="s">
        <v>81</v>
      </c>
      <c r="AA35" s="62">
        <f>AA32+AA34^2/2</f>
        <v>2.1750924804452278</v>
      </c>
      <c r="AB35" s="62"/>
      <c r="AC35" s="62"/>
    </row>
    <row r="36" spans="1:33" x14ac:dyDescent="0.3">
      <c r="A36" s="17">
        <v>2012</v>
      </c>
      <c r="B36" s="11">
        <f>'Summary Data'!C36</f>
        <v>40943.876533464463</v>
      </c>
      <c r="C36" s="11">
        <f>'Summary Data'!H36</f>
        <v>6385</v>
      </c>
      <c r="D36" s="11">
        <f t="shared" si="3"/>
        <v>47328.876533464463</v>
      </c>
      <c r="E36" s="11">
        <f t="shared" si="0"/>
        <v>39575.911583536224</v>
      </c>
      <c r="F36" s="119">
        <f t="shared" si="4"/>
        <v>0.96658926643621135</v>
      </c>
      <c r="G36" s="40">
        <f t="shared" si="5"/>
        <v>-3.3981624085310476E-2</v>
      </c>
      <c r="H36" s="25">
        <v>2015</v>
      </c>
      <c r="I36" s="24">
        <f>B39*SUM('Escapement Age'!S39:T39)+C39*'Escapement Age'!S39</f>
        <v>1537.7442723025902</v>
      </c>
      <c r="J36" s="25">
        <v>2016</v>
      </c>
      <c r="K36" s="24">
        <f>B40*SUM('Escapement Age'!U40:W40)+C40*SUM('Escapement Age'!U40:V40)</f>
        <v>15557.215264187869</v>
      </c>
      <c r="L36" s="25">
        <v>2017</v>
      </c>
      <c r="M36" s="24">
        <f>B41*SUM('Escapement Age'!X41:Z41)+C41*SUM('Escapement Age'!X41:Y41)</f>
        <v>21309.072265625</v>
      </c>
      <c r="N36" s="25">
        <v>2018</v>
      </c>
      <c r="O36" s="24">
        <f>B42*SUM('Escapement Age'!AA42:AC42)+'Run Reconstruction 2'!C42*SUM('Escapement Age'!AA42:AC42)</f>
        <v>1171.8797814207651</v>
      </c>
      <c r="P36" s="25">
        <v>2019</v>
      </c>
      <c r="Q36" s="26">
        <v>0</v>
      </c>
      <c r="R36" s="25">
        <v>2020</v>
      </c>
      <c r="S36" s="26">
        <v>0</v>
      </c>
      <c r="U36" s="21">
        <f t="shared" si="1"/>
        <v>40.943876533464461</v>
      </c>
      <c r="V36" s="21">
        <f t="shared" si="2"/>
        <v>39.575911583536225</v>
      </c>
      <c r="W36" s="43"/>
      <c r="X36" s="19"/>
      <c r="Y36" s="19"/>
      <c r="Z36" s="170" t="s">
        <v>82</v>
      </c>
      <c r="AA36" s="11">
        <f>1/AA33</f>
        <v>24507.017576513103</v>
      </c>
      <c r="AB36" s="141"/>
      <c r="AC36" s="11"/>
    </row>
    <row r="37" spans="1:33" x14ac:dyDescent="0.3">
      <c r="A37" s="17">
        <v>2013</v>
      </c>
      <c r="B37" s="11">
        <f>'Summary Data'!C37</f>
        <v>49124.280737701352</v>
      </c>
      <c r="C37" s="11">
        <f>'Summary Data'!H37</f>
        <v>8866</v>
      </c>
      <c r="D37" s="11">
        <f t="shared" si="3"/>
        <v>57990.280737701352</v>
      </c>
      <c r="E37" s="11">
        <f t="shared" si="0"/>
        <v>24156.272795698813</v>
      </c>
      <c r="F37" s="119">
        <f t="shared" si="4"/>
        <v>0.49173794370000062</v>
      </c>
      <c r="G37" s="40">
        <f t="shared" si="5"/>
        <v>-0.70980933914620647</v>
      </c>
      <c r="H37" s="25">
        <v>2016</v>
      </c>
      <c r="I37" s="24">
        <f>B40*SUM('Escapement Age'!S40:T40)+C40*'Escapement Age'!S40</f>
        <v>623.94520547945206</v>
      </c>
      <c r="J37" s="25">
        <v>2017</v>
      </c>
      <c r="K37" s="24">
        <f>B41*SUM('Escapement Age'!U41:W41)+C41*SUM('Escapement Age'!U41:V41)</f>
        <v>4928.826171875</v>
      </c>
      <c r="L37" s="25">
        <v>2018</v>
      </c>
      <c r="M37" s="24">
        <f>B42*SUM('Escapement Age'!X42:Z42)+C42*SUM('Escapement Age'!X42:Y42)</f>
        <v>13867.24408014572</v>
      </c>
      <c r="N37" s="25">
        <v>2019</v>
      </c>
      <c r="O37" s="26">
        <f>O77</f>
        <v>4736.2573381986413</v>
      </c>
      <c r="P37" s="25">
        <v>2020</v>
      </c>
      <c r="Q37" s="26">
        <v>0</v>
      </c>
      <c r="R37" s="25">
        <v>2021</v>
      </c>
      <c r="S37" s="26">
        <v>0</v>
      </c>
      <c r="U37" s="21">
        <f t="shared" si="1"/>
        <v>49.124280737701355</v>
      </c>
      <c r="V37" s="21">
        <f t="shared" si="2"/>
        <v>24.156272795698811</v>
      </c>
      <c r="W37" s="43"/>
      <c r="X37" s="19"/>
      <c r="Y37" s="19"/>
      <c r="Z37" s="170" t="s">
        <v>83</v>
      </c>
      <c r="AA37" s="11">
        <f>AA35/AA33</f>
        <v>53305.029648812684</v>
      </c>
      <c r="AB37" s="141"/>
      <c r="AC37" s="11"/>
    </row>
    <row r="38" spans="1:33" x14ac:dyDescent="0.3">
      <c r="A38" s="17">
        <v>2014</v>
      </c>
      <c r="B38" s="11">
        <f>'Summary Data'!C38</f>
        <v>19936.125357064222</v>
      </c>
      <c r="C38" s="11">
        <f>'Summary Data'!H38</f>
        <v>5716</v>
      </c>
      <c r="D38" s="11">
        <f t="shared" si="3"/>
        <v>25652.125357064222</v>
      </c>
      <c r="E38" s="11">
        <f t="shared" si="0"/>
        <v>113959.32105959699</v>
      </c>
      <c r="F38" s="41" t="s">
        <v>60</v>
      </c>
      <c r="H38" s="25">
        <v>2017</v>
      </c>
      <c r="I38" s="24">
        <f>B41*SUM('Escapement Age'!S41:T41)+C41*'Escapement Age'!S41</f>
        <v>26654.27734375</v>
      </c>
      <c r="J38" s="25">
        <v>2018</v>
      </c>
      <c r="K38" s="24">
        <f>B42*SUM('Escapement Age'!U42:W42)+C42*SUM('Escapement Age'!U42:V42)</f>
        <v>87305.043715846987</v>
      </c>
      <c r="L38" s="25">
        <v>2019</v>
      </c>
      <c r="M38" s="24"/>
      <c r="N38" s="25">
        <v>2020</v>
      </c>
      <c r="O38" s="24"/>
      <c r="P38" s="25">
        <v>2021</v>
      </c>
      <c r="Q38" s="24"/>
      <c r="R38" s="25">
        <v>2022</v>
      </c>
      <c r="S38" s="24"/>
      <c r="U38" s="19"/>
      <c r="V38" s="43"/>
      <c r="W38" s="43"/>
      <c r="X38" s="19"/>
      <c r="Z38" s="167" t="s">
        <v>84</v>
      </c>
      <c r="AA38" s="11">
        <f>AA37*(0.5-0.07*AA35)</f>
        <v>18536.478983273373</v>
      </c>
      <c r="AB38" s="141"/>
      <c r="AC38" s="11"/>
    </row>
    <row r="39" spans="1:33" x14ac:dyDescent="0.3">
      <c r="A39" s="17">
        <v>2015</v>
      </c>
      <c r="B39" s="11">
        <f>'Summary Data'!C39</f>
        <v>13982.744429542156</v>
      </c>
      <c r="C39" s="11">
        <f>'Summary Data'!H39</f>
        <v>4538</v>
      </c>
      <c r="D39" s="11">
        <f t="shared" si="3"/>
        <v>18520.744429542156</v>
      </c>
      <c r="E39" s="11">
        <f t="shared" si="0"/>
        <v>3361.1111111111109</v>
      </c>
      <c r="F39" s="41" t="s">
        <v>60</v>
      </c>
      <c r="H39" s="25">
        <v>2018</v>
      </c>
      <c r="I39" s="24">
        <f>B42*SUM('Escapement Age'!S42:T42)+C42*'Escapement Age'!S42</f>
        <v>3361.1111111111109</v>
      </c>
      <c r="J39" s="25">
        <v>2019</v>
      </c>
      <c r="K39" s="24"/>
      <c r="L39" s="25">
        <v>2020</v>
      </c>
      <c r="M39" s="24"/>
      <c r="N39" s="25">
        <v>2021</v>
      </c>
      <c r="O39" s="24"/>
      <c r="P39" s="25">
        <v>2022</v>
      </c>
      <c r="Q39" s="24"/>
      <c r="R39" s="25">
        <v>2023</v>
      </c>
      <c r="S39" s="24"/>
      <c r="U39" s="19"/>
      <c r="V39" s="43"/>
      <c r="W39" s="43"/>
      <c r="X39" s="19"/>
      <c r="Z39" s="167" t="s">
        <v>85</v>
      </c>
      <c r="AA39" s="18">
        <f>AA35*(0.5-0.07*AA35)</f>
        <v>0.75637432932835769</v>
      </c>
      <c r="AB39" s="18"/>
      <c r="AC39" s="18"/>
    </row>
    <row r="40" spans="1:33" x14ac:dyDescent="0.3">
      <c r="A40" s="17">
        <v>2016</v>
      </c>
      <c r="B40" s="11">
        <f>'Summary Data'!C40</f>
        <v>22774</v>
      </c>
      <c r="C40" s="11">
        <f>'Summary Data'!H40</f>
        <v>4081</v>
      </c>
      <c r="D40" s="11">
        <f t="shared" ref="D40" si="6">SUM(B40:C40)</f>
        <v>26855</v>
      </c>
      <c r="H40" s="25"/>
      <c r="I40" s="27"/>
      <c r="J40" s="25"/>
      <c r="K40" s="24"/>
      <c r="L40" s="25"/>
      <c r="M40" s="24"/>
      <c r="N40" s="25"/>
      <c r="O40" s="24"/>
      <c r="P40" s="25"/>
      <c r="Q40" s="24"/>
      <c r="R40" s="25"/>
      <c r="S40" s="24"/>
      <c r="U40" s="19"/>
      <c r="V40" s="43"/>
      <c r="W40" s="43"/>
      <c r="X40" s="19"/>
      <c r="Z40" s="167" t="s">
        <v>88</v>
      </c>
      <c r="AA40" s="11">
        <f>AA38*EXP(AA35-AA33*AA38)-AA38</f>
        <v>58052.928112449888</v>
      </c>
      <c r="AB40" s="11"/>
      <c r="AC40" s="11"/>
    </row>
    <row r="41" spans="1:33" x14ac:dyDescent="0.3">
      <c r="A41" s="17">
        <v>2017</v>
      </c>
      <c r="B41" s="11">
        <f>'Summary Data'!C41</f>
        <v>55702</v>
      </c>
      <c r="C41" s="11">
        <f>'Summary Data'!H41</f>
        <v>7363</v>
      </c>
      <c r="D41" s="11">
        <f t="shared" ref="D41:D42" si="7">SUM(B41:C41)</f>
        <v>63065</v>
      </c>
      <c r="H41" s="25"/>
      <c r="I41" s="27"/>
      <c r="J41" s="25"/>
      <c r="K41" s="24"/>
      <c r="L41" s="25"/>
      <c r="M41" s="24"/>
      <c r="N41" s="25"/>
      <c r="O41" s="24"/>
      <c r="P41" s="25"/>
      <c r="Q41" s="24"/>
      <c r="R41" s="25"/>
      <c r="S41" s="24"/>
      <c r="U41" s="19"/>
      <c r="V41" s="43"/>
      <c r="W41" s="43"/>
      <c r="Z41" s="167" t="s">
        <v>86</v>
      </c>
      <c r="AA41" s="11">
        <f>MAX(B6:B28)/MIN(B6:B28)</f>
        <v>169.49496987116686</v>
      </c>
      <c r="AC41" s="11"/>
    </row>
    <row r="42" spans="1:33" x14ac:dyDescent="0.3">
      <c r="A42" s="17">
        <v>2018</v>
      </c>
      <c r="B42" s="11">
        <f>'Summary Data'!C42</f>
        <v>73810</v>
      </c>
      <c r="C42" s="11">
        <f>'Summary Data'!H42</f>
        <v>33417</v>
      </c>
      <c r="D42" s="11">
        <f t="shared" si="7"/>
        <v>107227</v>
      </c>
      <c r="H42" s="25"/>
      <c r="I42" s="27"/>
      <c r="J42" s="25"/>
      <c r="K42" s="24"/>
      <c r="L42" s="25"/>
      <c r="M42" s="24"/>
      <c r="N42" s="25"/>
      <c r="O42" s="24"/>
      <c r="P42" s="25"/>
      <c r="Q42" s="24"/>
      <c r="R42" s="25"/>
      <c r="S42" s="24"/>
      <c r="U42" s="19"/>
      <c r="Z42" s="167" t="s">
        <v>161</v>
      </c>
      <c r="AA42" s="11">
        <v>11727.763838986768</v>
      </c>
      <c r="AC42" s="11"/>
    </row>
    <row r="43" spans="1:33" x14ac:dyDescent="0.3">
      <c r="A43" s="17"/>
      <c r="F43" s="142"/>
      <c r="I43" s="18"/>
      <c r="J43" s="22"/>
      <c r="L43" s="22"/>
      <c r="N43" s="22"/>
      <c r="P43" s="22"/>
      <c r="R43" s="22"/>
      <c r="U43" s="19"/>
      <c r="Z43" s="167" t="s">
        <v>162</v>
      </c>
      <c r="AA43" s="11">
        <v>26792.240519455216</v>
      </c>
      <c r="AC43" s="11"/>
      <c r="AE43" s="3"/>
      <c r="AG43" s="1"/>
    </row>
    <row r="44" spans="1:33" x14ac:dyDescent="0.3">
      <c r="A44" s="16"/>
      <c r="H44" s="46" t="s">
        <v>65</v>
      </c>
      <c r="I44" s="46"/>
      <c r="J44" s="45"/>
      <c r="K44" s="46"/>
      <c r="L44" s="45"/>
      <c r="M44" s="46"/>
      <c r="N44" s="45"/>
      <c r="O44" s="46"/>
      <c r="P44" s="46"/>
      <c r="T44" s="16"/>
      <c r="AC44" s="8"/>
      <c r="AE44" s="3"/>
    </row>
    <row r="45" spans="1:33" x14ac:dyDescent="0.3">
      <c r="H45" s="46" t="s">
        <v>0</v>
      </c>
      <c r="I45" s="44" t="str">
        <f t="shared" ref="I45:K60" si="8">I5</f>
        <v>age 3</v>
      </c>
      <c r="J45" s="44"/>
      <c r="K45" s="44" t="str">
        <f t="shared" ref="K45:M60" si="9">K5</f>
        <v>age 4</v>
      </c>
      <c r="L45" s="44"/>
      <c r="M45" s="44" t="str">
        <f t="shared" ref="M45:O60" si="10">M5</f>
        <v>age 5</v>
      </c>
      <c r="N45" s="44"/>
      <c r="O45" s="44" t="str">
        <f t="shared" ref="O45:Q60" si="11">O5</f>
        <v>age 6</v>
      </c>
      <c r="P45" s="44"/>
      <c r="Q45" s="44" t="str">
        <f t="shared" ref="Q45:R60" si="12">Q5</f>
        <v>age 7</v>
      </c>
      <c r="R45" s="44"/>
      <c r="S45" s="44" t="str">
        <f t="shared" ref="S45:S68" si="13">S5</f>
        <v>age 8</v>
      </c>
      <c r="T45" s="46" t="s">
        <v>12</v>
      </c>
      <c r="Z45" s="147" t="s">
        <v>150</v>
      </c>
      <c r="AC45" s="60"/>
      <c r="AE45" s="3"/>
    </row>
    <row r="46" spans="1:33" x14ac:dyDescent="0.3">
      <c r="H46" s="15">
        <f t="shared" ref="H46:R61" si="14">H6</f>
        <v>1985</v>
      </c>
      <c r="I46" s="11">
        <f t="shared" si="8"/>
        <v>75.455570010196638</v>
      </c>
      <c r="J46" s="15">
        <f t="shared" si="8"/>
        <v>1986</v>
      </c>
      <c r="K46" s="11">
        <f t="shared" si="9"/>
        <v>1807.8225981792191</v>
      </c>
      <c r="L46" s="15">
        <f t="shared" si="9"/>
        <v>1987</v>
      </c>
      <c r="M46" s="11">
        <f t="shared" si="10"/>
        <v>4612.102372369638</v>
      </c>
      <c r="N46" s="15">
        <f t="shared" si="10"/>
        <v>1988</v>
      </c>
      <c r="O46" s="11">
        <f t="shared" si="11"/>
        <v>339.78668492119061</v>
      </c>
      <c r="P46" s="15">
        <f t="shared" si="11"/>
        <v>1989</v>
      </c>
      <c r="Q46" s="11">
        <f t="shared" si="12"/>
        <v>20.500583322578365</v>
      </c>
      <c r="R46" s="15">
        <f t="shared" si="12"/>
        <v>1990</v>
      </c>
      <c r="S46" s="11">
        <f t="shared" si="13"/>
        <v>0</v>
      </c>
      <c r="T46" s="11">
        <f t="shared" ref="T46:T54" si="15">E6</f>
        <v>6855.6678088028229</v>
      </c>
      <c r="AA46"/>
      <c r="AB46"/>
      <c r="AC46" s="60"/>
      <c r="AE46" s="1"/>
    </row>
    <row r="47" spans="1:33" x14ac:dyDescent="0.3">
      <c r="H47" s="15">
        <f t="shared" si="14"/>
        <v>1986</v>
      </c>
      <c r="I47" s="11">
        <f t="shared" si="8"/>
        <v>68.625317817510279</v>
      </c>
      <c r="J47" s="15">
        <f t="shared" si="8"/>
        <v>1987</v>
      </c>
      <c r="K47" s="11">
        <f t="shared" si="9"/>
        <v>5948.6908477009374</v>
      </c>
      <c r="L47" s="15">
        <f t="shared" si="9"/>
        <v>1988</v>
      </c>
      <c r="M47" s="11">
        <f t="shared" si="10"/>
        <v>2786.2508163537632</v>
      </c>
      <c r="N47" s="15">
        <f t="shared" si="10"/>
        <v>1989</v>
      </c>
      <c r="O47" s="11">
        <f t="shared" si="11"/>
        <v>4018.1143312253589</v>
      </c>
      <c r="P47" s="15">
        <f t="shared" si="11"/>
        <v>1990</v>
      </c>
      <c r="Q47" s="11">
        <f t="shared" si="12"/>
        <v>0</v>
      </c>
      <c r="R47" s="15">
        <f t="shared" si="12"/>
        <v>1991</v>
      </c>
      <c r="S47" s="11">
        <f t="shared" si="13"/>
        <v>21.60702630259123</v>
      </c>
      <c r="T47" s="11">
        <f t="shared" si="15"/>
        <v>12843.28833940016</v>
      </c>
      <c r="AA47"/>
      <c r="AB47"/>
      <c r="AC47" s="60"/>
      <c r="AE47" s="1"/>
    </row>
    <row r="48" spans="1:33" x14ac:dyDescent="0.3">
      <c r="H48" s="15">
        <f t="shared" si="14"/>
        <v>1987</v>
      </c>
      <c r="I48" s="11">
        <f t="shared" si="8"/>
        <v>94.201613399815997</v>
      </c>
      <c r="J48" s="15">
        <f t="shared" si="8"/>
        <v>1988</v>
      </c>
      <c r="K48" s="11">
        <f t="shared" si="9"/>
        <v>465.99316789191863</v>
      </c>
      <c r="L48" s="15">
        <f t="shared" si="9"/>
        <v>1989</v>
      </c>
      <c r="M48" s="11">
        <f t="shared" si="10"/>
        <v>27202.666648355324</v>
      </c>
      <c r="N48" s="15">
        <f t="shared" si="10"/>
        <v>1990</v>
      </c>
      <c r="O48" s="11">
        <f t="shared" si="11"/>
        <v>21080.475644975904</v>
      </c>
      <c r="P48" s="15">
        <f t="shared" si="11"/>
        <v>1991</v>
      </c>
      <c r="Q48" s="11">
        <f t="shared" si="12"/>
        <v>1231.6004992477001</v>
      </c>
      <c r="R48" s="15">
        <f t="shared" si="12"/>
        <v>1992</v>
      </c>
      <c r="S48" s="11">
        <f t="shared" si="13"/>
        <v>0</v>
      </c>
      <c r="T48" s="11">
        <f t="shared" si="15"/>
        <v>50074.937573870666</v>
      </c>
      <c r="Z48"/>
      <c r="AA48"/>
      <c r="AB48"/>
      <c r="AC48" s="60"/>
      <c r="AE48" s="1"/>
    </row>
    <row r="49" spans="8:32" x14ac:dyDescent="0.3">
      <c r="H49" s="15">
        <f t="shared" si="14"/>
        <v>1988</v>
      </c>
      <c r="I49" s="11">
        <f t="shared" si="8"/>
        <v>0</v>
      </c>
      <c r="J49" s="15">
        <f t="shared" si="8"/>
        <v>1989</v>
      </c>
      <c r="K49" s="11">
        <f t="shared" si="9"/>
        <v>2775.6397293548494</v>
      </c>
      <c r="L49" s="15">
        <f t="shared" si="9"/>
        <v>1990</v>
      </c>
      <c r="M49" s="11">
        <f t="shared" si="10"/>
        <v>53395.456274400043</v>
      </c>
      <c r="N49" s="15">
        <f t="shared" si="10"/>
        <v>1991</v>
      </c>
      <c r="O49" s="11">
        <f t="shared" si="11"/>
        <v>39778.535423070454</v>
      </c>
      <c r="P49" s="15">
        <f t="shared" si="11"/>
        <v>1992</v>
      </c>
      <c r="Q49" s="11">
        <f t="shared" si="12"/>
        <v>204.13948039306837</v>
      </c>
      <c r="R49" s="15">
        <f t="shared" si="12"/>
        <v>1993</v>
      </c>
      <c r="S49" s="11">
        <f t="shared" si="13"/>
        <v>0</v>
      </c>
      <c r="T49" s="11">
        <f t="shared" si="15"/>
        <v>96153.770907218423</v>
      </c>
    </row>
    <row r="50" spans="8:32" x14ac:dyDescent="0.3">
      <c r="H50" s="15">
        <f t="shared" si="14"/>
        <v>1989</v>
      </c>
      <c r="I50" s="11">
        <f t="shared" si="8"/>
        <v>151.14530093131512</v>
      </c>
      <c r="J50" s="15">
        <f t="shared" si="8"/>
        <v>1990</v>
      </c>
      <c r="K50" s="11">
        <f t="shared" si="9"/>
        <v>4221.5121922079315</v>
      </c>
      <c r="L50" s="15">
        <f t="shared" si="9"/>
        <v>1991</v>
      </c>
      <c r="M50" s="11">
        <f t="shared" si="10"/>
        <v>3238.2930564997951</v>
      </c>
      <c r="N50" s="15">
        <f t="shared" si="10"/>
        <v>1992</v>
      </c>
      <c r="O50" s="11">
        <f t="shared" si="11"/>
        <v>3038.5376504660567</v>
      </c>
      <c r="P50" s="15">
        <f t="shared" si="11"/>
        <v>1993</v>
      </c>
      <c r="Q50" s="11">
        <f t="shared" si="12"/>
        <v>266.23566969451633</v>
      </c>
      <c r="R50" s="15">
        <f t="shared" si="12"/>
        <v>1994</v>
      </c>
      <c r="S50" s="11">
        <f t="shared" si="13"/>
        <v>0</v>
      </c>
      <c r="T50" s="11">
        <f t="shared" si="15"/>
        <v>10915.723869799616</v>
      </c>
    </row>
    <row r="51" spans="8:32" x14ac:dyDescent="0.3">
      <c r="H51" s="15">
        <f t="shared" si="14"/>
        <v>1990</v>
      </c>
      <c r="I51" s="11">
        <f t="shared" si="8"/>
        <v>466.48969982479201</v>
      </c>
      <c r="J51" s="15">
        <f t="shared" si="8"/>
        <v>1991</v>
      </c>
      <c r="K51" s="11">
        <f t="shared" si="9"/>
        <v>4196.3247108634368</v>
      </c>
      <c r="L51" s="15">
        <f t="shared" si="9"/>
        <v>1992</v>
      </c>
      <c r="M51" s="11">
        <f t="shared" si="10"/>
        <v>4694.5996153056331</v>
      </c>
      <c r="N51" s="15">
        <f t="shared" si="10"/>
        <v>1993</v>
      </c>
      <c r="O51" s="11">
        <f t="shared" si="11"/>
        <v>4150.8561229645047</v>
      </c>
      <c r="P51" s="15">
        <f t="shared" si="11"/>
        <v>1994</v>
      </c>
      <c r="Q51" s="11">
        <f t="shared" si="12"/>
        <v>745.70127149555219</v>
      </c>
      <c r="R51" s="15">
        <f t="shared" si="12"/>
        <v>1995</v>
      </c>
      <c r="S51" s="11">
        <f t="shared" si="13"/>
        <v>0</v>
      </c>
      <c r="T51" s="11">
        <f t="shared" si="15"/>
        <v>14253.97142045392</v>
      </c>
    </row>
    <row r="52" spans="8:32" x14ac:dyDescent="0.3">
      <c r="H52" s="15">
        <f t="shared" si="14"/>
        <v>1991</v>
      </c>
      <c r="I52" s="11">
        <f t="shared" si="8"/>
        <v>101.13290929073392</v>
      </c>
      <c r="J52" s="15">
        <f t="shared" si="8"/>
        <v>1992</v>
      </c>
      <c r="K52" s="11">
        <f t="shared" si="9"/>
        <v>1736.5724933840031</v>
      </c>
      <c r="L52" s="15">
        <f t="shared" si="9"/>
        <v>1993</v>
      </c>
      <c r="M52" s="11">
        <f t="shared" si="10"/>
        <v>14049.982387060612</v>
      </c>
      <c r="N52" s="15">
        <f t="shared" si="10"/>
        <v>1994</v>
      </c>
      <c r="O52" s="11">
        <f t="shared" si="11"/>
        <v>16618.485479043735</v>
      </c>
      <c r="P52" s="15">
        <f t="shared" si="11"/>
        <v>1995</v>
      </c>
      <c r="Q52" s="11">
        <f t="shared" si="12"/>
        <v>104.44825482566539</v>
      </c>
      <c r="R52" s="15">
        <f t="shared" si="12"/>
        <v>1996</v>
      </c>
      <c r="S52" s="11">
        <f t="shared" si="13"/>
        <v>0</v>
      </c>
      <c r="T52" s="11">
        <f t="shared" si="15"/>
        <v>32610.62152360475</v>
      </c>
    </row>
    <row r="53" spans="8:32" x14ac:dyDescent="0.3">
      <c r="H53" s="15">
        <f t="shared" si="14"/>
        <v>1992</v>
      </c>
      <c r="I53" s="11">
        <f t="shared" si="8"/>
        <v>738.66910467995558</v>
      </c>
      <c r="J53" s="15">
        <f t="shared" si="8"/>
        <v>1993</v>
      </c>
      <c r="K53" s="11">
        <f t="shared" si="9"/>
        <v>9320.6458769037836</v>
      </c>
      <c r="L53" s="15">
        <f t="shared" si="9"/>
        <v>1994</v>
      </c>
      <c r="M53" s="11">
        <f t="shared" si="10"/>
        <v>15444.282198360985</v>
      </c>
      <c r="N53" s="15">
        <f t="shared" si="10"/>
        <v>1995</v>
      </c>
      <c r="O53" s="11">
        <f t="shared" si="11"/>
        <v>2054.1490115714191</v>
      </c>
      <c r="P53" s="15">
        <f t="shared" si="11"/>
        <v>1996</v>
      </c>
      <c r="Q53" s="11">
        <f t="shared" si="12"/>
        <v>15.68515108196841</v>
      </c>
      <c r="R53" s="15">
        <f t="shared" si="12"/>
        <v>1997</v>
      </c>
      <c r="S53" s="11">
        <f t="shared" si="13"/>
        <v>0</v>
      </c>
      <c r="T53" s="11">
        <f t="shared" si="15"/>
        <v>27573.431342598109</v>
      </c>
    </row>
    <row r="54" spans="8:32" x14ac:dyDescent="0.3">
      <c r="H54" s="15">
        <f t="shared" si="14"/>
        <v>1993</v>
      </c>
      <c r="I54" s="11">
        <f t="shared" si="8"/>
        <v>268.78462484819488</v>
      </c>
      <c r="J54" s="15">
        <f t="shared" si="8"/>
        <v>1994</v>
      </c>
      <c r="K54" s="11">
        <f t="shared" si="9"/>
        <v>12580.691294616545</v>
      </c>
      <c r="L54" s="15">
        <f t="shared" si="9"/>
        <v>1995</v>
      </c>
      <c r="M54" s="11">
        <f t="shared" si="10"/>
        <v>28879.942459296479</v>
      </c>
      <c r="N54" s="15">
        <f t="shared" si="10"/>
        <v>1996</v>
      </c>
      <c r="O54" s="11">
        <f t="shared" si="11"/>
        <v>3058.60446098384</v>
      </c>
      <c r="P54" s="15">
        <f t="shared" si="11"/>
        <v>1997</v>
      </c>
      <c r="Q54" s="11">
        <f t="shared" si="12"/>
        <v>0</v>
      </c>
      <c r="R54" s="15">
        <f t="shared" si="12"/>
        <v>1998</v>
      </c>
      <c r="S54" s="11">
        <f t="shared" si="13"/>
        <v>0</v>
      </c>
      <c r="T54" s="11">
        <f t="shared" si="15"/>
        <v>44788.022839745063</v>
      </c>
    </row>
    <row r="55" spans="8:32" x14ac:dyDescent="0.3">
      <c r="H55" s="15">
        <f t="shared" si="14"/>
        <v>1994</v>
      </c>
      <c r="I55" s="11">
        <f t="shared" si="8"/>
        <v>384.19488186101904</v>
      </c>
      <c r="J55" s="15">
        <f t="shared" si="8"/>
        <v>1995</v>
      </c>
      <c r="K55" s="11">
        <f t="shared" si="9"/>
        <v>5419.2377886806571</v>
      </c>
      <c r="L55" s="15">
        <f t="shared" si="9"/>
        <v>1996</v>
      </c>
      <c r="M55" s="11">
        <f t="shared" si="10"/>
        <v>14775.412319214242</v>
      </c>
      <c r="N55" s="15">
        <f t="shared" si="10"/>
        <v>1997</v>
      </c>
      <c r="O55" s="11">
        <f t="shared" si="11"/>
        <v>15148.316879979462</v>
      </c>
      <c r="P55" s="15">
        <f t="shared" si="11"/>
        <v>1998</v>
      </c>
      <c r="Q55" s="13">
        <f>SUM(I55,K55,M55,O55,S55)*(1/(1-Q115)-1)</f>
        <v>442.82388323982542</v>
      </c>
      <c r="R55" s="15">
        <f t="shared" si="12"/>
        <v>1999</v>
      </c>
      <c r="S55" s="11">
        <f t="shared" si="13"/>
        <v>0</v>
      </c>
      <c r="T55" s="13"/>
    </row>
    <row r="56" spans="8:32" x14ac:dyDescent="0.3">
      <c r="H56" s="15">
        <f t="shared" si="14"/>
        <v>1995</v>
      </c>
      <c r="I56" s="11">
        <f t="shared" si="8"/>
        <v>3173.9954494901835</v>
      </c>
      <c r="J56" s="15">
        <f t="shared" si="8"/>
        <v>1996</v>
      </c>
      <c r="K56" s="11">
        <f t="shared" si="9"/>
        <v>6196.640353875634</v>
      </c>
      <c r="L56" s="15">
        <f t="shared" si="9"/>
        <v>1997</v>
      </c>
      <c r="M56" s="11">
        <f t="shared" si="10"/>
        <v>17217.029757862118</v>
      </c>
      <c r="N56" s="15">
        <f t="shared" si="10"/>
        <v>1998</v>
      </c>
      <c r="O56" s="13">
        <f>SUM(I56,K56,M56,Q56,S56)*(1/(1-O115)-1)</f>
        <v>9773.2345365595229</v>
      </c>
      <c r="P56" s="15">
        <f t="shared" si="11"/>
        <v>1999</v>
      </c>
      <c r="Q56" s="11">
        <f t="shared" si="11"/>
        <v>0</v>
      </c>
      <c r="R56" s="15">
        <f t="shared" si="12"/>
        <v>2000</v>
      </c>
      <c r="S56" s="11">
        <f t="shared" si="13"/>
        <v>0</v>
      </c>
      <c r="T56" s="13"/>
    </row>
    <row r="57" spans="8:32" x14ac:dyDescent="0.3">
      <c r="H57" s="15">
        <f t="shared" si="14"/>
        <v>1996</v>
      </c>
      <c r="I57" s="11">
        <f t="shared" si="8"/>
        <v>584.58164386895123</v>
      </c>
      <c r="J57" s="15">
        <f t="shared" si="8"/>
        <v>1997</v>
      </c>
      <c r="K57" s="11">
        <f t="shared" si="9"/>
        <v>4583.23677724154</v>
      </c>
      <c r="L57" s="15">
        <f t="shared" si="9"/>
        <v>1998</v>
      </c>
      <c r="M57" s="13">
        <f>SUM(I57,K57,O57,Q57,S57)*(1/(1-M115)-1)</f>
        <v>14094.258555333709</v>
      </c>
      <c r="N57" s="15">
        <f t="shared" si="10"/>
        <v>1999</v>
      </c>
      <c r="O57" s="11">
        <f t="shared" si="10"/>
        <v>10584.421781522049</v>
      </c>
      <c r="P57" s="15">
        <f t="shared" si="11"/>
        <v>2000</v>
      </c>
      <c r="Q57" s="11">
        <f t="shared" si="11"/>
        <v>0</v>
      </c>
      <c r="R57" s="15">
        <f t="shared" si="12"/>
        <v>2001</v>
      </c>
      <c r="S57" s="11">
        <f t="shared" si="13"/>
        <v>0</v>
      </c>
      <c r="T57" s="13"/>
    </row>
    <row r="58" spans="8:32" x14ac:dyDescent="0.3">
      <c r="H58" s="15">
        <f t="shared" si="14"/>
        <v>1997</v>
      </c>
      <c r="I58" s="11">
        <f t="shared" si="8"/>
        <v>821.33642065830168</v>
      </c>
      <c r="J58" s="15">
        <f t="shared" si="8"/>
        <v>1998</v>
      </c>
      <c r="K58" s="13">
        <f>SUM(I58,M58,O58,Q58,S58)*(1/(1-K115)-1)</f>
        <v>18376.02495384316</v>
      </c>
      <c r="L58" s="15">
        <f t="shared" si="9"/>
        <v>1999</v>
      </c>
      <c r="M58" s="11">
        <f t="shared" si="9"/>
        <v>58639.824191598287</v>
      </c>
      <c r="N58" s="15">
        <f t="shared" si="10"/>
        <v>2000</v>
      </c>
      <c r="O58" s="11">
        <f t="shared" si="10"/>
        <v>234.83308344250167</v>
      </c>
      <c r="P58" s="15">
        <f t="shared" si="11"/>
        <v>2001</v>
      </c>
      <c r="Q58" s="11">
        <f t="shared" si="11"/>
        <v>0</v>
      </c>
      <c r="R58" s="15">
        <f t="shared" si="12"/>
        <v>2002</v>
      </c>
      <c r="S58" s="11">
        <f t="shared" si="13"/>
        <v>0</v>
      </c>
      <c r="T58" s="13"/>
    </row>
    <row r="59" spans="8:32" x14ac:dyDescent="0.3">
      <c r="H59" s="15">
        <f t="shared" si="14"/>
        <v>1998</v>
      </c>
      <c r="I59" s="13">
        <f>SUM(K59,M59,O59,Q59,S59)*(1/(1-I115)-1)</f>
        <v>41.488164422158441</v>
      </c>
      <c r="J59" s="15">
        <f t="shared" si="8"/>
        <v>1999</v>
      </c>
      <c r="K59" s="11">
        <f t="shared" si="8"/>
        <v>1063.7609830675426</v>
      </c>
      <c r="L59" s="15">
        <f t="shared" si="9"/>
        <v>2000</v>
      </c>
      <c r="M59" s="11">
        <f t="shared" si="9"/>
        <v>2465.7473761462679</v>
      </c>
      <c r="N59" s="15">
        <f t="shared" si="10"/>
        <v>2001</v>
      </c>
      <c r="O59" s="11">
        <f t="shared" si="10"/>
        <v>99.840672970582915</v>
      </c>
      <c r="P59" s="15">
        <f t="shared" si="11"/>
        <v>2002</v>
      </c>
      <c r="Q59" s="11">
        <f t="shared" si="11"/>
        <v>37.288518469088736</v>
      </c>
      <c r="R59" s="15">
        <f t="shared" si="12"/>
        <v>2003</v>
      </c>
      <c r="S59" s="11">
        <f t="shared" si="13"/>
        <v>0</v>
      </c>
      <c r="T59" s="13"/>
    </row>
    <row r="60" spans="8:32" x14ac:dyDescent="0.3">
      <c r="H60" s="15">
        <f t="shared" si="14"/>
        <v>1999</v>
      </c>
      <c r="I60" s="11">
        <f t="shared" si="14"/>
        <v>130.8121655801767</v>
      </c>
      <c r="J60" s="15">
        <f t="shared" si="8"/>
        <v>2000</v>
      </c>
      <c r="K60" s="11">
        <f t="shared" si="8"/>
        <v>1038.7975001195587</v>
      </c>
      <c r="L60" s="15">
        <f t="shared" si="9"/>
        <v>2001</v>
      </c>
      <c r="M60" s="11">
        <f t="shared" si="9"/>
        <v>3509.8825125984531</v>
      </c>
      <c r="N60" s="15">
        <f t="shared" si="10"/>
        <v>2002</v>
      </c>
      <c r="O60" s="11">
        <f t="shared" si="10"/>
        <v>2672.3438236180264</v>
      </c>
      <c r="P60" s="15">
        <f t="shared" si="11"/>
        <v>2003</v>
      </c>
      <c r="Q60" s="11">
        <f t="shared" si="11"/>
        <v>82.053850505723574</v>
      </c>
      <c r="R60" s="15">
        <f t="shared" si="12"/>
        <v>2004</v>
      </c>
      <c r="S60" s="11">
        <f t="shared" si="13"/>
        <v>0</v>
      </c>
      <c r="T60" s="11">
        <f t="shared" ref="T60:T76" si="16">E20</f>
        <v>7433.8898524219385</v>
      </c>
      <c r="Z60" s="151" t="s">
        <v>63</v>
      </c>
      <c r="AA60" s="151" t="s">
        <v>148</v>
      </c>
      <c r="AB60" s="151" t="s">
        <v>149</v>
      </c>
      <c r="AC60" s="61"/>
      <c r="AD60" s="163" t="s">
        <v>79</v>
      </c>
      <c r="AE60" s="1"/>
    </row>
    <row r="61" spans="8:32" x14ac:dyDescent="0.3">
      <c r="H61" s="15">
        <f t="shared" si="14"/>
        <v>2000</v>
      </c>
      <c r="I61" s="11">
        <f t="shared" si="14"/>
        <v>80.035035345185264</v>
      </c>
      <c r="J61" s="15">
        <f t="shared" si="14"/>
        <v>2001</v>
      </c>
      <c r="K61" s="11">
        <f t="shared" si="14"/>
        <v>1283.2942828084099</v>
      </c>
      <c r="L61" s="15">
        <f t="shared" si="14"/>
        <v>2002</v>
      </c>
      <c r="M61" s="11">
        <f t="shared" si="14"/>
        <v>13150.417513431961</v>
      </c>
      <c r="N61" s="15">
        <f t="shared" si="14"/>
        <v>2003</v>
      </c>
      <c r="O61" s="11">
        <f t="shared" si="14"/>
        <v>12677.319903134294</v>
      </c>
      <c r="P61" s="15">
        <f t="shared" si="14"/>
        <v>2004</v>
      </c>
      <c r="Q61" s="11">
        <f t="shared" si="14"/>
        <v>0</v>
      </c>
      <c r="R61" s="15">
        <f t="shared" si="14"/>
        <v>2005</v>
      </c>
      <c r="S61" s="11">
        <f t="shared" si="13"/>
        <v>0</v>
      </c>
      <c r="T61" s="11">
        <f t="shared" si="16"/>
        <v>27191.066734719851</v>
      </c>
      <c r="Y61" s="12" t="s">
        <v>163</v>
      </c>
      <c r="Z61" s="150">
        <v>26792.240519455216</v>
      </c>
      <c r="AA61" s="150">
        <f>Z61*EXP(AA35+Z61*$AD$61)</f>
        <v>79040.240519477462</v>
      </c>
      <c r="AB61" s="150">
        <f>AA61-Z61</f>
        <v>52248.00000002225</v>
      </c>
      <c r="AC61" s="61"/>
      <c r="AD61">
        <f>-1*AA33</f>
        <v>-4.0804638788784087E-5</v>
      </c>
      <c r="AE61" s="1"/>
    </row>
    <row r="62" spans="8:32" x14ac:dyDescent="0.3">
      <c r="H62" s="15">
        <f t="shared" ref="H62:S77" si="17">H22</f>
        <v>2001</v>
      </c>
      <c r="I62" s="11">
        <f t="shared" si="17"/>
        <v>137.02822730951218</v>
      </c>
      <c r="J62" s="15">
        <f t="shared" si="17"/>
        <v>2002</v>
      </c>
      <c r="K62" s="11">
        <f t="shared" si="17"/>
        <v>10737.668081643276</v>
      </c>
      <c r="L62" s="15">
        <f t="shared" si="17"/>
        <v>2003</v>
      </c>
      <c r="M62" s="11">
        <f t="shared" si="17"/>
        <v>64699.461123763052</v>
      </c>
      <c r="N62" s="15">
        <f t="shared" si="17"/>
        <v>2004</v>
      </c>
      <c r="O62" s="11">
        <f t="shared" si="17"/>
        <v>5838.8078036837833</v>
      </c>
      <c r="P62" s="15">
        <f t="shared" si="17"/>
        <v>2005</v>
      </c>
      <c r="Q62" s="11">
        <f t="shared" si="17"/>
        <v>61.663890783627785</v>
      </c>
      <c r="R62" s="15">
        <f t="shared" si="17"/>
        <v>2006</v>
      </c>
      <c r="S62" s="11">
        <f t="shared" si="13"/>
        <v>0</v>
      </c>
      <c r="T62" s="11">
        <f t="shared" si="16"/>
        <v>81474.62912718326</v>
      </c>
      <c r="AC62" s="60"/>
    </row>
    <row r="63" spans="8:32" x14ac:dyDescent="0.3">
      <c r="H63" s="15">
        <f t="shared" si="17"/>
        <v>2002</v>
      </c>
      <c r="I63" s="11">
        <f t="shared" si="17"/>
        <v>44.71150086030719</v>
      </c>
      <c r="J63" s="15">
        <f t="shared" si="17"/>
        <v>2003</v>
      </c>
      <c r="K63" s="11">
        <f t="shared" si="17"/>
        <v>4370.6275066781272</v>
      </c>
      <c r="L63" s="15">
        <f t="shared" si="17"/>
        <v>2004</v>
      </c>
      <c r="M63" s="11">
        <f t="shared" si="17"/>
        <v>51452.28210034073</v>
      </c>
      <c r="N63" s="15">
        <f t="shared" si="17"/>
        <v>2005</v>
      </c>
      <c r="O63" s="11">
        <f t="shared" si="17"/>
        <v>6135.5571329709655</v>
      </c>
      <c r="P63" s="15">
        <f t="shared" si="17"/>
        <v>2006</v>
      </c>
      <c r="Q63" s="11">
        <f t="shared" si="17"/>
        <v>0</v>
      </c>
      <c r="R63" s="15">
        <f t="shared" si="17"/>
        <v>2007</v>
      </c>
      <c r="S63" s="11">
        <f t="shared" si="13"/>
        <v>0</v>
      </c>
      <c r="T63" s="11">
        <f t="shared" si="16"/>
        <v>62003.178240850131</v>
      </c>
      <c r="Z63" s="149" t="s">
        <v>164</v>
      </c>
      <c r="AA63" s="16">
        <f>0.9*AA40</f>
        <v>52247.6353012049</v>
      </c>
      <c r="AC63" s="60"/>
      <c r="AE63" s="147"/>
    </row>
    <row r="64" spans="8:32" x14ac:dyDescent="0.3">
      <c r="H64" s="15">
        <f t="shared" si="17"/>
        <v>2003</v>
      </c>
      <c r="I64" s="11">
        <f t="shared" si="17"/>
        <v>34.998883189767149</v>
      </c>
      <c r="J64" s="15">
        <f t="shared" si="17"/>
        <v>2004</v>
      </c>
      <c r="K64" s="11">
        <f t="shared" si="17"/>
        <v>31827.453106064524</v>
      </c>
      <c r="L64" s="15">
        <f t="shared" si="17"/>
        <v>2005</v>
      </c>
      <c r="M64" s="11">
        <f t="shared" si="17"/>
        <v>46124.590306153594</v>
      </c>
      <c r="N64" s="15">
        <f t="shared" si="17"/>
        <v>2006</v>
      </c>
      <c r="O64" s="11">
        <f t="shared" si="17"/>
        <v>12377.08793478919</v>
      </c>
      <c r="P64" s="15">
        <f t="shared" si="17"/>
        <v>2007</v>
      </c>
      <c r="Q64" s="11">
        <f t="shared" si="17"/>
        <v>179.33922627177168</v>
      </c>
      <c r="R64" s="15">
        <f t="shared" si="17"/>
        <v>2008</v>
      </c>
      <c r="S64" s="11">
        <f t="shared" si="13"/>
        <v>0</v>
      </c>
      <c r="T64" s="11">
        <f t="shared" si="16"/>
        <v>90543.46945646884</v>
      </c>
      <c r="AC64" s="60"/>
      <c r="AE64" s="4"/>
      <c r="AF64" s="4"/>
    </row>
    <row r="65" spans="1:35" x14ac:dyDescent="0.3">
      <c r="H65" s="15">
        <f t="shared" si="17"/>
        <v>2004</v>
      </c>
      <c r="I65" s="11">
        <f t="shared" si="17"/>
        <v>848.70794385087186</v>
      </c>
      <c r="J65" s="15">
        <f t="shared" si="17"/>
        <v>2005</v>
      </c>
      <c r="K65" s="11">
        <f t="shared" si="17"/>
        <v>18474.486094570457</v>
      </c>
      <c r="L65" s="15">
        <f t="shared" si="17"/>
        <v>2006</v>
      </c>
      <c r="M65" s="11">
        <f t="shared" si="17"/>
        <v>44609.087764969365</v>
      </c>
      <c r="N65" s="15">
        <f t="shared" si="17"/>
        <v>2007</v>
      </c>
      <c r="O65" s="11">
        <f t="shared" si="17"/>
        <v>10939.692802578073</v>
      </c>
      <c r="P65" s="15">
        <f t="shared" si="17"/>
        <v>2008</v>
      </c>
      <c r="Q65" s="11">
        <f t="shared" si="17"/>
        <v>51.108571886382904</v>
      </c>
      <c r="R65" s="15">
        <f t="shared" si="17"/>
        <v>2009</v>
      </c>
      <c r="S65" s="11">
        <f t="shared" si="13"/>
        <v>0</v>
      </c>
      <c r="T65" s="11">
        <f t="shared" si="16"/>
        <v>74923.083177855151</v>
      </c>
      <c r="Z65" s="149"/>
      <c r="AE65" s="3"/>
      <c r="AF65" s="11"/>
    </row>
    <row r="66" spans="1:35" s="11" customFormat="1" x14ac:dyDescent="0.3">
      <c r="A66" s="12"/>
      <c r="F66" s="21"/>
      <c r="G66" s="21"/>
      <c r="H66" s="15">
        <f t="shared" si="17"/>
        <v>2005</v>
      </c>
      <c r="I66" s="11">
        <f t="shared" si="17"/>
        <v>1307.2713404313142</v>
      </c>
      <c r="J66" s="15">
        <f t="shared" si="17"/>
        <v>2006</v>
      </c>
      <c r="K66" s="11">
        <f t="shared" si="17"/>
        <v>72199.679619603601</v>
      </c>
      <c r="L66" s="15">
        <f t="shared" si="17"/>
        <v>2007</v>
      </c>
      <c r="M66" s="11">
        <f t="shared" si="17"/>
        <v>66893.531399370841</v>
      </c>
      <c r="N66" s="15">
        <f t="shared" si="17"/>
        <v>2008</v>
      </c>
      <c r="O66" s="11">
        <f t="shared" si="17"/>
        <v>2427.657164603188</v>
      </c>
      <c r="P66" s="15">
        <f t="shared" si="17"/>
        <v>2009</v>
      </c>
      <c r="Q66" s="11">
        <f t="shared" si="17"/>
        <v>0</v>
      </c>
      <c r="R66" s="15">
        <f t="shared" si="17"/>
        <v>2010</v>
      </c>
      <c r="S66" s="11">
        <f t="shared" si="13"/>
        <v>0</v>
      </c>
      <c r="T66" s="11">
        <f t="shared" si="16"/>
        <v>142828.13952400893</v>
      </c>
      <c r="U66" s="12"/>
      <c r="V66" s="17"/>
      <c r="W66" s="17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s="11" customFormat="1" x14ac:dyDescent="0.3">
      <c r="A67" s="12"/>
      <c r="F67" s="21"/>
      <c r="G67" s="21"/>
      <c r="H67" s="15">
        <f t="shared" si="17"/>
        <v>2006</v>
      </c>
      <c r="I67" s="11">
        <f t="shared" si="17"/>
        <v>0</v>
      </c>
      <c r="J67" s="15">
        <f t="shared" si="17"/>
        <v>2007</v>
      </c>
      <c r="K67" s="11">
        <f t="shared" si="17"/>
        <v>4662.819883066064</v>
      </c>
      <c r="L67" s="15">
        <f t="shared" si="17"/>
        <v>2008</v>
      </c>
      <c r="M67" s="11">
        <f t="shared" si="17"/>
        <v>7206.308635979989</v>
      </c>
      <c r="N67" s="15">
        <f t="shared" si="17"/>
        <v>2009</v>
      </c>
      <c r="O67" s="11">
        <f t="shared" si="17"/>
        <v>418.31252865603904</v>
      </c>
      <c r="P67" s="15">
        <f t="shared" si="17"/>
        <v>2010</v>
      </c>
      <c r="Q67" s="11">
        <f t="shared" si="17"/>
        <v>0</v>
      </c>
      <c r="R67" s="15">
        <f t="shared" si="17"/>
        <v>2011</v>
      </c>
      <c r="S67" s="11">
        <f t="shared" si="13"/>
        <v>0</v>
      </c>
      <c r="T67" s="11">
        <f t="shared" si="16"/>
        <v>12287.441047702092</v>
      </c>
      <c r="U67" s="12"/>
      <c r="V67" s="17"/>
      <c r="W67" s="17"/>
      <c r="X67" s="12"/>
      <c r="Y67" s="12"/>
    </row>
    <row r="68" spans="1:35" s="11" customFormat="1" x14ac:dyDescent="0.3">
      <c r="A68" s="12"/>
      <c r="F68" s="21"/>
      <c r="G68" s="21"/>
      <c r="H68" s="15">
        <f t="shared" si="17"/>
        <v>2007</v>
      </c>
      <c r="I68" s="11">
        <f t="shared" si="17"/>
        <v>0</v>
      </c>
      <c r="J68" s="15">
        <f t="shared" si="17"/>
        <v>2008</v>
      </c>
      <c r="K68" s="11">
        <f t="shared" si="17"/>
        <v>1765.7622842282342</v>
      </c>
      <c r="L68" s="15">
        <f t="shared" si="17"/>
        <v>2009</v>
      </c>
      <c r="M68" s="11">
        <f t="shared" si="17"/>
        <v>11873.640236467567</v>
      </c>
      <c r="N68" s="15">
        <f t="shared" si="17"/>
        <v>2010</v>
      </c>
      <c r="O68" s="11">
        <f t="shared" si="17"/>
        <v>3495.8255658955941</v>
      </c>
      <c r="P68" s="15">
        <f t="shared" si="17"/>
        <v>2011</v>
      </c>
      <c r="Q68" s="11">
        <f t="shared" si="17"/>
        <v>0</v>
      </c>
      <c r="R68" s="15">
        <f t="shared" si="17"/>
        <v>2012</v>
      </c>
      <c r="S68" s="11">
        <f t="shared" si="13"/>
        <v>0</v>
      </c>
      <c r="T68" s="11">
        <f t="shared" si="16"/>
        <v>17135.228086591396</v>
      </c>
      <c r="U68" s="12"/>
      <c r="V68" s="17"/>
      <c r="W68" s="17"/>
      <c r="X68" s="12"/>
      <c r="Y68" s="12"/>
    </row>
    <row r="69" spans="1:35" s="11" customFormat="1" x14ac:dyDescent="0.3">
      <c r="A69" s="12"/>
      <c r="F69" s="21"/>
      <c r="G69" s="21"/>
      <c r="H69" s="15">
        <f t="shared" si="17"/>
        <v>2008</v>
      </c>
      <c r="I69" s="11">
        <f t="shared" si="17"/>
        <v>22.314818093967506</v>
      </c>
      <c r="J69" s="15">
        <f t="shared" si="17"/>
        <v>2009</v>
      </c>
      <c r="K69" s="11">
        <f t="shared" si="17"/>
        <v>1619.3294097783412</v>
      </c>
      <c r="L69" s="15">
        <f t="shared" si="17"/>
        <v>2010</v>
      </c>
      <c r="M69" s="11">
        <f t="shared" si="17"/>
        <v>4827.568638617724</v>
      </c>
      <c r="N69" s="15">
        <f t="shared" si="17"/>
        <v>2011</v>
      </c>
      <c r="O69" s="11">
        <f t="shared" si="17"/>
        <v>3595.7516390762598</v>
      </c>
      <c r="P69" s="15">
        <f t="shared" si="17"/>
        <v>2012</v>
      </c>
      <c r="Q69" s="11">
        <f t="shared" si="17"/>
        <v>0</v>
      </c>
      <c r="R69" s="15">
        <f t="shared" si="17"/>
        <v>2013</v>
      </c>
      <c r="S69" s="11">
        <f t="shared" si="17"/>
        <v>0</v>
      </c>
      <c r="T69" s="11">
        <f t="shared" si="16"/>
        <v>10064.964505566293</v>
      </c>
      <c r="U69" s="12"/>
      <c r="V69" s="17"/>
      <c r="W69" s="17"/>
      <c r="X69" s="12"/>
      <c r="Y69" s="12"/>
    </row>
    <row r="70" spans="1:35" s="11" customFormat="1" x14ac:dyDescent="0.3">
      <c r="A70" s="12"/>
      <c r="F70" s="21"/>
      <c r="G70" s="21"/>
      <c r="H70" s="15">
        <f t="shared" si="17"/>
        <v>2009</v>
      </c>
      <c r="I70" s="11">
        <f t="shared" si="17"/>
        <v>553.68989498421456</v>
      </c>
      <c r="J70" s="15">
        <f t="shared" si="17"/>
        <v>2010</v>
      </c>
      <c r="K70" s="11">
        <f t="shared" si="17"/>
        <v>11835.86354555519</v>
      </c>
      <c r="L70" s="15">
        <f t="shared" si="17"/>
        <v>2011</v>
      </c>
      <c r="M70" s="11">
        <f t="shared" si="17"/>
        <v>15461.73204802792</v>
      </c>
      <c r="N70" s="15">
        <f t="shared" si="17"/>
        <v>2012</v>
      </c>
      <c r="O70" s="11">
        <f t="shared" si="17"/>
        <v>1965.2128664414308</v>
      </c>
      <c r="P70" s="15">
        <f t="shared" si="17"/>
        <v>2013</v>
      </c>
      <c r="Q70" s="11">
        <f t="shared" si="17"/>
        <v>0</v>
      </c>
      <c r="R70" s="15">
        <f t="shared" si="17"/>
        <v>2014</v>
      </c>
      <c r="S70" s="11">
        <f t="shared" si="17"/>
        <v>0</v>
      </c>
      <c r="T70" s="11">
        <f t="shared" si="16"/>
        <v>29816.498355008753</v>
      </c>
      <c r="U70" s="12"/>
      <c r="V70" s="17"/>
      <c r="W70" s="17"/>
      <c r="X70" s="12"/>
      <c r="Y70" s="12"/>
    </row>
    <row r="71" spans="1:35" s="11" customFormat="1" x14ac:dyDescent="0.3">
      <c r="A71" s="12"/>
      <c r="F71" s="21"/>
      <c r="G71" s="21"/>
      <c r="H71" s="15">
        <f t="shared" si="17"/>
        <v>2010</v>
      </c>
      <c r="I71" s="11">
        <f t="shared" si="17"/>
        <v>0</v>
      </c>
      <c r="J71" s="15">
        <f t="shared" si="17"/>
        <v>2011</v>
      </c>
      <c r="K71" s="11">
        <f t="shared" si="17"/>
        <v>3348.4318010195798</v>
      </c>
      <c r="L71" s="15">
        <f t="shared" si="17"/>
        <v>2012</v>
      </c>
      <c r="M71" s="11">
        <f t="shared" si="17"/>
        <v>16949.960973057343</v>
      </c>
      <c r="N71" s="15">
        <f t="shared" si="17"/>
        <v>2013</v>
      </c>
      <c r="O71" s="11">
        <f t="shared" si="17"/>
        <v>9480.150242337264</v>
      </c>
      <c r="P71" s="15">
        <f t="shared" si="17"/>
        <v>2014</v>
      </c>
      <c r="Q71" s="11">
        <f t="shared" si="17"/>
        <v>96.075375869154399</v>
      </c>
      <c r="R71" s="15">
        <f t="shared" si="17"/>
        <v>2015</v>
      </c>
      <c r="S71" s="11">
        <f t="shared" si="17"/>
        <v>0</v>
      </c>
      <c r="T71" s="11">
        <f t="shared" si="16"/>
        <v>29874.618392283341</v>
      </c>
      <c r="U71" s="12"/>
      <c r="V71" s="17"/>
      <c r="W71" s="17"/>
      <c r="X71" s="12"/>
      <c r="Y71" s="12"/>
    </row>
    <row r="72" spans="1:35" s="11" customFormat="1" x14ac:dyDescent="0.3">
      <c r="A72" s="12"/>
      <c r="F72" s="21"/>
      <c r="G72" s="21"/>
      <c r="H72" s="15">
        <f t="shared" si="17"/>
        <v>2011</v>
      </c>
      <c r="I72" s="11">
        <f t="shared" si="17"/>
        <v>2437.5422039992668</v>
      </c>
      <c r="J72" s="15">
        <f t="shared" si="17"/>
        <v>2012</v>
      </c>
      <c r="K72" s="11">
        <f t="shared" si="17"/>
        <v>23899.734135707517</v>
      </c>
      <c r="L72" s="15">
        <f t="shared" si="17"/>
        <v>2013</v>
      </c>
      <c r="M72" s="11">
        <f t="shared" si="17"/>
        <v>36407.811037061198</v>
      </c>
      <c r="N72" s="15">
        <f t="shared" si="17"/>
        <v>2014</v>
      </c>
      <c r="O72" s="11">
        <f t="shared" si="17"/>
        <v>4995.9195451960277</v>
      </c>
      <c r="P72" s="15">
        <f t="shared" si="17"/>
        <v>2015</v>
      </c>
      <c r="Q72" s="11">
        <f t="shared" si="17"/>
        <v>0</v>
      </c>
      <c r="R72" s="15">
        <f t="shared" si="17"/>
        <v>2016</v>
      </c>
      <c r="S72" s="11">
        <f t="shared" si="17"/>
        <v>0</v>
      </c>
      <c r="T72" s="11">
        <f t="shared" si="16"/>
        <v>67741.006921964014</v>
      </c>
      <c r="U72" s="12"/>
      <c r="V72" s="17"/>
      <c r="W72" s="17"/>
      <c r="X72" s="12"/>
      <c r="Y72" s="12"/>
    </row>
    <row r="73" spans="1:35" s="11" customFormat="1" x14ac:dyDescent="0.3">
      <c r="A73" s="12"/>
      <c r="F73" s="21"/>
      <c r="G73" s="21"/>
      <c r="H73" s="15">
        <f>H33</f>
        <v>2012</v>
      </c>
      <c r="I73" s="11">
        <f t="shared" si="17"/>
        <v>3541.8578316145727</v>
      </c>
      <c r="J73" s="15">
        <f t="shared" si="17"/>
        <v>2013</v>
      </c>
      <c r="K73" s="11">
        <f t="shared" si="17"/>
        <v>10109.023225231022</v>
      </c>
      <c r="L73" s="15">
        <f t="shared" si="17"/>
        <v>2014</v>
      </c>
      <c r="M73" s="11">
        <f t="shared" si="17"/>
        <v>10376.140593868673</v>
      </c>
      <c r="N73" s="15">
        <f t="shared" si="17"/>
        <v>2015</v>
      </c>
      <c r="O73" s="11">
        <f t="shared" si="17"/>
        <v>189.47053124851311</v>
      </c>
      <c r="P73" s="15">
        <f t="shared" si="17"/>
        <v>2016</v>
      </c>
      <c r="Q73" s="11">
        <f t="shared" si="17"/>
        <v>0</v>
      </c>
      <c r="R73" s="15">
        <f t="shared" si="17"/>
        <v>2017</v>
      </c>
      <c r="S73" s="11">
        <f t="shared" si="17"/>
        <v>0</v>
      </c>
      <c r="T73" s="11">
        <f t="shared" si="16"/>
        <v>24216.492181962782</v>
      </c>
      <c r="U73" s="12"/>
      <c r="V73" s="17"/>
      <c r="W73" s="17"/>
      <c r="X73" s="12"/>
      <c r="Y73" s="12"/>
    </row>
    <row r="74" spans="1:35" s="11" customFormat="1" x14ac:dyDescent="0.3">
      <c r="A74" s="12"/>
      <c r="F74" s="21"/>
      <c r="G74" s="21"/>
      <c r="H74" s="15">
        <f t="shared" si="17"/>
        <v>2013</v>
      </c>
      <c r="I74" s="11">
        <f t="shared" si="17"/>
        <v>1623.2371026370881</v>
      </c>
      <c r="J74" s="15">
        <f t="shared" si="17"/>
        <v>2014</v>
      </c>
      <c r="K74" s="11">
        <f t="shared" si="17"/>
        <v>6179.8896040463187</v>
      </c>
      <c r="L74" s="15">
        <f t="shared" si="17"/>
        <v>2015</v>
      </c>
      <c r="M74" s="11">
        <f t="shared" si="17"/>
        <v>8715.6444374316034</v>
      </c>
      <c r="N74" s="15">
        <f t="shared" si="17"/>
        <v>2016</v>
      </c>
      <c r="O74" s="11">
        <f t="shared" si="17"/>
        <v>735.7534246575342</v>
      </c>
      <c r="P74" s="15">
        <f t="shared" si="17"/>
        <v>2017</v>
      </c>
      <c r="Q74" s="11">
        <f t="shared" si="17"/>
        <v>0</v>
      </c>
      <c r="R74" s="15">
        <f t="shared" si="17"/>
        <v>2018</v>
      </c>
      <c r="S74" s="11">
        <f t="shared" si="17"/>
        <v>0</v>
      </c>
      <c r="T74" s="11">
        <f t="shared" si="16"/>
        <v>17254.524568772544</v>
      </c>
      <c r="U74" s="12"/>
      <c r="V74" s="17"/>
      <c r="W74" s="17"/>
      <c r="X74" s="12"/>
      <c r="Y74" s="12"/>
    </row>
    <row r="75" spans="1:35" s="11" customFormat="1" x14ac:dyDescent="0.3">
      <c r="A75" s="12"/>
      <c r="F75" s="21"/>
      <c r="G75" s="21"/>
      <c r="H75" s="15">
        <f t="shared" si="17"/>
        <v>2014</v>
      </c>
      <c r="I75" s="11">
        <f t="shared" si="17"/>
        <v>2837.3511744136345</v>
      </c>
      <c r="J75" s="15">
        <f t="shared" si="17"/>
        <v>2015</v>
      </c>
      <c r="K75" s="11">
        <f t="shared" si="17"/>
        <v>6627.1179251323401</v>
      </c>
      <c r="L75" s="15">
        <f t="shared" si="17"/>
        <v>2016</v>
      </c>
      <c r="M75" s="11">
        <f t="shared" si="17"/>
        <v>9722.455968688846</v>
      </c>
      <c r="N75" s="15">
        <f t="shared" si="17"/>
        <v>2017</v>
      </c>
      <c r="O75" s="11">
        <f t="shared" si="17"/>
        <v>6405.0390625</v>
      </c>
      <c r="P75" s="15">
        <f t="shared" si="17"/>
        <v>2018</v>
      </c>
      <c r="Q75" s="11">
        <f t="shared" si="17"/>
        <v>0</v>
      </c>
      <c r="R75" s="15">
        <f t="shared" si="17"/>
        <v>2019</v>
      </c>
      <c r="S75" s="13">
        <f t="shared" si="17"/>
        <v>0</v>
      </c>
      <c r="T75" s="11">
        <f t="shared" si="16"/>
        <v>25591.964130734821</v>
      </c>
      <c r="U75" s="12"/>
      <c r="V75" s="17"/>
      <c r="W75" s="17"/>
      <c r="X75" s="12"/>
      <c r="Y75" s="12"/>
    </row>
    <row r="76" spans="1:35" s="11" customFormat="1" x14ac:dyDescent="0.3">
      <c r="A76" s="12"/>
      <c r="F76" s="21"/>
      <c r="G76" s="21"/>
      <c r="H76" s="15">
        <f>H36</f>
        <v>2015</v>
      </c>
      <c r="I76" s="11">
        <f t="shared" si="17"/>
        <v>1537.7442723025902</v>
      </c>
      <c r="J76" s="15">
        <f t="shared" si="17"/>
        <v>2016</v>
      </c>
      <c r="K76" s="11">
        <f t="shared" si="17"/>
        <v>15557.215264187869</v>
      </c>
      <c r="L76" s="15">
        <f t="shared" si="17"/>
        <v>2017</v>
      </c>
      <c r="M76" s="11">
        <f t="shared" si="17"/>
        <v>21309.072265625</v>
      </c>
      <c r="N76" s="15">
        <f t="shared" si="17"/>
        <v>2018</v>
      </c>
      <c r="O76" s="11">
        <f t="shared" si="17"/>
        <v>1171.8797814207651</v>
      </c>
      <c r="P76" s="15">
        <f t="shared" si="17"/>
        <v>2019</v>
      </c>
      <c r="Q76" s="13">
        <f t="shared" si="17"/>
        <v>0</v>
      </c>
      <c r="R76" s="15">
        <f t="shared" si="17"/>
        <v>2020</v>
      </c>
      <c r="S76" s="13">
        <f t="shared" si="17"/>
        <v>0</v>
      </c>
      <c r="T76" s="11">
        <f t="shared" si="16"/>
        <v>39575.911583536224</v>
      </c>
      <c r="U76" s="12"/>
      <c r="V76" s="17"/>
      <c r="W76" s="17"/>
      <c r="X76" s="12"/>
      <c r="Y76" s="12"/>
    </row>
    <row r="77" spans="1:35" s="11" customFormat="1" x14ac:dyDescent="0.3">
      <c r="A77" s="12"/>
      <c r="F77" s="21"/>
      <c r="G77" s="21"/>
      <c r="H77" s="15">
        <f>H37</f>
        <v>2016</v>
      </c>
      <c r="I77" s="11">
        <f t="shared" si="17"/>
        <v>623.94520547945206</v>
      </c>
      <c r="J77" s="15">
        <f t="shared" si="17"/>
        <v>2017</v>
      </c>
      <c r="K77" s="11">
        <f t="shared" si="17"/>
        <v>4928.826171875</v>
      </c>
      <c r="L77" s="15">
        <f t="shared" si="17"/>
        <v>2018</v>
      </c>
      <c r="M77" s="11">
        <f t="shared" si="17"/>
        <v>13867.24408014572</v>
      </c>
      <c r="N77" s="15">
        <f t="shared" si="17"/>
        <v>2019</v>
      </c>
      <c r="O77" s="13">
        <f>SUM(I77,K77,M77,Q77,S77)*(1/(1-O112)-1)</f>
        <v>4736.2573381986413</v>
      </c>
      <c r="P77" s="15">
        <f t="shared" si="17"/>
        <v>2020</v>
      </c>
      <c r="Q77" s="13">
        <f t="shared" si="17"/>
        <v>0</v>
      </c>
      <c r="R77" s="15">
        <f t="shared" si="17"/>
        <v>2021</v>
      </c>
      <c r="S77" s="13">
        <f t="shared" si="17"/>
        <v>0</v>
      </c>
      <c r="T77" s="13"/>
      <c r="U77" s="12"/>
      <c r="V77" s="17"/>
      <c r="W77" s="17"/>
      <c r="X77" s="12"/>
      <c r="Y77" s="12"/>
    </row>
    <row r="78" spans="1:35" s="11" customFormat="1" x14ac:dyDescent="0.3">
      <c r="A78" s="12"/>
      <c r="F78" s="21"/>
      <c r="G78" s="21"/>
      <c r="H78" s="20"/>
      <c r="J78" s="20"/>
      <c r="L78" s="20"/>
      <c r="N78" s="20"/>
      <c r="P78" s="20"/>
      <c r="R78" s="20"/>
      <c r="U78" s="12"/>
      <c r="V78" s="17"/>
      <c r="W78" s="17"/>
      <c r="X78" s="12"/>
      <c r="Y78" s="12"/>
    </row>
    <row r="79" spans="1:35" s="11" customFormat="1" x14ac:dyDescent="0.3">
      <c r="A79" s="12"/>
      <c r="F79" s="21"/>
      <c r="G79" s="21"/>
      <c r="H79" s="46" t="s">
        <v>0</v>
      </c>
      <c r="I79" s="44" t="s">
        <v>43</v>
      </c>
      <c r="J79" s="44"/>
      <c r="K79" s="44" t="s">
        <v>44</v>
      </c>
      <c r="L79" s="44"/>
      <c r="M79" s="44" t="s">
        <v>45</v>
      </c>
      <c r="N79" s="44"/>
      <c r="O79" s="44" t="s">
        <v>46</v>
      </c>
      <c r="P79" s="44"/>
      <c r="Q79" s="44" t="s">
        <v>47</v>
      </c>
      <c r="R79" s="44"/>
      <c r="S79" s="44" t="s">
        <v>48</v>
      </c>
      <c r="U79" s="12"/>
      <c r="V79" s="17"/>
      <c r="W79" s="17"/>
      <c r="X79" s="12"/>
      <c r="Y79" s="12"/>
    </row>
    <row r="80" spans="1:35" s="11" customFormat="1" x14ac:dyDescent="0.3">
      <c r="A80" s="12"/>
      <c r="F80" s="21"/>
      <c r="G80" s="21"/>
      <c r="H80" s="15">
        <v>1985</v>
      </c>
      <c r="I80" s="18">
        <f t="shared" ref="I80:I88" si="18">I46/$T46</f>
        <v>1.1006304872781333E-2</v>
      </c>
      <c r="J80" s="15">
        <v>1986</v>
      </c>
      <c r="K80" s="18">
        <f t="shared" ref="K80:K88" si="19">K46/$T46</f>
        <v>0.26369751986202372</v>
      </c>
      <c r="L80" s="15">
        <v>1987</v>
      </c>
      <c r="M80" s="18">
        <f>M46/$T46</f>
        <v>0.67274297719729081</v>
      </c>
      <c r="N80" s="15">
        <v>1988</v>
      </c>
      <c r="O80" s="18">
        <f>O46/$T46</f>
        <v>4.956288641711859E-2</v>
      </c>
      <c r="P80" s="15">
        <v>1989</v>
      </c>
      <c r="Q80" s="18">
        <f>Q46/$T46</f>
        <v>2.9903116507855269E-3</v>
      </c>
      <c r="R80" s="15">
        <v>1990</v>
      </c>
      <c r="S80" s="18">
        <f>S46/$T46</f>
        <v>0</v>
      </c>
      <c r="T80" s="18">
        <f t="shared" ref="T80:T88" si="20">SUM(I80,K80,M80,O80,Q80,S80)</f>
        <v>1</v>
      </c>
      <c r="U80" s="12"/>
      <c r="V80" s="17"/>
      <c r="W80" s="17"/>
      <c r="X80" s="12"/>
      <c r="Y80" s="12"/>
    </row>
    <row r="81" spans="1:35" s="11" customFormat="1" x14ac:dyDescent="0.3">
      <c r="A81" s="12"/>
      <c r="F81" s="21"/>
      <c r="G81" s="21"/>
      <c r="H81" s="15">
        <v>1986</v>
      </c>
      <c r="I81" s="18">
        <f t="shared" si="18"/>
        <v>5.3432824993100946E-3</v>
      </c>
      <c r="J81" s="15">
        <v>1987</v>
      </c>
      <c r="K81" s="18">
        <f t="shared" si="19"/>
        <v>0.46317506003908404</v>
      </c>
      <c r="L81" s="15">
        <v>1988</v>
      </c>
      <c r="M81" s="18">
        <f t="shared" ref="M81:M88" si="21">M47/$T47</f>
        <v>0.21694216798093732</v>
      </c>
      <c r="N81" s="15">
        <v>1989</v>
      </c>
      <c r="O81" s="18">
        <f t="shared" ref="O81:O88" si="22">O47/$T47</f>
        <v>0.31285713012443533</v>
      </c>
      <c r="P81" s="15">
        <v>1990</v>
      </c>
      <c r="Q81" s="18">
        <f t="shared" ref="Q81:Q88" si="23">Q47/$T47</f>
        <v>0</v>
      </c>
      <c r="R81" s="15">
        <v>1991</v>
      </c>
      <c r="S81" s="18">
        <f t="shared" ref="S81:S88" si="24">S47/$T47</f>
        <v>1.6823593562332476E-3</v>
      </c>
      <c r="T81" s="18">
        <f t="shared" si="20"/>
        <v>1</v>
      </c>
      <c r="U81" s="12"/>
      <c r="V81" s="17"/>
      <c r="W81" s="17"/>
      <c r="X81" s="12"/>
      <c r="Y81" s="12"/>
    </row>
    <row r="82" spans="1:35" s="11" customFormat="1" x14ac:dyDescent="0.3">
      <c r="A82" s="12"/>
      <c r="F82" s="21"/>
      <c r="G82" s="21"/>
      <c r="H82" s="15">
        <v>1987</v>
      </c>
      <c r="I82" s="18">
        <f t="shared" si="18"/>
        <v>1.8812127975366829E-3</v>
      </c>
      <c r="J82" s="15">
        <v>1988</v>
      </c>
      <c r="K82" s="18">
        <f t="shared" si="19"/>
        <v>9.3059161023313196E-3</v>
      </c>
      <c r="L82" s="15">
        <v>1989</v>
      </c>
      <c r="M82" s="18">
        <f t="shared" si="21"/>
        <v>0.5432391524847312</v>
      </c>
      <c r="N82" s="15">
        <v>1990</v>
      </c>
      <c r="O82" s="18">
        <f t="shared" si="22"/>
        <v>0.42097857064480482</v>
      </c>
      <c r="P82" s="15">
        <v>1991</v>
      </c>
      <c r="Q82" s="18">
        <f t="shared" si="23"/>
        <v>2.4595147970595872E-2</v>
      </c>
      <c r="R82" s="15">
        <v>1992</v>
      </c>
      <c r="S82" s="18">
        <f t="shared" si="24"/>
        <v>0</v>
      </c>
      <c r="T82" s="18">
        <f t="shared" si="20"/>
        <v>0.99999999999999989</v>
      </c>
      <c r="U82" s="12"/>
      <c r="V82" s="17"/>
      <c r="W82" s="17"/>
      <c r="X82" s="12"/>
      <c r="Y82" s="12"/>
    </row>
    <row r="83" spans="1:35" s="11" customFormat="1" x14ac:dyDescent="0.3">
      <c r="A83" s="12"/>
      <c r="F83" s="21"/>
      <c r="G83" s="21"/>
      <c r="H83" s="15">
        <v>1988</v>
      </c>
      <c r="I83" s="18">
        <f t="shared" si="18"/>
        <v>0</v>
      </c>
      <c r="J83" s="15">
        <v>1989</v>
      </c>
      <c r="K83" s="18">
        <f t="shared" si="19"/>
        <v>2.8866675775338496E-2</v>
      </c>
      <c r="L83" s="15">
        <v>1990</v>
      </c>
      <c r="M83" s="18">
        <f t="shared" si="21"/>
        <v>0.55531317982237927</v>
      </c>
      <c r="N83" s="15">
        <v>1991</v>
      </c>
      <c r="O83" s="18">
        <f t="shared" si="22"/>
        <v>0.41369709214476802</v>
      </c>
      <c r="P83" s="15">
        <v>1992</v>
      </c>
      <c r="Q83" s="18">
        <f t="shared" si="23"/>
        <v>2.1230522575141487E-3</v>
      </c>
      <c r="R83" s="15">
        <v>1993</v>
      </c>
      <c r="S83" s="18">
        <f t="shared" si="24"/>
        <v>0</v>
      </c>
      <c r="T83" s="18">
        <f t="shared" si="20"/>
        <v>1</v>
      </c>
      <c r="U83" s="12"/>
      <c r="V83" s="17"/>
      <c r="W83" s="17"/>
      <c r="X83" s="12"/>
      <c r="Y83" s="12"/>
    </row>
    <row r="84" spans="1:35" s="11" customFormat="1" x14ac:dyDescent="0.3">
      <c r="A84" s="12"/>
      <c r="F84" s="21"/>
      <c r="G84" s="21"/>
      <c r="H84" s="15">
        <v>1989</v>
      </c>
      <c r="I84" s="18">
        <f t="shared" si="18"/>
        <v>1.3846566909729803E-2</v>
      </c>
      <c r="J84" s="15">
        <v>1990</v>
      </c>
      <c r="K84" s="18">
        <f t="shared" si="19"/>
        <v>0.38673680669841159</v>
      </c>
      <c r="L84" s="15">
        <v>1991</v>
      </c>
      <c r="M84" s="18">
        <f t="shared" si="21"/>
        <v>0.29666315263425963</v>
      </c>
      <c r="N84" s="15">
        <v>1992</v>
      </c>
      <c r="O84" s="18">
        <f t="shared" si="22"/>
        <v>0.27836336707570419</v>
      </c>
      <c r="P84" s="15">
        <v>1993</v>
      </c>
      <c r="Q84" s="18">
        <f t="shared" si="23"/>
        <v>2.4390106681894629E-2</v>
      </c>
      <c r="R84" s="15">
        <v>1994</v>
      </c>
      <c r="S84" s="18">
        <f t="shared" si="24"/>
        <v>0</v>
      </c>
      <c r="T84" s="18">
        <f t="shared" si="20"/>
        <v>0.99999999999999989</v>
      </c>
      <c r="U84" s="12"/>
      <c r="V84" s="17"/>
      <c r="W84" s="17"/>
      <c r="X84" s="12"/>
      <c r="Y84" s="12"/>
    </row>
    <row r="85" spans="1:35" s="11" customFormat="1" x14ac:dyDescent="0.3">
      <c r="A85" s="12"/>
      <c r="F85" s="21"/>
      <c r="G85" s="21"/>
      <c r="H85" s="15">
        <v>1990</v>
      </c>
      <c r="I85" s="18">
        <f t="shared" si="18"/>
        <v>3.2726998396769381E-2</v>
      </c>
      <c r="J85" s="15">
        <v>1991</v>
      </c>
      <c r="K85" s="18">
        <f t="shared" si="19"/>
        <v>0.29439687979462809</v>
      </c>
      <c r="L85" s="15">
        <v>1992</v>
      </c>
      <c r="M85" s="18">
        <f t="shared" si="21"/>
        <v>0.32935379739635628</v>
      </c>
      <c r="N85" s="15">
        <v>1993</v>
      </c>
      <c r="O85" s="18">
        <f t="shared" si="22"/>
        <v>0.2912069907063361</v>
      </c>
      <c r="P85" s="15">
        <v>1994</v>
      </c>
      <c r="Q85" s="18">
        <f t="shared" si="23"/>
        <v>5.23153337059101E-2</v>
      </c>
      <c r="R85" s="15">
        <v>1995</v>
      </c>
      <c r="S85" s="18">
        <f t="shared" si="24"/>
        <v>0</v>
      </c>
      <c r="T85" s="18">
        <f t="shared" si="20"/>
        <v>1</v>
      </c>
      <c r="U85" s="12"/>
      <c r="V85" s="17"/>
      <c r="W85" s="17"/>
      <c r="X85" s="12"/>
      <c r="Y85" s="12"/>
    </row>
    <row r="86" spans="1:35" s="11" customFormat="1" x14ac:dyDescent="0.3">
      <c r="A86" s="12"/>
      <c r="F86" s="21"/>
      <c r="G86" s="21"/>
      <c r="H86" s="15">
        <v>1991</v>
      </c>
      <c r="I86" s="18">
        <f t="shared" si="18"/>
        <v>3.1012260596606617E-3</v>
      </c>
      <c r="J86" s="15">
        <v>1992</v>
      </c>
      <c r="K86" s="18">
        <f t="shared" si="19"/>
        <v>5.325174474601807E-2</v>
      </c>
      <c r="L86" s="15">
        <v>1993</v>
      </c>
      <c r="M86" s="18">
        <f t="shared" si="21"/>
        <v>0.43084068106125256</v>
      </c>
      <c r="N86" s="15">
        <v>1994</v>
      </c>
      <c r="O86" s="18">
        <f t="shared" si="22"/>
        <v>0.50960345748132008</v>
      </c>
      <c r="P86" s="15">
        <v>1995</v>
      </c>
      <c r="Q86" s="18">
        <f t="shared" si="23"/>
        <v>3.2028906517486016E-3</v>
      </c>
      <c r="R86" s="15">
        <v>1996</v>
      </c>
      <c r="S86" s="18">
        <f t="shared" si="24"/>
        <v>0</v>
      </c>
      <c r="T86" s="18">
        <f t="shared" si="20"/>
        <v>1</v>
      </c>
      <c r="U86" s="12"/>
      <c r="V86" s="17"/>
      <c r="W86" s="17"/>
      <c r="X86" s="12"/>
      <c r="Y86" s="12"/>
    </row>
    <row r="87" spans="1:35" s="11" customFormat="1" x14ac:dyDescent="0.3">
      <c r="A87" s="12"/>
      <c r="F87" s="21"/>
      <c r="G87" s="21"/>
      <c r="H87" s="15">
        <v>1992</v>
      </c>
      <c r="I87" s="18">
        <f t="shared" si="18"/>
        <v>2.6789161475843884E-2</v>
      </c>
      <c r="J87" s="15">
        <v>1993</v>
      </c>
      <c r="K87" s="18">
        <f t="shared" si="19"/>
        <v>0.33802995938718539</v>
      </c>
      <c r="L87" s="15">
        <v>1994</v>
      </c>
      <c r="M87" s="18">
        <f t="shared" si="21"/>
        <v>0.56011462652097133</v>
      </c>
      <c r="N87" s="15">
        <v>1995</v>
      </c>
      <c r="O87" s="18">
        <f t="shared" si="22"/>
        <v>7.4497402446897162E-2</v>
      </c>
      <c r="P87" s="15">
        <v>1996</v>
      </c>
      <c r="Q87" s="18">
        <f t="shared" si="23"/>
        <v>5.6885016910232966E-4</v>
      </c>
      <c r="R87" s="15">
        <v>1997</v>
      </c>
      <c r="S87" s="18">
        <f t="shared" si="24"/>
        <v>0</v>
      </c>
      <c r="T87" s="18">
        <f t="shared" si="20"/>
        <v>1</v>
      </c>
      <c r="U87" s="12"/>
      <c r="V87" s="17"/>
      <c r="W87" s="17"/>
      <c r="X87" s="12"/>
      <c r="Y87" s="12"/>
    </row>
    <row r="88" spans="1:35" s="11" customFormat="1" x14ac:dyDescent="0.3">
      <c r="A88" s="12"/>
      <c r="F88" s="21"/>
      <c r="G88" s="21"/>
      <c r="H88" s="15">
        <v>1993</v>
      </c>
      <c r="I88" s="18">
        <f t="shared" si="18"/>
        <v>6.001261225795267E-3</v>
      </c>
      <c r="J88" s="15">
        <v>1994</v>
      </c>
      <c r="K88" s="18">
        <f t="shared" si="19"/>
        <v>0.2808940983983868</v>
      </c>
      <c r="L88" s="15">
        <v>1995</v>
      </c>
      <c r="M88" s="18">
        <f t="shared" si="21"/>
        <v>0.64481396204139441</v>
      </c>
      <c r="N88" s="15">
        <v>1996</v>
      </c>
      <c r="O88" s="18">
        <f t="shared" si="22"/>
        <v>6.8290678334423427E-2</v>
      </c>
      <c r="P88" s="15">
        <v>1997</v>
      </c>
      <c r="Q88" s="18">
        <f t="shared" si="23"/>
        <v>0</v>
      </c>
      <c r="R88" s="15">
        <v>1998</v>
      </c>
      <c r="S88" s="18">
        <f t="shared" si="24"/>
        <v>0</v>
      </c>
      <c r="T88" s="18">
        <f t="shared" si="20"/>
        <v>1</v>
      </c>
      <c r="U88" s="12"/>
      <c r="V88" s="17"/>
      <c r="W88" s="17"/>
      <c r="X88" s="12"/>
      <c r="Y88" s="12"/>
      <c r="Z88" s="12"/>
    </row>
    <row r="89" spans="1:35" s="11" customFormat="1" x14ac:dyDescent="0.3">
      <c r="A89" s="12"/>
      <c r="F89" s="21"/>
      <c r="G89" s="21"/>
      <c r="H89" s="15">
        <v>1994</v>
      </c>
      <c r="I89" s="18"/>
      <c r="J89" s="15">
        <v>1995</v>
      </c>
      <c r="K89" s="18"/>
      <c r="L89" s="15">
        <v>1996</v>
      </c>
      <c r="M89" s="18"/>
      <c r="N89" s="15">
        <v>1997</v>
      </c>
      <c r="O89" s="18"/>
      <c r="P89" s="15">
        <v>1998</v>
      </c>
      <c r="Q89" s="18"/>
      <c r="R89" s="15">
        <v>1999</v>
      </c>
      <c r="S89" s="18"/>
      <c r="U89" s="12"/>
      <c r="V89" s="17"/>
      <c r="W89" s="17"/>
      <c r="X89" s="12"/>
      <c r="Y89" s="12"/>
      <c r="Z89" s="12"/>
    </row>
    <row r="90" spans="1:35" s="11" customFormat="1" x14ac:dyDescent="0.3">
      <c r="A90" s="12"/>
      <c r="F90" s="21"/>
      <c r="G90" s="21"/>
      <c r="H90" s="15">
        <v>1995</v>
      </c>
      <c r="I90" s="18"/>
      <c r="J90" s="15">
        <v>1996</v>
      </c>
      <c r="K90" s="18"/>
      <c r="L90" s="15">
        <v>1997</v>
      </c>
      <c r="M90" s="18"/>
      <c r="N90" s="15">
        <v>1998</v>
      </c>
      <c r="O90" s="18"/>
      <c r="P90" s="15">
        <v>1999</v>
      </c>
      <c r="Q90" s="18"/>
      <c r="R90" s="15">
        <v>2000</v>
      </c>
      <c r="S90" s="18"/>
      <c r="U90" s="12"/>
      <c r="V90" s="17"/>
      <c r="W90" s="17"/>
      <c r="X90" s="12"/>
      <c r="Y90" s="12"/>
      <c r="Z90" s="12"/>
    </row>
    <row r="91" spans="1:35" s="11" customFormat="1" x14ac:dyDescent="0.3">
      <c r="A91" s="12"/>
      <c r="F91" s="21"/>
      <c r="G91" s="21"/>
      <c r="H91" s="15">
        <v>1996</v>
      </c>
      <c r="I91" s="18"/>
      <c r="J91" s="15">
        <v>1997</v>
      </c>
      <c r="K91" s="18"/>
      <c r="L91" s="15">
        <v>1998</v>
      </c>
      <c r="M91" s="18"/>
      <c r="N91" s="15">
        <v>1999</v>
      </c>
      <c r="O91" s="18"/>
      <c r="P91" s="15">
        <v>2000</v>
      </c>
      <c r="Q91" s="18"/>
      <c r="R91" s="15">
        <v>2001</v>
      </c>
      <c r="S91" s="18"/>
      <c r="U91" s="12"/>
      <c r="V91" s="17"/>
      <c r="W91" s="17"/>
      <c r="X91" s="12"/>
      <c r="Y91" s="12"/>
      <c r="Z91" s="12"/>
    </row>
    <row r="92" spans="1:35" s="11" customFormat="1" x14ac:dyDescent="0.3">
      <c r="A92" s="12"/>
      <c r="F92" s="21"/>
      <c r="G92" s="21"/>
      <c r="H92" s="15">
        <v>1997</v>
      </c>
      <c r="I92" s="18"/>
      <c r="J92" s="15">
        <v>1998</v>
      </c>
      <c r="K92" s="18"/>
      <c r="L92" s="15">
        <v>1999</v>
      </c>
      <c r="M92" s="18"/>
      <c r="N92" s="15">
        <v>2000</v>
      </c>
      <c r="O92" s="18"/>
      <c r="P92" s="15">
        <v>2001</v>
      </c>
      <c r="Q92" s="18"/>
      <c r="R92" s="15">
        <v>2002</v>
      </c>
      <c r="S92" s="18"/>
      <c r="U92" s="12"/>
      <c r="V92" s="17"/>
      <c r="W92" s="17"/>
      <c r="X92" s="12"/>
      <c r="Y92" s="12"/>
      <c r="Z92" s="12"/>
    </row>
    <row r="93" spans="1:35" s="11" customFormat="1" x14ac:dyDescent="0.3">
      <c r="A93" s="12"/>
      <c r="F93" s="21"/>
      <c r="G93" s="21"/>
      <c r="H93" s="15">
        <v>1998</v>
      </c>
      <c r="I93" s="18"/>
      <c r="J93" s="15">
        <v>1999</v>
      </c>
      <c r="K93" s="18"/>
      <c r="L93" s="15">
        <v>2000</v>
      </c>
      <c r="M93" s="18"/>
      <c r="N93" s="15">
        <v>2001</v>
      </c>
      <c r="O93" s="18"/>
      <c r="P93" s="15">
        <v>2002</v>
      </c>
      <c r="Q93" s="18"/>
      <c r="R93" s="15">
        <v>2003</v>
      </c>
      <c r="S93" s="18"/>
      <c r="U93" s="12"/>
      <c r="V93" s="17"/>
      <c r="W93" s="17"/>
      <c r="X93" s="12"/>
      <c r="Y93" s="12"/>
      <c r="Z93" s="12"/>
    </row>
    <row r="94" spans="1:35" s="11" customFormat="1" x14ac:dyDescent="0.3">
      <c r="A94" s="12"/>
      <c r="F94" s="21"/>
      <c r="G94" s="21"/>
      <c r="H94" s="15">
        <v>1999</v>
      </c>
      <c r="I94" s="18">
        <f t="shared" ref="I94:I110" si="25">I60/$T60</f>
        <v>1.7596731748393945E-2</v>
      </c>
      <c r="J94" s="15">
        <v>2000</v>
      </c>
      <c r="K94" s="18">
        <f t="shared" ref="K94:K110" si="26">K60/$T60</f>
        <v>0.13973808070092963</v>
      </c>
      <c r="L94" s="15">
        <v>2001</v>
      </c>
      <c r="M94" s="18">
        <f t="shared" ref="M94:M110" si="27">M60/$T60</f>
        <v>0.47214615528032666</v>
      </c>
      <c r="N94" s="15">
        <v>2002</v>
      </c>
      <c r="O94" s="18">
        <f t="shared" ref="O94:O110" si="28">O60/$T60</f>
        <v>0.35948122405222144</v>
      </c>
      <c r="P94" s="15">
        <v>2003</v>
      </c>
      <c r="Q94" s="18">
        <f t="shared" ref="Q94:Q110" si="29">Q60/$T60</f>
        <v>1.1037808218128317E-2</v>
      </c>
      <c r="R94" s="15">
        <v>2004</v>
      </c>
      <c r="S94" s="18">
        <f t="shared" ref="S94:S110" si="30">S60/$T60</f>
        <v>0</v>
      </c>
      <c r="T94" s="18">
        <f t="shared" ref="T94:T110" si="31">SUM(I94,K94,M94,O94,Q94,S94)</f>
        <v>0.99999999999999989</v>
      </c>
      <c r="U94" s="12"/>
      <c r="V94" s="17"/>
      <c r="W94" s="17"/>
      <c r="X94" s="12"/>
      <c r="Y94" s="12"/>
      <c r="Z94" s="12"/>
    </row>
    <row r="95" spans="1:35" x14ac:dyDescent="0.3">
      <c r="H95" s="15">
        <v>2000</v>
      </c>
      <c r="I95" s="18">
        <f t="shared" si="25"/>
        <v>2.9434312425481186E-3</v>
      </c>
      <c r="J95" s="15">
        <v>2001</v>
      </c>
      <c r="K95" s="18">
        <f t="shared" si="26"/>
        <v>4.7195437212096993E-2</v>
      </c>
      <c r="L95" s="15">
        <v>2002</v>
      </c>
      <c r="M95" s="18">
        <f t="shared" si="27"/>
        <v>0.48363007018920656</v>
      </c>
      <c r="N95" s="15">
        <v>2003</v>
      </c>
      <c r="O95" s="18">
        <f t="shared" si="28"/>
        <v>0.46623106135614828</v>
      </c>
      <c r="P95" s="15">
        <v>2004</v>
      </c>
      <c r="Q95" s="18">
        <f t="shared" si="29"/>
        <v>0</v>
      </c>
      <c r="R95" s="15">
        <v>2005</v>
      </c>
      <c r="S95" s="18">
        <f t="shared" si="30"/>
        <v>0</v>
      </c>
      <c r="T95" s="18">
        <f t="shared" si="31"/>
        <v>1</v>
      </c>
      <c r="AA95" s="11"/>
      <c r="AB95" s="11"/>
      <c r="AC95" s="11"/>
      <c r="AD95" s="11"/>
      <c r="AE95" s="11"/>
      <c r="AF95" s="11"/>
      <c r="AG95" s="11"/>
      <c r="AH95" s="11"/>
      <c r="AI95" s="11"/>
    </row>
    <row r="96" spans="1:35" s="11" customFormat="1" x14ac:dyDescent="0.3">
      <c r="A96" s="12"/>
      <c r="F96" s="21"/>
      <c r="G96" s="21"/>
      <c r="H96" s="15">
        <v>2001</v>
      </c>
      <c r="I96" s="18">
        <f t="shared" si="25"/>
        <v>1.6818515012275641E-3</v>
      </c>
      <c r="J96" s="15">
        <v>2002</v>
      </c>
      <c r="K96" s="18">
        <f t="shared" si="26"/>
        <v>0.13179155519544122</v>
      </c>
      <c r="L96" s="15">
        <v>2003</v>
      </c>
      <c r="M96" s="18">
        <f t="shared" si="27"/>
        <v>0.79410562302488186</v>
      </c>
      <c r="N96" s="15">
        <v>2004</v>
      </c>
      <c r="O96" s="18">
        <f t="shared" si="28"/>
        <v>7.1664122515603071E-2</v>
      </c>
      <c r="P96" s="15">
        <v>2005</v>
      </c>
      <c r="Q96" s="18">
        <f t="shared" si="29"/>
        <v>7.5684776284614221E-4</v>
      </c>
      <c r="R96" s="15">
        <v>2006</v>
      </c>
      <c r="S96" s="18">
        <f t="shared" si="30"/>
        <v>0</v>
      </c>
      <c r="T96" s="18">
        <f t="shared" si="31"/>
        <v>0.99999999999999989</v>
      </c>
      <c r="U96" s="12"/>
      <c r="V96" s="17"/>
      <c r="W96" s="17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s="11" customFormat="1" x14ac:dyDescent="0.3">
      <c r="A97" s="12"/>
      <c r="F97" s="21"/>
      <c r="G97" s="21"/>
      <c r="H97" s="15">
        <v>2002</v>
      </c>
      <c r="I97" s="18">
        <f t="shared" si="25"/>
        <v>7.2111627385657939E-4</v>
      </c>
      <c r="J97" s="15">
        <v>2003</v>
      </c>
      <c r="K97" s="18">
        <f t="shared" si="26"/>
        <v>7.0490378568990611E-2</v>
      </c>
      <c r="L97" s="15">
        <v>2004</v>
      </c>
      <c r="M97" s="18">
        <f t="shared" si="27"/>
        <v>0.82983297889142627</v>
      </c>
      <c r="N97" s="15">
        <v>2005</v>
      </c>
      <c r="O97" s="18">
        <f t="shared" si="28"/>
        <v>9.8955526265726471E-2</v>
      </c>
      <c r="P97" s="15">
        <v>2006</v>
      </c>
      <c r="Q97" s="18">
        <f t="shared" si="29"/>
        <v>0</v>
      </c>
      <c r="R97" s="15">
        <v>2007</v>
      </c>
      <c r="S97" s="18">
        <f t="shared" si="30"/>
        <v>0</v>
      </c>
      <c r="T97" s="18">
        <f t="shared" si="31"/>
        <v>0.99999999999999989</v>
      </c>
      <c r="U97" s="12"/>
      <c r="V97" s="17"/>
      <c r="W97" s="17"/>
      <c r="X97" s="12"/>
      <c r="Y97" s="12"/>
      <c r="Z97" s="12"/>
    </row>
    <row r="98" spans="1:35" x14ac:dyDescent="0.3">
      <c r="H98" s="15">
        <v>2003</v>
      </c>
      <c r="I98" s="18">
        <f t="shared" si="25"/>
        <v>3.8654232491713592E-4</v>
      </c>
      <c r="J98" s="15">
        <v>2004</v>
      </c>
      <c r="K98" s="18">
        <f t="shared" si="26"/>
        <v>0.35151572274758491</v>
      </c>
      <c r="L98" s="15">
        <v>2005</v>
      </c>
      <c r="M98" s="18">
        <f t="shared" si="27"/>
        <v>0.50941929421347398</v>
      </c>
      <c r="N98" s="15">
        <v>2006</v>
      </c>
      <c r="O98" s="18">
        <f t="shared" si="28"/>
        <v>0.13669774318444691</v>
      </c>
      <c r="P98" s="15">
        <v>2007</v>
      </c>
      <c r="Q98" s="18">
        <f t="shared" si="29"/>
        <v>1.9806975295771469E-3</v>
      </c>
      <c r="R98" s="15">
        <v>2008</v>
      </c>
      <c r="S98" s="18">
        <f t="shared" si="30"/>
        <v>0</v>
      </c>
      <c r="T98" s="18">
        <f t="shared" si="31"/>
        <v>1</v>
      </c>
      <c r="AA98" s="11"/>
      <c r="AB98" s="11"/>
      <c r="AC98" s="11"/>
      <c r="AD98" s="11"/>
      <c r="AE98" s="11"/>
      <c r="AF98" s="11"/>
      <c r="AG98" s="11"/>
      <c r="AH98" s="11"/>
      <c r="AI98" s="11"/>
    </row>
    <row r="99" spans="1:35" x14ac:dyDescent="0.3">
      <c r="H99" s="15">
        <v>2004</v>
      </c>
      <c r="I99" s="18">
        <f t="shared" si="25"/>
        <v>1.132772315090368E-2</v>
      </c>
      <c r="J99" s="15">
        <v>2005</v>
      </c>
      <c r="K99" s="18">
        <f t="shared" si="26"/>
        <v>0.24657936260731619</v>
      </c>
      <c r="L99" s="15">
        <v>2006</v>
      </c>
      <c r="M99" s="18">
        <f t="shared" si="27"/>
        <v>0.5953984522910607</v>
      </c>
      <c r="N99" s="15">
        <v>2007</v>
      </c>
      <c r="O99" s="18">
        <f t="shared" si="28"/>
        <v>0.14601231474429624</v>
      </c>
      <c r="P99" s="15">
        <v>2008</v>
      </c>
      <c r="Q99" s="18">
        <f t="shared" si="29"/>
        <v>6.8214720642314607E-4</v>
      </c>
      <c r="R99" s="15">
        <v>2009</v>
      </c>
      <c r="S99" s="18">
        <f t="shared" si="30"/>
        <v>0</v>
      </c>
      <c r="T99" s="18">
        <f t="shared" si="31"/>
        <v>0.99999999999999989</v>
      </c>
    </row>
    <row r="100" spans="1:35" x14ac:dyDescent="0.3">
      <c r="H100" s="15">
        <v>2005</v>
      </c>
      <c r="I100" s="18">
        <f t="shared" si="25"/>
        <v>9.1527576063648603E-3</v>
      </c>
      <c r="J100" s="15">
        <v>2006</v>
      </c>
      <c r="K100" s="18">
        <f t="shared" si="26"/>
        <v>0.50550038570982769</v>
      </c>
      <c r="L100" s="15">
        <v>2007</v>
      </c>
      <c r="M100" s="18">
        <f t="shared" si="27"/>
        <v>0.46834980573366819</v>
      </c>
      <c r="N100" s="15">
        <v>2008</v>
      </c>
      <c r="O100" s="18">
        <f t="shared" si="28"/>
        <v>1.6997050950139325E-2</v>
      </c>
      <c r="P100" s="15">
        <v>2009</v>
      </c>
      <c r="Q100" s="18">
        <f t="shared" si="29"/>
        <v>0</v>
      </c>
      <c r="R100" s="15">
        <v>2010</v>
      </c>
      <c r="S100" s="18">
        <f t="shared" si="30"/>
        <v>0</v>
      </c>
      <c r="T100" s="18">
        <f t="shared" si="31"/>
        <v>1.0000000000000002</v>
      </c>
    </row>
    <row r="101" spans="1:35" x14ac:dyDescent="0.3">
      <c r="H101" s="15">
        <v>2006</v>
      </c>
      <c r="I101" s="18">
        <f t="shared" si="25"/>
        <v>0</v>
      </c>
      <c r="J101" s="15">
        <v>2007</v>
      </c>
      <c r="K101" s="18">
        <f t="shared" si="26"/>
        <v>0.3794785150922918</v>
      </c>
      <c r="L101" s="15">
        <v>2008</v>
      </c>
      <c r="M101" s="18">
        <f t="shared" si="27"/>
        <v>0.58647757559965352</v>
      </c>
      <c r="N101" s="15">
        <v>2009</v>
      </c>
      <c r="O101" s="18">
        <f t="shared" si="28"/>
        <v>3.4043909308054732E-2</v>
      </c>
      <c r="P101" s="15">
        <v>2010</v>
      </c>
      <c r="Q101" s="18">
        <f t="shared" si="29"/>
        <v>0</v>
      </c>
      <c r="R101" s="15">
        <v>2011</v>
      </c>
      <c r="S101" s="18">
        <f t="shared" si="30"/>
        <v>0</v>
      </c>
      <c r="T101" s="18">
        <f t="shared" si="31"/>
        <v>1</v>
      </c>
    </row>
    <row r="102" spans="1:35" x14ac:dyDescent="0.3">
      <c r="H102" s="15">
        <v>2007</v>
      </c>
      <c r="I102" s="18">
        <f t="shared" si="25"/>
        <v>0</v>
      </c>
      <c r="J102" s="15">
        <v>2008</v>
      </c>
      <c r="K102" s="18">
        <f t="shared" si="26"/>
        <v>0.10304865948122237</v>
      </c>
      <c r="L102" s="15">
        <v>2009</v>
      </c>
      <c r="M102" s="18">
        <f t="shared" si="27"/>
        <v>0.69293739053049952</v>
      </c>
      <c r="N102" s="15">
        <v>2010</v>
      </c>
      <c r="O102" s="18">
        <f t="shared" si="28"/>
        <v>0.20401394998827801</v>
      </c>
      <c r="P102" s="15">
        <v>2011</v>
      </c>
      <c r="Q102" s="18">
        <f t="shared" si="29"/>
        <v>0</v>
      </c>
      <c r="R102" s="15">
        <v>2012</v>
      </c>
      <c r="S102" s="18">
        <f t="shared" si="30"/>
        <v>0</v>
      </c>
      <c r="T102" s="18">
        <f t="shared" si="31"/>
        <v>0.99999999999999989</v>
      </c>
    </row>
    <row r="103" spans="1:35" x14ac:dyDescent="0.3">
      <c r="H103" s="15">
        <v>2008</v>
      </c>
      <c r="I103" s="18">
        <f t="shared" si="25"/>
        <v>2.2170786674534813E-3</v>
      </c>
      <c r="J103" s="15">
        <v>2009</v>
      </c>
      <c r="K103" s="18">
        <f t="shared" si="26"/>
        <v>0.16088774171859155</v>
      </c>
      <c r="L103" s="15">
        <v>2010</v>
      </c>
      <c r="M103" s="18">
        <f t="shared" si="27"/>
        <v>0.47964090046695168</v>
      </c>
      <c r="N103" s="15">
        <v>2011</v>
      </c>
      <c r="O103" s="18">
        <f t="shared" si="28"/>
        <v>0.35725427914700325</v>
      </c>
      <c r="P103" s="15">
        <v>2012</v>
      </c>
      <c r="Q103" s="18">
        <f t="shared" si="29"/>
        <v>0</v>
      </c>
      <c r="R103" s="15">
        <v>2013</v>
      </c>
      <c r="S103" s="18">
        <f t="shared" si="30"/>
        <v>0</v>
      </c>
      <c r="T103" s="18">
        <f t="shared" si="31"/>
        <v>1</v>
      </c>
    </row>
    <row r="104" spans="1:35" x14ac:dyDescent="0.3">
      <c r="H104" s="15">
        <v>2009</v>
      </c>
      <c r="I104" s="18">
        <f t="shared" si="25"/>
        <v>1.8569916842404884E-2</v>
      </c>
      <c r="J104" s="15">
        <v>2010</v>
      </c>
      <c r="K104" s="18">
        <f t="shared" si="26"/>
        <v>0.39695685940823872</v>
      </c>
      <c r="L104" s="15">
        <v>2011</v>
      </c>
      <c r="M104" s="18">
        <f t="shared" si="27"/>
        <v>0.5185629735569055</v>
      </c>
      <c r="N104" s="15">
        <v>2012</v>
      </c>
      <c r="O104" s="18">
        <f t="shared" si="28"/>
        <v>6.5910250192451003E-2</v>
      </c>
      <c r="P104" s="15">
        <v>2013</v>
      </c>
      <c r="Q104" s="18">
        <f t="shared" si="29"/>
        <v>0</v>
      </c>
      <c r="R104" s="15">
        <v>2014</v>
      </c>
      <c r="S104" s="18">
        <f t="shared" si="30"/>
        <v>0</v>
      </c>
      <c r="T104" s="18">
        <f t="shared" si="31"/>
        <v>1</v>
      </c>
    </row>
    <row r="105" spans="1:35" x14ac:dyDescent="0.3">
      <c r="H105" s="15">
        <v>2010</v>
      </c>
      <c r="I105" s="18">
        <f t="shared" si="25"/>
        <v>0</v>
      </c>
      <c r="J105" s="15">
        <v>2011</v>
      </c>
      <c r="K105" s="18">
        <f t="shared" si="26"/>
        <v>0.11208283088511299</v>
      </c>
      <c r="L105" s="15">
        <v>2012</v>
      </c>
      <c r="M105" s="18">
        <f t="shared" si="27"/>
        <v>0.56736995768406351</v>
      </c>
      <c r="N105" s="15">
        <v>2013</v>
      </c>
      <c r="O105" s="18">
        <f t="shared" si="28"/>
        <v>0.31733125818892471</v>
      </c>
      <c r="P105" s="15">
        <v>2014</v>
      </c>
      <c r="Q105" s="18">
        <f t="shared" si="29"/>
        <v>3.2159532418988427E-3</v>
      </c>
      <c r="R105" s="15">
        <v>2015</v>
      </c>
      <c r="S105" s="18">
        <f t="shared" si="30"/>
        <v>0</v>
      </c>
      <c r="T105" s="18">
        <f t="shared" si="31"/>
        <v>1</v>
      </c>
    </row>
    <row r="106" spans="1:35" x14ac:dyDescent="0.3">
      <c r="H106" s="15">
        <v>2011</v>
      </c>
      <c r="I106" s="18">
        <f t="shared" si="25"/>
        <v>3.5983259103415099E-2</v>
      </c>
      <c r="J106" s="15">
        <v>2012</v>
      </c>
      <c r="K106" s="18">
        <f t="shared" si="26"/>
        <v>0.35281043523960942</v>
      </c>
      <c r="L106" s="15">
        <v>2013</v>
      </c>
      <c r="M106" s="18">
        <f t="shared" si="27"/>
        <v>0.53745600621204381</v>
      </c>
      <c r="N106" s="15">
        <v>2014</v>
      </c>
      <c r="O106" s="18">
        <f t="shared" si="28"/>
        <v>7.3750299444931555E-2</v>
      </c>
      <c r="P106" s="15">
        <v>2015</v>
      </c>
      <c r="Q106" s="18">
        <f t="shared" si="29"/>
        <v>0</v>
      </c>
      <c r="R106" s="15">
        <v>2016</v>
      </c>
      <c r="S106" s="18">
        <f t="shared" si="30"/>
        <v>0</v>
      </c>
      <c r="T106" s="18">
        <f t="shared" si="31"/>
        <v>0.99999999999999978</v>
      </c>
    </row>
    <row r="107" spans="1:35" x14ac:dyDescent="0.3">
      <c r="H107" s="15">
        <v>2012</v>
      </c>
      <c r="I107" s="18">
        <f t="shared" si="25"/>
        <v>0.14625808746374347</v>
      </c>
      <c r="J107" s="15">
        <v>2013</v>
      </c>
      <c r="K107" s="18">
        <f t="shared" si="26"/>
        <v>0.41744374657038669</v>
      </c>
      <c r="L107" s="15">
        <v>2014</v>
      </c>
      <c r="M107" s="18">
        <f t="shared" si="27"/>
        <v>0.428474137207913</v>
      </c>
      <c r="N107" s="15">
        <v>2015</v>
      </c>
      <c r="O107" s="18">
        <f t="shared" si="28"/>
        <v>7.8240287579568121E-3</v>
      </c>
      <c r="P107" s="15">
        <v>2016</v>
      </c>
      <c r="Q107" s="18">
        <f t="shared" si="29"/>
        <v>0</v>
      </c>
      <c r="R107" s="15">
        <v>2017</v>
      </c>
      <c r="S107" s="18">
        <f t="shared" si="30"/>
        <v>0</v>
      </c>
      <c r="T107" s="18">
        <f t="shared" si="31"/>
        <v>1</v>
      </c>
    </row>
    <row r="108" spans="1:35" x14ac:dyDescent="0.3">
      <c r="H108" s="15">
        <v>2013</v>
      </c>
      <c r="I108" s="18">
        <f t="shared" si="25"/>
        <v>9.4076026039850616E-2</v>
      </c>
      <c r="J108" s="15">
        <v>2014</v>
      </c>
      <c r="K108" s="18">
        <f t="shared" si="26"/>
        <v>0.35816052649927899</v>
      </c>
      <c r="L108" s="15">
        <v>2015</v>
      </c>
      <c r="M108" s="18">
        <f t="shared" si="27"/>
        <v>0.50512225953795831</v>
      </c>
      <c r="N108" s="15">
        <v>2016</v>
      </c>
      <c r="O108" s="18">
        <f t="shared" si="28"/>
        <v>4.2641187922912119E-2</v>
      </c>
      <c r="P108" s="15">
        <v>2017</v>
      </c>
      <c r="Q108" s="18">
        <f t="shared" si="29"/>
        <v>0</v>
      </c>
      <c r="R108" s="15">
        <v>2018</v>
      </c>
      <c r="S108" s="18">
        <f t="shared" si="30"/>
        <v>0</v>
      </c>
      <c r="T108" s="18">
        <f t="shared" si="31"/>
        <v>1</v>
      </c>
    </row>
    <row r="109" spans="1:35" x14ac:dyDescent="0.3">
      <c r="H109" s="15">
        <v>2014</v>
      </c>
      <c r="I109" s="18">
        <f t="shared" si="25"/>
        <v>0.11086883210367197</v>
      </c>
      <c r="J109" s="15">
        <v>2015</v>
      </c>
      <c r="K109" s="18">
        <f t="shared" si="26"/>
        <v>0.25895307961820185</v>
      </c>
      <c r="L109" s="15">
        <v>2016</v>
      </c>
      <c r="M109" s="18">
        <f t="shared" si="27"/>
        <v>0.37990268816501682</v>
      </c>
      <c r="N109" s="15">
        <v>2017</v>
      </c>
      <c r="O109" s="18">
        <f t="shared" si="28"/>
        <v>0.25027540011310934</v>
      </c>
      <c r="P109" s="15">
        <v>2018</v>
      </c>
      <c r="Q109" s="18">
        <f t="shared" si="29"/>
        <v>0</v>
      </c>
      <c r="R109" s="15">
        <v>2019</v>
      </c>
      <c r="S109" s="120">
        <f t="shared" si="30"/>
        <v>0</v>
      </c>
      <c r="T109" s="18">
        <f t="shared" si="31"/>
        <v>1</v>
      </c>
    </row>
    <row r="110" spans="1:35" x14ac:dyDescent="0.3">
      <c r="H110" s="15">
        <v>2015</v>
      </c>
      <c r="I110" s="18">
        <f t="shared" si="25"/>
        <v>3.8855561647815569E-2</v>
      </c>
      <c r="J110" s="15">
        <v>2016</v>
      </c>
      <c r="K110" s="18">
        <f t="shared" si="26"/>
        <v>0.39309809027013665</v>
      </c>
      <c r="L110" s="15">
        <v>2017</v>
      </c>
      <c r="M110" s="18">
        <f t="shared" si="27"/>
        <v>0.5384354121735424</v>
      </c>
      <c r="N110" s="15">
        <v>2018</v>
      </c>
      <c r="O110" s="18">
        <f t="shared" si="28"/>
        <v>2.9610935908505335E-2</v>
      </c>
      <c r="P110" s="15">
        <v>2019</v>
      </c>
      <c r="Q110" s="120">
        <f t="shared" si="29"/>
        <v>0</v>
      </c>
      <c r="R110" s="15">
        <v>2020</v>
      </c>
      <c r="S110" s="120">
        <f t="shared" si="30"/>
        <v>0</v>
      </c>
      <c r="T110" s="18">
        <f t="shared" si="31"/>
        <v>1</v>
      </c>
    </row>
    <row r="112" spans="1:35" x14ac:dyDescent="0.3">
      <c r="H112" s="20" t="s">
        <v>66</v>
      </c>
      <c r="I112" s="18">
        <f>AVERAGE(I80:I110)</f>
        <v>2.2743651152076695E-2</v>
      </c>
      <c r="K112" s="18">
        <f>AVERAGE(K80:K110)</f>
        <v>0.25169561801264095</v>
      </c>
      <c r="M112" s="18">
        <f>AVERAGE(M80:M110)</f>
        <v>0.52451097607300623</v>
      </c>
      <c r="O112" s="18">
        <f>AVERAGE(O80:O110)</f>
        <v>0.19606738913140451</v>
      </c>
      <c r="Q112" s="18">
        <f>AVERAGE(Q80:Q110)</f>
        <v>4.9176595017855701E-3</v>
      </c>
      <c r="S112" s="18">
        <f>AVERAGE(S80:S110)</f>
        <v>6.4706129085894141E-5</v>
      </c>
      <c r="T112" s="18">
        <f>SUM(I112,K112,M112,O112,Q112,S112)</f>
        <v>1</v>
      </c>
    </row>
    <row r="113" spans="8:20" x14ac:dyDescent="0.3">
      <c r="H113" s="20" t="s">
        <v>67</v>
      </c>
      <c r="I113" s="18">
        <f>MEDIAN(I80:I110)</f>
        <v>7.5770094160800636E-3</v>
      </c>
      <c r="K113" s="18">
        <f>MEDIAN(K80:K110)</f>
        <v>0.27229580913020524</v>
      </c>
      <c r="M113" s="18">
        <f>MEDIAN(M80:M110)</f>
        <v>0.52800948988447471</v>
      </c>
      <c r="O113" s="18">
        <f>MEDIAN(O80:O110)</f>
        <v>0.14135502896437158</v>
      </c>
      <c r="Q113" s="18">
        <f>MEDIAN(Q80:Q110)</f>
        <v>0</v>
      </c>
      <c r="S113" s="18">
        <f>MEDIAN(S80:S110)</f>
        <v>0</v>
      </c>
      <c r="T113" s="18">
        <f>SUM(I113,K113,M113,O113,Q113,S113)</f>
        <v>0.94923733739513161</v>
      </c>
    </row>
    <row r="115" spans="8:20" x14ac:dyDescent="0.3">
      <c r="H115" s="140" t="s">
        <v>156</v>
      </c>
      <c r="I115" s="18">
        <f>AVERAGE(I80:I88)</f>
        <v>1.1188446026380789E-2</v>
      </c>
      <c r="K115" s="18">
        <f>AVERAGE(K80:K88)</f>
        <v>0.23537274008926751</v>
      </c>
      <c r="M115" s="18">
        <f>AVERAGE(M80:M88)</f>
        <v>0.47222485523773028</v>
      </c>
      <c r="O115" s="18">
        <f>AVERAGE(O80:O88)</f>
        <v>0.26878417504175645</v>
      </c>
      <c r="Q115" s="18">
        <f>AVERAGE(Q80:Q88)</f>
        <v>1.224285478750569E-2</v>
      </c>
      <c r="S115" s="18">
        <f>AVERAGE(S80:S88)</f>
        <v>1.8692881735924972E-4</v>
      </c>
      <c r="T115" s="18">
        <f>SUM(I115,K115,M115,O115,Q115,S115)</f>
        <v>0.99999999999999989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0C97-D9F8-43DA-B1FE-1565C2119EC8}">
  <dimension ref="A1:AJ115"/>
  <sheetViews>
    <sheetView tabSelected="1" workbookViewId="0">
      <pane xSplit="1" ySplit="5" topLeftCell="H24" activePane="bottomRight" state="frozen"/>
      <selection pane="topRight" activeCell="B1" sqref="B1"/>
      <selection pane="bottomLeft" activeCell="A5" sqref="A5"/>
      <selection pane="bottomRight" activeCell="AE39" sqref="AE39"/>
    </sheetView>
  </sheetViews>
  <sheetFormatPr defaultColWidth="9.109375" defaultRowHeight="14.4" x14ac:dyDescent="0.3"/>
  <cols>
    <col min="1" max="1" width="9.109375" style="12"/>
    <col min="2" max="2" width="11.33203125" style="11" bestFit="1" customWidth="1"/>
    <col min="3" max="5" width="9.33203125" style="11" customWidth="1"/>
    <col min="6" max="7" width="8" style="21" customWidth="1"/>
    <col min="8" max="8" width="7.6640625" style="20" customWidth="1"/>
    <col min="9" max="9" width="6.6640625" style="11" customWidth="1"/>
    <col min="10" max="10" width="6.6640625" style="20" customWidth="1"/>
    <col min="11" max="11" width="6.6640625" style="11" customWidth="1"/>
    <col min="12" max="12" width="6.6640625" style="20" customWidth="1"/>
    <col min="13" max="13" width="6.6640625" style="11" customWidth="1"/>
    <col min="14" max="14" width="6.6640625" style="20" customWidth="1"/>
    <col min="15" max="15" width="6.6640625" style="11" customWidth="1"/>
    <col min="16" max="16" width="6.6640625" style="20" customWidth="1"/>
    <col min="17" max="17" width="6.6640625" style="11" customWidth="1"/>
    <col min="18" max="18" width="6.6640625" style="20" customWidth="1"/>
    <col min="19" max="19" width="6.6640625" style="11" customWidth="1"/>
    <col min="20" max="20" width="7.33203125" style="11" customWidth="1"/>
    <col min="21" max="21" width="6.6640625" style="12" customWidth="1"/>
    <col min="22" max="23" width="6.6640625" style="17" customWidth="1"/>
    <col min="24" max="24" width="6.6640625" style="12" customWidth="1"/>
    <col min="25" max="25" width="19.44140625" style="12" customWidth="1"/>
    <col min="26" max="26" width="10.88671875" style="12" customWidth="1"/>
    <col min="27" max="28" width="9.109375" style="12" customWidth="1"/>
    <col min="29" max="29" width="9.109375" style="12"/>
    <col min="30" max="30" width="12.6640625" style="12" bestFit="1" customWidth="1"/>
    <col min="31" max="34" width="9.109375" style="12"/>
    <col min="35" max="35" width="20" style="12" customWidth="1"/>
    <col min="36" max="16384" width="9.109375" style="12"/>
  </cols>
  <sheetData>
    <row r="1" spans="1:26" ht="18" x14ac:dyDescent="0.35">
      <c r="A1" s="74" t="s">
        <v>166</v>
      </c>
    </row>
    <row r="2" spans="1:26" ht="15.6" x14ac:dyDescent="0.3">
      <c r="A2" s="59" t="s">
        <v>160</v>
      </c>
    </row>
    <row r="3" spans="1:26" x14ac:dyDescent="0.3">
      <c r="H3" s="13"/>
    </row>
    <row r="4" spans="1:26" x14ac:dyDescent="0.3">
      <c r="A4" s="30"/>
      <c r="B4" s="39"/>
      <c r="C4" s="37"/>
      <c r="D4" s="37"/>
      <c r="E4" s="37"/>
      <c r="F4" s="37"/>
      <c r="G4" s="37"/>
      <c r="H4" s="31" t="s">
        <v>50</v>
      </c>
      <c r="I4" s="32"/>
      <c r="J4" s="33"/>
      <c r="K4" s="34"/>
      <c r="L4" s="35"/>
      <c r="M4" s="34"/>
      <c r="N4" s="35"/>
      <c r="O4" s="34"/>
      <c r="P4" s="35"/>
      <c r="Q4" s="34"/>
      <c r="R4" s="35"/>
      <c r="S4" s="34"/>
      <c r="U4" s="14"/>
    </row>
    <row r="5" spans="1:26" x14ac:dyDescent="0.3">
      <c r="A5" s="28" t="s">
        <v>0</v>
      </c>
      <c r="B5" s="38" t="s">
        <v>1</v>
      </c>
      <c r="C5" s="38" t="s">
        <v>9</v>
      </c>
      <c r="D5" s="38" t="s">
        <v>27</v>
      </c>
      <c r="E5" s="38" t="s">
        <v>13</v>
      </c>
      <c r="F5" s="38" t="s">
        <v>52</v>
      </c>
      <c r="G5" s="38" t="s">
        <v>62</v>
      </c>
      <c r="H5" s="29" t="s">
        <v>0</v>
      </c>
      <c r="I5" s="29" t="s">
        <v>43</v>
      </c>
      <c r="J5" s="29"/>
      <c r="K5" s="29" t="s">
        <v>44</v>
      </c>
      <c r="L5" s="29"/>
      <c r="M5" s="29" t="s">
        <v>45</v>
      </c>
      <c r="N5" s="29"/>
      <c r="O5" s="29" t="s">
        <v>46</v>
      </c>
      <c r="P5" s="29"/>
      <c r="Q5" s="29" t="s">
        <v>47</v>
      </c>
      <c r="R5" s="29"/>
      <c r="S5" s="29" t="s">
        <v>48</v>
      </c>
      <c r="T5" s="16"/>
      <c r="U5" s="21" t="s">
        <v>63</v>
      </c>
      <c r="V5" s="21" t="s">
        <v>64</v>
      </c>
      <c r="X5" s="16"/>
      <c r="Y5" s="16"/>
      <c r="Z5" s="16"/>
    </row>
    <row r="6" spans="1:26" x14ac:dyDescent="0.3">
      <c r="A6" s="17">
        <v>1982</v>
      </c>
      <c r="B6" s="11">
        <f>'Summary Data'!C6</f>
        <v>455.8408662342689</v>
      </c>
      <c r="C6" s="11">
        <f>'Summary Data'!H6</f>
        <v>97</v>
      </c>
      <c r="D6" s="11">
        <f>SUM(B6:C6)</f>
        <v>552.8408662342689</v>
      </c>
      <c r="E6" s="11">
        <f t="shared" ref="E6:E39" si="0">SUM(I6,K6,M6,O6,Q6,S6)</f>
        <v>6855.6678088028229</v>
      </c>
      <c r="F6" s="119">
        <f>E6/B6</f>
        <v>15.0396077153809</v>
      </c>
      <c r="G6" s="40">
        <f>LN(F6)</f>
        <v>2.7106872354276033</v>
      </c>
      <c r="H6" s="25">
        <v>1985</v>
      </c>
      <c r="I6" s="24">
        <f>B9*SUM('Escapement Age'!S9:T9)+C9*'Escapement Age'!S9</f>
        <v>75.455570010196638</v>
      </c>
      <c r="J6" s="25">
        <v>1986</v>
      </c>
      <c r="K6" s="24">
        <f>B10*SUM('Escapement Age'!U10:W10)+C10*SUM('Escapement Age'!U10:V10)</f>
        <v>1807.8225981792191</v>
      </c>
      <c r="L6" s="25">
        <v>1987</v>
      </c>
      <c r="M6" s="24">
        <f>B11*SUM('Escapement Age'!X11:Z11)+C11*SUM('Escapement Age'!X11:Y11)</f>
        <v>4612.102372369638</v>
      </c>
      <c r="N6" s="25">
        <v>1988</v>
      </c>
      <c r="O6" s="24">
        <f>B12*SUM('Escapement Age'!AA12:AC12)+'Run Reconstruction 3'!C12*SUM('Escapement Age'!AA12:AC12)</f>
        <v>339.78668492119061</v>
      </c>
      <c r="P6" s="25">
        <v>1989</v>
      </c>
      <c r="Q6" s="24">
        <f>B13*SUM('Escapement Age'!AD13:AF13)+C13*SUM('Escapement Age'!AD13:AF13)</f>
        <v>20.500583322578365</v>
      </c>
      <c r="R6" s="25">
        <v>1990</v>
      </c>
      <c r="S6" s="24">
        <f>B14*SUM('Escapement Age'!AG14)+C14*SUM('Escapement Age'!AG14)</f>
        <v>0</v>
      </c>
      <c r="U6" s="21">
        <f t="shared" ref="U6:U37" si="1">B6/1000</f>
        <v>0.45584086623426889</v>
      </c>
      <c r="V6" s="21">
        <f t="shared" ref="V6:V37" si="2">E6/1000</f>
        <v>6.8556678088028233</v>
      </c>
      <c r="X6" s="18"/>
      <c r="Y6" s="18"/>
      <c r="Z6" s="18"/>
    </row>
    <row r="7" spans="1:26" x14ac:dyDescent="0.3">
      <c r="A7" s="17">
        <v>1983</v>
      </c>
      <c r="B7" s="11">
        <f>'Summary Data'!C7</f>
        <v>2539.7855103785087</v>
      </c>
      <c r="C7" s="11">
        <f>'Summary Data'!H7</f>
        <v>36</v>
      </c>
      <c r="D7" s="11">
        <f t="shared" ref="D7:D39" si="3">SUM(B7:C7)</f>
        <v>2575.7855103785087</v>
      </c>
      <c r="E7" s="11">
        <f t="shared" si="0"/>
        <v>12843.28833940016</v>
      </c>
      <c r="F7" s="119">
        <f t="shared" ref="F7:F37" si="4">E7/B7</f>
        <v>5.0568397555296327</v>
      </c>
      <c r="G7" s="40">
        <f t="shared" ref="G7:G37" si="5">LN(F7)</f>
        <v>1.6207417339409731</v>
      </c>
      <c r="H7" s="25">
        <v>1986</v>
      </c>
      <c r="I7" s="24">
        <f>B10*SUM('Escapement Age'!S10:T10)+C10*'Escapement Age'!S10</f>
        <v>68.625317817510279</v>
      </c>
      <c r="J7" s="25">
        <v>1987</v>
      </c>
      <c r="K7" s="24">
        <f>B11*SUM('Escapement Age'!U11:W11)+C11*SUM('Escapement Age'!U11:V11)</f>
        <v>5948.6908477009374</v>
      </c>
      <c r="L7" s="25">
        <v>1988</v>
      </c>
      <c r="M7" s="24">
        <f>B12*SUM('Escapement Age'!X12:Z12)+C12*SUM('Escapement Age'!X12:Y12)</f>
        <v>2786.2508163537632</v>
      </c>
      <c r="N7" s="25">
        <v>1989</v>
      </c>
      <c r="O7" s="24">
        <f>B13*SUM('Escapement Age'!AA13:AC13)+'Run Reconstruction 3'!C13*SUM('Escapement Age'!AA13:AC13)</f>
        <v>4018.1143312253589</v>
      </c>
      <c r="P7" s="25">
        <v>1990</v>
      </c>
      <c r="Q7" s="24">
        <f>B14*SUM('Escapement Age'!AD14:AF14)+C14*SUM('Escapement Age'!AD14:AF14)</f>
        <v>0</v>
      </c>
      <c r="R7" s="25">
        <v>1991</v>
      </c>
      <c r="S7" s="24">
        <f>B15*SUM('Escapement Age'!AG15)+C15*SUM('Escapement Age'!AG15)</f>
        <v>21.60702630259123</v>
      </c>
      <c r="U7" s="21">
        <f t="shared" si="1"/>
        <v>2.5397855103785085</v>
      </c>
      <c r="V7" s="21">
        <f t="shared" si="2"/>
        <v>12.843288339400161</v>
      </c>
      <c r="X7" s="18"/>
      <c r="Y7" s="18"/>
      <c r="Z7" s="18"/>
    </row>
    <row r="8" spans="1:26" x14ac:dyDescent="0.3">
      <c r="A8" s="17">
        <v>1984</v>
      </c>
      <c r="B8" s="11">
        <f>'Summary Data'!C8</f>
        <v>11579.406940083547</v>
      </c>
      <c r="C8" s="11">
        <f>'Summary Data'!H8</f>
        <v>175</v>
      </c>
      <c r="D8" s="11">
        <f t="shared" si="3"/>
        <v>11754.406940083547</v>
      </c>
      <c r="E8" s="11">
        <f t="shared" si="0"/>
        <v>50074.937573870666</v>
      </c>
      <c r="F8" s="119">
        <f t="shared" si="4"/>
        <v>4.3244820596580027</v>
      </c>
      <c r="G8" s="40">
        <f t="shared" si="5"/>
        <v>1.4642923782202717</v>
      </c>
      <c r="H8" s="25">
        <v>1987</v>
      </c>
      <c r="I8" s="24">
        <f>B11*SUM('Escapement Age'!S11:T11)+C11*'Escapement Age'!S11</f>
        <v>94.201613399815997</v>
      </c>
      <c r="J8" s="25">
        <v>1988</v>
      </c>
      <c r="K8" s="24">
        <f>B12*SUM('Escapement Age'!U12:W12)+C12*SUM('Escapement Age'!U12:V12)</f>
        <v>465.99316789191863</v>
      </c>
      <c r="L8" s="25">
        <v>1989</v>
      </c>
      <c r="M8" s="24">
        <f>B13*SUM('Escapement Age'!X13:Z13)+C13*SUM('Escapement Age'!X13:Y13)</f>
        <v>27202.666648355324</v>
      </c>
      <c r="N8" s="25">
        <v>1990</v>
      </c>
      <c r="O8" s="24">
        <f>B14*SUM('Escapement Age'!AA14:AC14)+'Run Reconstruction 3'!C14*SUM('Escapement Age'!AA14:AC14)</f>
        <v>21080.475644975904</v>
      </c>
      <c r="P8" s="25">
        <v>1991</v>
      </c>
      <c r="Q8" s="24">
        <f>B15*SUM('Escapement Age'!AD15:AF15)+C15*SUM('Escapement Age'!AD15:AF15)</f>
        <v>1231.6004992477001</v>
      </c>
      <c r="R8" s="25">
        <v>1992</v>
      </c>
      <c r="S8" s="24">
        <f>B16*SUM('Escapement Age'!AG16)+C16*SUM('Escapement Age'!AG16)</f>
        <v>0</v>
      </c>
      <c r="U8" s="21">
        <f t="shared" si="1"/>
        <v>11.579406940083548</v>
      </c>
      <c r="V8" s="21">
        <f t="shared" si="2"/>
        <v>50.074937573870663</v>
      </c>
      <c r="X8" s="18"/>
      <c r="Y8" s="18"/>
      <c r="Z8" s="18"/>
    </row>
    <row r="9" spans="1:26" x14ac:dyDescent="0.3">
      <c r="A9" s="17">
        <v>1985</v>
      </c>
      <c r="B9" s="11">
        <f>'Summary Data'!C9</f>
        <v>10991.361364818644</v>
      </c>
      <c r="C9" s="11">
        <f>'Summary Data'!H9</f>
        <v>238</v>
      </c>
      <c r="D9" s="11">
        <f t="shared" si="3"/>
        <v>11229.361364818644</v>
      </c>
      <c r="E9" s="11">
        <f t="shared" si="0"/>
        <v>96153.770907218423</v>
      </c>
      <c r="F9" s="119">
        <f t="shared" si="4"/>
        <v>8.7481220674801232</v>
      </c>
      <c r="G9" s="40">
        <f t="shared" si="5"/>
        <v>2.1688390564757563</v>
      </c>
      <c r="H9" s="25">
        <v>1988</v>
      </c>
      <c r="I9" s="24">
        <f>B12*SUM('Escapement Age'!S12:T12)+C12*'Escapement Age'!S12</f>
        <v>0</v>
      </c>
      <c r="J9" s="25">
        <v>1989</v>
      </c>
      <c r="K9" s="24">
        <f>B13*SUM('Escapement Age'!U13:W13)+C13*SUM('Escapement Age'!U13:V13)</f>
        <v>2775.6397293548494</v>
      </c>
      <c r="L9" s="25">
        <v>1990</v>
      </c>
      <c r="M9" s="24">
        <f>B14*SUM('Escapement Age'!X14:Z14)+C14*SUM('Escapement Age'!X14:Y14)</f>
        <v>53395.456274400043</v>
      </c>
      <c r="N9" s="25">
        <v>1991</v>
      </c>
      <c r="O9" s="24">
        <f>B15*SUM('Escapement Age'!AA15:AC15)+'Run Reconstruction 3'!C15*SUM('Escapement Age'!AA15:AC15)</f>
        <v>39778.535423070454</v>
      </c>
      <c r="P9" s="25">
        <v>1992</v>
      </c>
      <c r="Q9" s="24">
        <f>B16*SUM('Escapement Age'!AD16:AF16)+C16*SUM('Escapement Age'!AD16:AF16)</f>
        <v>204.13948039306837</v>
      </c>
      <c r="R9" s="25">
        <v>1993</v>
      </c>
      <c r="S9" s="24">
        <f>B17*SUM('Escapement Age'!AG17)+C17*SUM('Escapement Age'!AG17)</f>
        <v>0</v>
      </c>
      <c r="U9" s="21">
        <f t="shared" si="1"/>
        <v>10.991361364818644</v>
      </c>
      <c r="V9" s="21">
        <f t="shared" si="2"/>
        <v>96.153770907218416</v>
      </c>
      <c r="X9" s="18"/>
      <c r="Y9" s="18"/>
      <c r="Z9" s="18"/>
    </row>
    <row r="10" spans="1:26" x14ac:dyDescent="0.3">
      <c r="A10" s="17">
        <v>1986</v>
      </c>
      <c r="B10" s="11">
        <f>'Summary Data'!C10</f>
        <v>9798.1703772778565</v>
      </c>
      <c r="C10" s="11">
        <f>'Summary Data'!H10</f>
        <v>98</v>
      </c>
      <c r="D10" s="11">
        <f t="shared" si="3"/>
        <v>9896.1703772778565</v>
      </c>
      <c r="E10" s="11">
        <f t="shared" si="0"/>
        <v>10915.723869799616</v>
      </c>
      <c r="F10" s="119">
        <f t="shared" si="4"/>
        <v>1.1140573647416243</v>
      </c>
      <c r="G10" s="40">
        <f t="shared" si="5"/>
        <v>0.10800863456137061</v>
      </c>
      <c r="H10" s="25">
        <v>1989</v>
      </c>
      <c r="I10" s="24">
        <f>B13*SUM('Escapement Age'!S13:T13)+C13*'Escapement Age'!S13</f>
        <v>151.14530093131512</v>
      </c>
      <c r="J10" s="25">
        <v>1990</v>
      </c>
      <c r="K10" s="24">
        <f>B14*SUM('Escapement Age'!U14:W14)+C14*SUM('Escapement Age'!U14:V14)</f>
        <v>4221.5121922079315</v>
      </c>
      <c r="L10" s="25">
        <v>1991</v>
      </c>
      <c r="M10" s="24">
        <f>B15*SUM('Escapement Age'!X15:Z15)+C15*SUM('Escapement Age'!X15:Y15)</f>
        <v>3238.2930564997951</v>
      </c>
      <c r="N10" s="25">
        <v>1992</v>
      </c>
      <c r="O10" s="24">
        <f>B16*SUM('Escapement Age'!AA16:AC16)+'Run Reconstruction 3'!C16*SUM('Escapement Age'!AA16:AC16)</f>
        <v>3038.5376504660567</v>
      </c>
      <c r="P10" s="25">
        <v>1993</v>
      </c>
      <c r="Q10" s="24">
        <f>B17*SUM('Escapement Age'!AD17:AF17)+C17*SUM('Escapement Age'!AD17:AF17)</f>
        <v>266.23566969451633</v>
      </c>
      <c r="R10" s="25">
        <v>1994</v>
      </c>
      <c r="S10" s="24">
        <f>B18*SUM('Escapement Age'!AG18)+C18*SUM('Escapement Age'!AG18)</f>
        <v>0</v>
      </c>
      <c r="U10" s="21">
        <f t="shared" si="1"/>
        <v>9.7981703772778559</v>
      </c>
      <c r="V10" s="21">
        <f t="shared" si="2"/>
        <v>10.915723869799617</v>
      </c>
      <c r="X10" s="18"/>
      <c r="Y10" s="18"/>
      <c r="Z10" s="18"/>
    </row>
    <row r="11" spans="1:26" x14ac:dyDescent="0.3">
      <c r="A11" s="17">
        <v>1987</v>
      </c>
      <c r="B11" s="11">
        <f>'Summary Data'!C11</f>
        <v>14251.358370057878</v>
      </c>
      <c r="C11" s="11">
        <f>'Summary Data'!H11</f>
        <v>285</v>
      </c>
      <c r="D11" s="11">
        <f t="shared" si="3"/>
        <v>14536.358370057878</v>
      </c>
      <c r="E11" s="11">
        <f t="shared" si="0"/>
        <v>14253.97142045392</v>
      </c>
      <c r="F11" s="119">
        <f t="shared" si="4"/>
        <v>1.0001833544794951</v>
      </c>
      <c r="G11" s="40">
        <f t="shared" si="5"/>
        <v>1.8333767211699991E-4</v>
      </c>
      <c r="H11" s="25">
        <v>1990</v>
      </c>
      <c r="I11" s="24">
        <f>B14*SUM('Escapement Age'!S14:T14)+C14*'Escapement Age'!S14</f>
        <v>466.48969982479201</v>
      </c>
      <c r="J11" s="25">
        <v>1991</v>
      </c>
      <c r="K11" s="24">
        <f>B15*SUM('Escapement Age'!U15:W15)+C15*SUM('Escapement Age'!U15:V15)</f>
        <v>4196.3247108634368</v>
      </c>
      <c r="L11" s="25">
        <v>1992</v>
      </c>
      <c r="M11" s="24">
        <f>B16*SUM('Escapement Age'!X16:Z16)+C16*SUM('Escapement Age'!X16:Y16)</f>
        <v>4694.5996153056331</v>
      </c>
      <c r="N11" s="25">
        <v>1993</v>
      </c>
      <c r="O11" s="24">
        <f>B17*SUM('Escapement Age'!AA17:AC17)+'Run Reconstruction 3'!C17*SUM('Escapement Age'!AA17:AC17)</f>
        <v>4150.8561229645047</v>
      </c>
      <c r="P11" s="25">
        <v>1994</v>
      </c>
      <c r="Q11" s="24">
        <f>B18*SUM('Escapement Age'!AD18:AF18)+C18*SUM('Escapement Age'!AD18:AF18)</f>
        <v>745.70127149555219</v>
      </c>
      <c r="R11" s="25">
        <v>1995</v>
      </c>
      <c r="S11" s="24">
        <f>B19*SUM('Escapement Age'!AG19)+C19*SUM('Escapement Age'!AG19)</f>
        <v>0</v>
      </c>
      <c r="U11" s="21">
        <f t="shared" si="1"/>
        <v>14.251358370057879</v>
      </c>
      <c r="V11" s="21">
        <f t="shared" si="2"/>
        <v>14.253971420453919</v>
      </c>
      <c r="X11" s="18"/>
      <c r="Y11" s="18"/>
      <c r="Z11" s="18"/>
    </row>
    <row r="12" spans="1:26" x14ac:dyDescent="0.3">
      <c r="A12" s="17">
        <v>1988</v>
      </c>
      <c r="B12" s="11">
        <f>'Summary Data'!C12</f>
        <v>3252.0306691668725</v>
      </c>
      <c r="C12" s="11">
        <f>'Summary Data'!H12</f>
        <v>340</v>
      </c>
      <c r="D12" s="11">
        <f t="shared" si="3"/>
        <v>3592.0306691668725</v>
      </c>
      <c r="E12" s="11">
        <f t="shared" si="0"/>
        <v>32610.62152360475</v>
      </c>
      <c r="F12" s="119">
        <f t="shared" si="4"/>
        <v>10.027771826628918</v>
      </c>
      <c r="G12" s="40">
        <f t="shared" si="5"/>
        <v>2.3053584264102267</v>
      </c>
      <c r="H12" s="25">
        <v>1991</v>
      </c>
      <c r="I12" s="24">
        <f>B15*SUM('Escapement Age'!S15:T15)+C15*'Escapement Age'!S15</f>
        <v>101.13290929073392</v>
      </c>
      <c r="J12" s="25">
        <v>1992</v>
      </c>
      <c r="K12" s="24">
        <f>B16*SUM('Escapement Age'!U16:W16)+C16*SUM('Escapement Age'!U16:V16)</f>
        <v>1736.5724933840031</v>
      </c>
      <c r="L12" s="25">
        <v>1993</v>
      </c>
      <c r="M12" s="24">
        <f>B17*SUM('Escapement Age'!X17:Z17)+C17*SUM('Escapement Age'!X17:Y17)</f>
        <v>14049.982387060612</v>
      </c>
      <c r="N12" s="25">
        <v>1994</v>
      </c>
      <c r="O12" s="24">
        <f>B18*SUM('Escapement Age'!AA18:AC18)+'Run Reconstruction 3'!C18*SUM('Escapement Age'!AA18:AC18)</f>
        <v>16618.485479043735</v>
      </c>
      <c r="P12" s="25">
        <v>1995</v>
      </c>
      <c r="Q12" s="24">
        <f>B19*SUM('Escapement Age'!AD19:AF19)+C19*SUM('Escapement Age'!AD19:AF19)</f>
        <v>104.44825482566539</v>
      </c>
      <c r="R12" s="25">
        <v>1996</v>
      </c>
      <c r="S12" s="24">
        <f>B20*SUM('Escapement Age'!AG20)+C20*SUM('Escapement Age'!AG20)</f>
        <v>0</v>
      </c>
      <c r="U12" s="21">
        <f t="shared" si="1"/>
        <v>3.2520306691668726</v>
      </c>
      <c r="V12" s="21">
        <f t="shared" si="2"/>
        <v>32.610621523604749</v>
      </c>
      <c r="X12" s="18"/>
      <c r="Y12" s="18"/>
      <c r="Z12" s="18"/>
    </row>
    <row r="13" spans="1:26" x14ac:dyDescent="0.3">
      <c r="A13" s="17">
        <v>1989</v>
      </c>
      <c r="B13" s="11">
        <f>'Summary Data'!C13</f>
        <v>31570.474732028444</v>
      </c>
      <c r="C13" s="11">
        <f>'Summary Data'!H13</f>
        <v>2686</v>
      </c>
      <c r="D13" s="11">
        <f t="shared" si="3"/>
        <v>34256.474732028444</v>
      </c>
      <c r="E13" s="11">
        <f t="shared" si="0"/>
        <v>27573.431342598109</v>
      </c>
      <c r="F13" s="119">
        <f t="shared" si="4"/>
        <v>0.87339299065479969</v>
      </c>
      <c r="G13" s="40">
        <f t="shared" si="5"/>
        <v>-0.13536966331804387</v>
      </c>
      <c r="H13" s="25">
        <v>1992</v>
      </c>
      <c r="I13" s="24">
        <f>B16*SUM('Escapement Age'!S16:T16)+C16*'Escapement Age'!S16</f>
        <v>738.66910467995558</v>
      </c>
      <c r="J13" s="25">
        <v>1993</v>
      </c>
      <c r="K13" s="24">
        <f>B17*SUM('Escapement Age'!U17:W17)+C17*SUM('Escapement Age'!U17:V17)</f>
        <v>9320.6458769037836</v>
      </c>
      <c r="L13" s="25">
        <v>1994</v>
      </c>
      <c r="M13" s="24">
        <f>B18*SUM('Escapement Age'!X18:Z18)+C18*SUM('Escapement Age'!X18:Y18)</f>
        <v>15444.282198360985</v>
      </c>
      <c r="N13" s="25">
        <v>1995</v>
      </c>
      <c r="O13" s="24">
        <f>B19*SUM('Escapement Age'!AA19:AC19)+'Run Reconstruction 3'!C19*SUM('Escapement Age'!AA19:AC19)</f>
        <v>2054.1490115714191</v>
      </c>
      <c r="P13" s="25">
        <v>1996</v>
      </c>
      <c r="Q13" s="24">
        <f>B20*SUM('Escapement Age'!AD20:AF20)+C20*SUM('Escapement Age'!AD20:AF20)</f>
        <v>15.68515108196841</v>
      </c>
      <c r="R13" s="25">
        <v>1997</v>
      </c>
      <c r="S13" s="24">
        <f>B21*SUM('Escapement Age'!AG21)+C21*SUM('Escapement Age'!AG21)</f>
        <v>0</v>
      </c>
      <c r="U13" s="21">
        <f t="shared" si="1"/>
        <v>31.570474732028444</v>
      </c>
      <c r="V13" s="21">
        <f t="shared" si="2"/>
        <v>27.573431342598109</v>
      </c>
      <c r="X13" s="18"/>
      <c r="Y13" s="18"/>
      <c r="Z13" s="18"/>
    </row>
    <row r="14" spans="1:26" x14ac:dyDescent="0.3">
      <c r="A14" s="17">
        <v>1990</v>
      </c>
      <c r="B14" s="11">
        <f>'Summary Data'!C14</f>
        <v>73180.571660014248</v>
      </c>
      <c r="C14" s="11">
        <f>'Summary Data'!H14</f>
        <v>6029</v>
      </c>
      <c r="D14" s="11">
        <f t="shared" si="3"/>
        <v>79209.571660014248</v>
      </c>
      <c r="E14" s="11">
        <f t="shared" si="0"/>
        <v>44788.022839745063</v>
      </c>
      <c r="F14" s="119">
        <f t="shared" si="4"/>
        <v>0.6120206746651744</v>
      </c>
      <c r="G14" s="40">
        <f t="shared" si="5"/>
        <v>-0.49098921490777647</v>
      </c>
      <c r="H14" s="25">
        <v>1993</v>
      </c>
      <c r="I14" s="24">
        <f>B17*SUM('Escapement Age'!S17:T17)+C17*'Escapement Age'!S17</f>
        <v>268.78462484819488</v>
      </c>
      <c r="J14" s="25">
        <v>1994</v>
      </c>
      <c r="K14" s="24">
        <f>B18*SUM('Escapement Age'!U18:W18)+C18*SUM('Escapement Age'!U18:V18)</f>
        <v>12580.691294616545</v>
      </c>
      <c r="L14" s="25">
        <v>1995</v>
      </c>
      <c r="M14" s="24">
        <f>B19*SUM('Escapement Age'!X19:Z19)+C19*SUM('Escapement Age'!X19:Y19)</f>
        <v>28879.942459296479</v>
      </c>
      <c r="N14" s="25">
        <v>1996</v>
      </c>
      <c r="O14" s="24">
        <f>B20*SUM('Escapement Age'!AA20:AC20)+'Run Reconstruction 3'!C20*SUM('Escapement Age'!AA20:AC20)</f>
        <v>3058.60446098384</v>
      </c>
      <c r="P14" s="25">
        <v>1997</v>
      </c>
      <c r="Q14" s="24">
        <f>B21*SUM('Escapement Age'!AD21:AF21)+C21*SUM('Escapement Age'!AD21:AF21)</f>
        <v>0</v>
      </c>
      <c r="R14" s="25">
        <v>1998</v>
      </c>
      <c r="S14" s="26">
        <v>0</v>
      </c>
      <c r="U14" s="21">
        <f t="shared" si="1"/>
        <v>73.180571660014252</v>
      </c>
      <c r="V14" s="21">
        <f t="shared" si="2"/>
        <v>44.788022839745061</v>
      </c>
      <c r="X14" s="18"/>
      <c r="Y14" s="18"/>
      <c r="Z14" s="18"/>
    </row>
    <row r="15" spans="1:26" x14ac:dyDescent="0.3">
      <c r="A15" s="17">
        <v>1991</v>
      </c>
      <c r="B15" s="11">
        <f>'Summary Data'!C15</f>
        <v>45509.809180830263</v>
      </c>
      <c r="C15" s="11">
        <f>'Summary Data'!H15</f>
        <v>3106</v>
      </c>
      <c r="D15" s="11">
        <f t="shared" si="3"/>
        <v>48615.809180830263</v>
      </c>
      <c r="E15" s="11">
        <f t="shared" si="0"/>
        <v>35969.972988545589</v>
      </c>
      <c r="F15" s="119">
        <f t="shared" si="4"/>
        <v>0.79037846205026352</v>
      </c>
      <c r="G15" s="40">
        <f t="shared" si="5"/>
        <v>-0.23524338235008607</v>
      </c>
      <c r="H15" s="25">
        <v>1994</v>
      </c>
      <c r="I15" s="24">
        <f>B18*SUM('Escapement Age'!S18:T18)+C18*'Escapement Age'!S18</f>
        <v>384.19488186101904</v>
      </c>
      <c r="J15" s="25">
        <v>1995</v>
      </c>
      <c r="K15" s="24">
        <f>B19*SUM('Escapement Age'!U19:W19)+C19*SUM('Escapement Age'!U19:V19)</f>
        <v>5419.2377886806571</v>
      </c>
      <c r="L15" s="25">
        <v>1996</v>
      </c>
      <c r="M15" s="24">
        <f>B20*SUM('Escapement Age'!X20:Z20)+C20*SUM('Escapement Age'!X20:Y20)</f>
        <v>14775.412319214242</v>
      </c>
      <c r="N15" s="25">
        <v>1997</v>
      </c>
      <c r="O15" s="24">
        <f>B21*SUM('Escapement Age'!AA21:AC21)+'Run Reconstruction 3'!C21*SUM('Escapement Age'!AA21:AC21)</f>
        <v>15148.316879979462</v>
      </c>
      <c r="P15" s="25">
        <v>1998</v>
      </c>
      <c r="Q15" s="26">
        <f>$D$22*Q$112</f>
        <v>242.8111188102049</v>
      </c>
      <c r="R15" s="25">
        <v>1999</v>
      </c>
      <c r="S15" s="24">
        <f>B23*SUM('Escapement Age'!AG23)+C23*SUM('Escapement Age'!AG23)</f>
        <v>0</v>
      </c>
      <c r="U15" s="21">
        <f t="shared" si="1"/>
        <v>45.50980918083026</v>
      </c>
      <c r="V15" s="21">
        <f t="shared" si="2"/>
        <v>35.969972988545592</v>
      </c>
      <c r="X15" s="18"/>
      <c r="Y15" s="18"/>
      <c r="Z15" s="18"/>
    </row>
    <row r="16" spans="1:26" x14ac:dyDescent="0.3">
      <c r="A16" s="17">
        <v>1992</v>
      </c>
      <c r="B16" s="11">
        <f>'Summary Data'!C16</f>
        <v>10325.816536999801</v>
      </c>
      <c r="C16" s="11">
        <f>'Summary Data'!H16</f>
        <v>101</v>
      </c>
      <c r="D16" s="11">
        <f t="shared" si="3"/>
        <v>10426.816536999801</v>
      </c>
      <c r="E16" s="11">
        <f t="shared" si="0"/>
        <v>36268.559917558669</v>
      </c>
      <c r="F16" s="119">
        <f t="shared" si="4"/>
        <v>3.512415680406483</v>
      </c>
      <c r="G16" s="40">
        <f t="shared" si="5"/>
        <v>1.2563040287935001</v>
      </c>
      <c r="H16" s="25">
        <v>1995</v>
      </c>
      <c r="I16" s="24">
        <f>B19*SUM('Escapement Age'!S19:T19)+C19*'Escapement Age'!S19</f>
        <v>3173.9954494901835</v>
      </c>
      <c r="J16" s="25">
        <v>1996</v>
      </c>
      <c r="K16" s="24">
        <f>B20*SUM('Escapement Age'!U20:W20)+C20*SUM('Escapement Age'!U20:V20)</f>
        <v>6196.640353875634</v>
      </c>
      <c r="L16" s="25">
        <v>1997</v>
      </c>
      <c r="M16" s="24">
        <f>B21*SUM('Escapement Age'!X21:Z21)+C21*SUM('Escapement Age'!X21:Y21)</f>
        <v>17217.029757862118</v>
      </c>
      <c r="N16" s="25">
        <v>1998</v>
      </c>
      <c r="O16" s="26">
        <f>$D$22*O$112</f>
        <v>9680.8943563307348</v>
      </c>
      <c r="P16" s="25">
        <v>1999</v>
      </c>
      <c r="Q16" s="24">
        <f>B23*SUM('Escapement Age'!AD23:AF23)+C23*SUM('Escapement Age'!AD23:AF23)</f>
        <v>0</v>
      </c>
      <c r="R16" s="25">
        <v>2000</v>
      </c>
      <c r="S16" s="24">
        <f>B24*SUM('Escapement Age'!AG24)+C24*SUM('Escapement Age'!AG24)</f>
        <v>0</v>
      </c>
      <c r="U16" s="21">
        <f t="shared" si="1"/>
        <v>10.325816536999801</v>
      </c>
      <c r="V16" s="21">
        <f t="shared" si="2"/>
        <v>36.268559917558669</v>
      </c>
      <c r="X16" s="18"/>
      <c r="Y16" s="18"/>
      <c r="Z16" s="18"/>
    </row>
    <row r="17" spans="1:31" x14ac:dyDescent="0.3">
      <c r="A17" s="17">
        <v>1993</v>
      </c>
      <c r="B17" s="11">
        <f>'Summary Data'!C17</f>
        <v>25018.47288086998</v>
      </c>
      <c r="C17" s="11">
        <f>'Summary Data'!H17</f>
        <v>3142</v>
      </c>
      <c r="D17" s="11">
        <f t="shared" si="3"/>
        <v>28160.47288086998</v>
      </c>
      <c r="E17" s="11">
        <f t="shared" si="0"/>
        <v>41650.14892979771</v>
      </c>
      <c r="F17" s="119">
        <f t="shared" si="4"/>
        <v>1.6647758289693575</v>
      </c>
      <c r="G17" s="40">
        <f t="shared" si="5"/>
        <v>0.50969047711235704</v>
      </c>
      <c r="H17" s="25">
        <v>1996</v>
      </c>
      <c r="I17" s="24">
        <f>B20*SUM('Escapement Age'!S20:T20)+C20*'Escapement Age'!S20</f>
        <v>584.58164386895123</v>
      </c>
      <c r="J17" s="25">
        <v>1997</v>
      </c>
      <c r="K17" s="24">
        <f>B21*SUM('Escapement Age'!U21:W21)+C21*SUM('Escapement Age'!U21:V21)</f>
        <v>4583.23677724154</v>
      </c>
      <c r="L17" s="25">
        <v>1998</v>
      </c>
      <c r="M17" s="26">
        <f>$D$22*M$112</f>
        <v>25897.908727165173</v>
      </c>
      <c r="N17" s="25">
        <v>1999</v>
      </c>
      <c r="O17" s="24">
        <f>B23*SUM('Escapement Age'!AA23:AC23)+'Run Reconstruction 3'!C23*SUM('Escapement Age'!AA23:AC23)</f>
        <v>10584.421781522049</v>
      </c>
      <c r="P17" s="25">
        <v>2000</v>
      </c>
      <c r="Q17" s="24">
        <f>B24*SUM('Escapement Age'!AD24:AF24)+C24*SUM('Escapement Age'!AD24:AF24)</f>
        <v>0</v>
      </c>
      <c r="R17" s="25">
        <v>2001</v>
      </c>
      <c r="S17" s="24">
        <f>B25*SUM('Escapement Age'!AG25)+C25*SUM('Escapement Age'!AG25)</f>
        <v>0</v>
      </c>
      <c r="U17" s="21">
        <f t="shared" si="1"/>
        <v>25.018472880869979</v>
      </c>
      <c r="V17" s="21">
        <f t="shared" si="2"/>
        <v>41.650148929797709</v>
      </c>
      <c r="X17" s="18"/>
      <c r="Y17" s="18"/>
      <c r="Z17" s="18"/>
    </row>
    <row r="18" spans="1:31" x14ac:dyDescent="0.3">
      <c r="A18" s="17">
        <v>1994</v>
      </c>
      <c r="B18" s="11">
        <f>'Summary Data'!C18</f>
        <v>39710.382989154925</v>
      </c>
      <c r="C18" s="11">
        <f>'Summary Data'!H18</f>
        <v>6168</v>
      </c>
      <c r="D18" s="11">
        <f t="shared" si="3"/>
        <v>45878.382989154925</v>
      </c>
      <c r="E18" s="11">
        <f t="shared" si="0"/>
        <v>72123.550867374972</v>
      </c>
      <c r="F18" s="119">
        <f t="shared" si="4"/>
        <v>1.8162391152730062</v>
      </c>
      <c r="G18" s="40">
        <f t="shared" si="5"/>
        <v>0.59676794291702329</v>
      </c>
      <c r="H18" s="25">
        <v>1997</v>
      </c>
      <c r="I18" s="24">
        <f>B21*SUM('Escapement Age'!S21:T21)+C21*'Escapement Age'!S21</f>
        <v>821.33642065830168</v>
      </c>
      <c r="J18" s="25">
        <v>1998</v>
      </c>
      <c r="K18" s="26">
        <f>$D$22*K$112</f>
        <v>12427.557171675882</v>
      </c>
      <c r="L18" s="25">
        <v>1999</v>
      </c>
      <c r="M18" s="24">
        <f>B23*SUM('Escapement Age'!X23:Z23)+C23*SUM('Escapement Age'!X23:Y23)</f>
        <v>58639.824191598287</v>
      </c>
      <c r="N18" s="25">
        <v>2000</v>
      </c>
      <c r="O18" s="24">
        <f>B24*SUM('Escapement Age'!AA24:AC24)+'Run Reconstruction 3'!C24*SUM('Escapement Age'!AA24:AC24)</f>
        <v>234.83308344250167</v>
      </c>
      <c r="P18" s="25">
        <v>2001</v>
      </c>
      <c r="Q18" s="24">
        <f>B25*SUM('Escapement Age'!AD25:AF25)+C25*SUM('Escapement Age'!AD25:AF25)</f>
        <v>0</v>
      </c>
      <c r="R18" s="25">
        <v>2002</v>
      </c>
      <c r="S18" s="24">
        <f>B26*SUM('Escapement Age'!AG26)+C26*SUM('Escapement Age'!AG26)</f>
        <v>0</v>
      </c>
      <c r="U18" s="21">
        <f t="shared" si="1"/>
        <v>39.710382989154922</v>
      </c>
      <c r="V18" s="21">
        <f t="shared" si="2"/>
        <v>72.123550867374973</v>
      </c>
      <c r="X18" s="18"/>
      <c r="Y18" s="18"/>
      <c r="Z18" s="18"/>
    </row>
    <row r="19" spans="1:31" x14ac:dyDescent="0.3">
      <c r="A19" s="17">
        <v>1995</v>
      </c>
      <c r="B19" s="11">
        <f>'Summary Data'!C19</f>
        <v>34797.618320235895</v>
      </c>
      <c r="C19" s="11">
        <f>'Summary Data'!H19</f>
        <v>5502</v>
      </c>
      <c r="D19" s="11">
        <f t="shared" si="3"/>
        <v>40299.618320235895</v>
      </c>
      <c r="E19" s="11">
        <f t="shared" si="0"/>
        <v>4789.6131003147784</v>
      </c>
      <c r="F19" s="119">
        <f t="shared" si="4"/>
        <v>0.13764198044351414</v>
      </c>
      <c r="G19" s="40">
        <f t="shared" si="5"/>
        <v>-1.9830993095810003</v>
      </c>
      <c r="H19" s="25">
        <v>1998</v>
      </c>
      <c r="I19" s="26">
        <f>$D$22*I$112</f>
        <v>1122.9755496612963</v>
      </c>
      <c r="J19" s="25">
        <v>1999</v>
      </c>
      <c r="K19" s="24">
        <f>B23*SUM('Escapement Age'!U23:W23)+C23*SUM('Escapement Age'!U23:V23)</f>
        <v>1063.7609830675426</v>
      </c>
      <c r="L19" s="25">
        <v>2000</v>
      </c>
      <c r="M19" s="24">
        <f>B24*SUM('Escapement Age'!X24:Z24)+C24*SUM('Escapement Age'!X24:Y24)</f>
        <v>2465.7473761462679</v>
      </c>
      <c r="N19" s="25">
        <v>2001</v>
      </c>
      <c r="O19" s="24">
        <f>B25*SUM('Escapement Age'!AA25:AC25)+'Run Reconstruction 3'!C25*SUM('Escapement Age'!AA25:AC25)</f>
        <v>99.840672970582915</v>
      </c>
      <c r="P19" s="25">
        <v>2002</v>
      </c>
      <c r="Q19" s="24">
        <f>B26*SUM('Escapement Age'!AD26:AF26)+C26*SUM('Escapement Age'!AD26:AF26)</f>
        <v>37.288518469088736</v>
      </c>
      <c r="R19" s="25">
        <v>2003</v>
      </c>
      <c r="S19" s="24">
        <f>B27*SUM('Escapement Age'!AG27)+C27*SUM('Escapement Age'!AG27)</f>
        <v>0</v>
      </c>
      <c r="U19" s="21">
        <f t="shared" si="1"/>
        <v>34.797618320235898</v>
      </c>
      <c r="V19" s="21">
        <f t="shared" si="2"/>
        <v>4.7896131003147788</v>
      </c>
      <c r="X19" s="18"/>
      <c r="Y19" s="18"/>
      <c r="Z19" s="18"/>
    </row>
    <row r="20" spans="1:31" x14ac:dyDescent="0.3">
      <c r="A20" s="17">
        <v>1996</v>
      </c>
      <c r="B20" s="11">
        <f>'Summary Data'!C20</f>
        <v>19209.334767083867</v>
      </c>
      <c r="C20" s="11">
        <f>'Summary Data'!H20</f>
        <v>5683</v>
      </c>
      <c r="D20" s="11">
        <f t="shared" si="3"/>
        <v>24892.334767083867</v>
      </c>
      <c r="E20" s="11">
        <f t="shared" si="0"/>
        <v>7433.8898524219385</v>
      </c>
      <c r="F20" s="119">
        <f t="shared" si="4"/>
        <v>0.3869936123535247</v>
      </c>
      <c r="G20" s="40">
        <f t="shared" si="5"/>
        <v>-0.94934709163502107</v>
      </c>
      <c r="H20" s="25">
        <v>1999</v>
      </c>
      <c r="I20" s="24">
        <f>B23*SUM('Escapement Age'!S23:T23)+C23*'Escapement Age'!S23</f>
        <v>130.8121655801767</v>
      </c>
      <c r="J20" s="25">
        <v>2000</v>
      </c>
      <c r="K20" s="24">
        <f>B24*SUM('Escapement Age'!U24:W24)+C24*SUM('Escapement Age'!U24:V24)</f>
        <v>1038.7975001195587</v>
      </c>
      <c r="L20" s="25">
        <v>2001</v>
      </c>
      <c r="M20" s="24">
        <f>B25*SUM('Escapement Age'!X25:Z25)+C25*SUM('Escapement Age'!X25:Y25)</f>
        <v>3509.8825125984531</v>
      </c>
      <c r="N20" s="25">
        <v>2002</v>
      </c>
      <c r="O20" s="24">
        <f>B26*SUM('Escapement Age'!AA26:AC26)+'Run Reconstruction 3'!C26*SUM('Escapement Age'!AA26:AC26)</f>
        <v>2672.3438236180264</v>
      </c>
      <c r="P20" s="25">
        <v>2003</v>
      </c>
      <c r="Q20" s="24">
        <f>B27*SUM('Escapement Age'!AD27:AF27)+C27*SUM('Escapement Age'!AD27:AF27)</f>
        <v>82.053850505723574</v>
      </c>
      <c r="R20" s="25">
        <v>2004</v>
      </c>
      <c r="S20" s="24">
        <f>B28*SUM('Escapement Age'!AG28)+C28*SUM('Escapement Age'!AG28)</f>
        <v>0</v>
      </c>
      <c r="U20" s="21">
        <f t="shared" si="1"/>
        <v>19.209334767083867</v>
      </c>
      <c r="V20" s="21">
        <f>E20/1000</f>
        <v>7.4338898524219381</v>
      </c>
      <c r="X20" s="18"/>
      <c r="Y20" s="18"/>
      <c r="Z20" s="18"/>
    </row>
    <row r="21" spans="1:31" x14ac:dyDescent="0.3">
      <c r="A21" s="17">
        <v>1997</v>
      </c>
      <c r="B21" s="11">
        <f>'Summary Data'!C21</f>
        <v>28898.406062239013</v>
      </c>
      <c r="C21" s="11">
        <f>'Summary Data'!H21</f>
        <v>9256</v>
      </c>
      <c r="D21" s="11">
        <f t="shared" si="3"/>
        <v>38154.40606223901</v>
      </c>
      <c r="E21" s="11">
        <f t="shared" si="0"/>
        <v>27191.066734719851</v>
      </c>
      <c r="F21" s="119">
        <f t="shared" si="4"/>
        <v>0.94091925610561233</v>
      </c>
      <c r="G21" s="40">
        <f t="shared" si="5"/>
        <v>-6.0897949554844968E-2</v>
      </c>
      <c r="H21" s="25">
        <v>2000</v>
      </c>
      <c r="I21" s="24">
        <f>B24*SUM('Escapement Age'!S24:T24)+C24*'Escapement Age'!S24</f>
        <v>80.035035345185264</v>
      </c>
      <c r="J21" s="25">
        <v>2001</v>
      </c>
      <c r="K21" s="24">
        <f>B25*SUM('Escapement Age'!U25:W25)+C25*SUM('Escapement Age'!U25:V25)</f>
        <v>1283.2942828084099</v>
      </c>
      <c r="L21" s="25">
        <v>2002</v>
      </c>
      <c r="M21" s="24">
        <f>B26*SUM('Escapement Age'!X26:Z26)+C26*SUM('Escapement Age'!X26:Y26)</f>
        <v>13150.417513431961</v>
      </c>
      <c r="N21" s="25">
        <v>2003</v>
      </c>
      <c r="O21" s="24">
        <f>B27*SUM('Escapement Age'!AA27:AC27)+'Run Reconstruction 3'!C27*SUM('Escapement Age'!AA27:AC27)</f>
        <v>12677.319903134294</v>
      </c>
      <c r="P21" s="25">
        <v>2004</v>
      </c>
      <c r="Q21" s="24">
        <f>B28*SUM('Escapement Age'!AD28:AF28)+C28*SUM('Escapement Age'!AD28:AF28)</f>
        <v>0</v>
      </c>
      <c r="R21" s="25">
        <v>2005</v>
      </c>
      <c r="S21" s="24">
        <f>B29*SUM('Escapement Age'!AG29)+C29*SUM('Escapement Age'!AG29)</f>
        <v>0</v>
      </c>
      <c r="U21" s="21">
        <f t="shared" si="1"/>
        <v>28.898406062239012</v>
      </c>
      <c r="V21" s="21">
        <f t="shared" si="2"/>
        <v>27.19106673471985</v>
      </c>
      <c r="X21" s="18"/>
      <c r="Y21" s="18"/>
      <c r="Z21" s="18"/>
    </row>
    <row r="22" spans="1:31" x14ac:dyDescent="0.3">
      <c r="A22" s="17">
        <v>1998</v>
      </c>
      <c r="B22" s="13">
        <f>FORECAST(C83,B46:B81,C46:C81)</f>
        <v>40441.341810884172</v>
      </c>
      <c r="C22" s="11">
        <f>'Summary Data'!H22</f>
        <v>8934</v>
      </c>
      <c r="D22" s="13">
        <f t="shared" si="3"/>
        <v>49375.341810884172</v>
      </c>
      <c r="E22" s="11">
        <f t="shared" si="0"/>
        <v>81474.62912718326</v>
      </c>
      <c r="F22" s="119">
        <f t="shared" si="4"/>
        <v>2.0146371381093888</v>
      </c>
      <c r="G22" s="40">
        <f t="shared" si="5"/>
        <v>0.7004390988394994</v>
      </c>
      <c r="H22" s="25">
        <v>2001</v>
      </c>
      <c r="I22" s="24">
        <f>B25*SUM('Escapement Age'!S25:T25)+C25*'Escapement Age'!S25</f>
        <v>137.02822730951218</v>
      </c>
      <c r="J22" s="25">
        <v>2002</v>
      </c>
      <c r="K22" s="24">
        <f>B26*SUM('Escapement Age'!U26:W26)+C26*SUM('Escapement Age'!U26:V26)</f>
        <v>10737.668081643276</v>
      </c>
      <c r="L22" s="25">
        <v>2003</v>
      </c>
      <c r="M22" s="24">
        <f>B27*SUM('Escapement Age'!X27:Z27)+C27*SUM('Escapement Age'!X27:Y27)</f>
        <v>64699.461123763052</v>
      </c>
      <c r="N22" s="25">
        <v>2004</v>
      </c>
      <c r="O22" s="24">
        <f>B28*SUM('Escapement Age'!AA28:AC28)+'Run Reconstruction 3'!C28*SUM('Escapement Age'!AA28:AC28)</f>
        <v>5838.8078036837833</v>
      </c>
      <c r="P22" s="25">
        <v>2005</v>
      </c>
      <c r="Q22" s="24">
        <f>B29*SUM('Escapement Age'!AD29:AF29)+C29*SUM('Escapement Age'!AD29:AF29)</f>
        <v>61.663890783627785</v>
      </c>
      <c r="R22" s="25">
        <v>2006</v>
      </c>
      <c r="S22" s="24">
        <f>B30*SUM('Escapement Age'!AG30)+C30*SUM('Escapement Age'!AG30)</f>
        <v>0</v>
      </c>
      <c r="U22" s="21">
        <f t="shared" si="1"/>
        <v>40.441341810884175</v>
      </c>
      <c r="V22" s="21">
        <f t="shared" si="2"/>
        <v>81.474629127183263</v>
      </c>
      <c r="X22" s="18"/>
      <c r="Y22" s="18"/>
      <c r="Z22" s="18"/>
    </row>
    <row r="23" spans="1:31" x14ac:dyDescent="0.3">
      <c r="A23" s="17">
        <v>1999</v>
      </c>
      <c r="B23" s="11">
        <f>'Summary Data'!C23</f>
        <v>57753.571103648006</v>
      </c>
      <c r="C23" s="11">
        <f>'Summary Data'!H23</f>
        <v>12694</v>
      </c>
      <c r="D23" s="11">
        <f t="shared" si="3"/>
        <v>70447.571103648006</v>
      </c>
      <c r="E23" s="11">
        <f t="shared" si="0"/>
        <v>62003.178240850131</v>
      </c>
      <c r="F23" s="119">
        <f t="shared" si="4"/>
        <v>1.0735817206796707</v>
      </c>
      <c r="G23" s="40">
        <f t="shared" si="5"/>
        <v>7.1000460897775952E-2</v>
      </c>
      <c r="H23" s="25">
        <v>2002</v>
      </c>
      <c r="I23" s="24">
        <f>B26*SUM('Escapement Age'!S26:T26)+C26*'Escapement Age'!S26</f>
        <v>44.71150086030719</v>
      </c>
      <c r="J23" s="25">
        <v>2003</v>
      </c>
      <c r="K23" s="24">
        <f>B27*SUM('Escapement Age'!U27:W27)+C27*SUM('Escapement Age'!U27:V27)</f>
        <v>4370.6275066781272</v>
      </c>
      <c r="L23" s="25">
        <v>2004</v>
      </c>
      <c r="M23" s="24">
        <f>B28*SUM('Escapement Age'!X28:Z28)+C28*SUM('Escapement Age'!X28:Y28)</f>
        <v>51452.28210034073</v>
      </c>
      <c r="N23" s="25">
        <v>2005</v>
      </c>
      <c r="O23" s="24">
        <f>B29*SUM('Escapement Age'!AA29:AC29)+'Run Reconstruction 3'!C29*SUM('Escapement Age'!AA29:AC29)</f>
        <v>6135.5571329709655</v>
      </c>
      <c r="P23" s="25">
        <v>2006</v>
      </c>
      <c r="Q23" s="24">
        <f>B30*SUM('Escapement Age'!AD30:AF30)+C30*SUM('Escapement Age'!AD30:AF30)</f>
        <v>0</v>
      </c>
      <c r="R23" s="25">
        <v>2007</v>
      </c>
      <c r="S23" s="24">
        <f>B31*SUM('Escapement Age'!AG31)+C31*SUM('Escapement Age'!AG31)</f>
        <v>0</v>
      </c>
      <c r="U23" s="21">
        <f t="shared" si="1"/>
        <v>57.753571103648007</v>
      </c>
      <c r="V23" s="21">
        <f t="shared" si="2"/>
        <v>62.003178240850133</v>
      </c>
      <c r="X23" s="18"/>
      <c r="Y23" s="18"/>
      <c r="Z23" s="18"/>
    </row>
    <row r="24" spans="1:31" ht="15" thickBot="1" x14ac:dyDescent="0.35">
      <c r="A24" s="17">
        <v>2000</v>
      </c>
      <c r="B24" s="11">
        <f>'Summary Data'!C24</f>
        <v>3032.1982934523489</v>
      </c>
      <c r="C24" s="11">
        <f>'Summary Data'!H24</f>
        <v>809</v>
      </c>
      <c r="D24" s="11">
        <f t="shared" si="3"/>
        <v>3841.1982934523489</v>
      </c>
      <c r="E24" s="11">
        <f t="shared" si="0"/>
        <v>90543.46945646884</v>
      </c>
      <c r="F24" s="119">
        <f t="shared" si="4"/>
        <v>29.860668958222846</v>
      </c>
      <c r="G24" s="40">
        <f t="shared" si="5"/>
        <v>3.3965421950155843</v>
      </c>
      <c r="H24" s="25">
        <v>2003</v>
      </c>
      <c r="I24" s="24">
        <f>B27*SUM('Escapement Age'!S27:T27)+C27*'Escapement Age'!S27</f>
        <v>34.998883189767149</v>
      </c>
      <c r="J24" s="25">
        <v>2004</v>
      </c>
      <c r="K24" s="24">
        <f>B28*SUM('Escapement Age'!U28:W28)+C28*SUM('Escapement Age'!U28:V28)</f>
        <v>31827.453106064524</v>
      </c>
      <c r="L24" s="25">
        <v>2005</v>
      </c>
      <c r="M24" s="24">
        <f>B29*SUM('Escapement Age'!X29:Z29)+C29*SUM('Escapement Age'!X29:Y29)</f>
        <v>46124.590306153594</v>
      </c>
      <c r="N24" s="25">
        <v>2006</v>
      </c>
      <c r="O24" s="24">
        <f>B30*SUM('Escapement Age'!AA30:AC30)+'Run Reconstruction 3'!C30*SUM('Escapement Age'!AA30:AC30)</f>
        <v>12377.08793478919</v>
      </c>
      <c r="P24" s="25">
        <v>2007</v>
      </c>
      <c r="Q24" s="24">
        <f>B31*SUM('Escapement Age'!AD31:AF31)+C31*SUM('Escapement Age'!AD31:AF31)</f>
        <v>179.33922627177168</v>
      </c>
      <c r="R24" s="25">
        <v>2008</v>
      </c>
      <c r="S24" s="24">
        <f>B32*SUM('Escapement Age'!AG32)+C32*SUM('Escapement Age'!AG32)</f>
        <v>0</v>
      </c>
      <c r="U24" s="21">
        <f t="shared" si="1"/>
        <v>3.0321982934523488</v>
      </c>
      <c r="V24" s="21">
        <f t="shared" si="2"/>
        <v>90.543469456468841</v>
      </c>
      <c r="X24" s="18"/>
      <c r="Y24" s="18"/>
      <c r="Z24" s="48"/>
      <c r="AA24" s="48" t="s">
        <v>68</v>
      </c>
      <c r="AB24" s="52"/>
      <c r="AC24" s="48"/>
    </row>
    <row r="25" spans="1:31" x14ac:dyDescent="0.3">
      <c r="A25" s="17">
        <v>2001</v>
      </c>
      <c r="B25" s="11">
        <f>'Summary Data'!C25</f>
        <v>3666.9945177828154</v>
      </c>
      <c r="C25" s="11">
        <f>'Summary Data'!H25</f>
        <v>1454</v>
      </c>
      <c r="D25" s="11">
        <f t="shared" si="3"/>
        <v>5120.9945177828158</v>
      </c>
      <c r="E25" s="11">
        <f t="shared" si="0"/>
        <v>74923.083177855151</v>
      </c>
      <c r="F25" s="119">
        <f t="shared" si="4"/>
        <v>20.431741256912513</v>
      </c>
      <c r="G25" s="40">
        <f t="shared" si="5"/>
        <v>3.0170896355898207</v>
      </c>
      <c r="H25" s="25">
        <v>2004</v>
      </c>
      <c r="I25" s="24">
        <f>B28*SUM('Escapement Age'!S28:T28)+C28*'Escapement Age'!S28</f>
        <v>848.70794385087186</v>
      </c>
      <c r="J25" s="25">
        <v>2005</v>
      </c>
      <c r="K25" s="24">
        <f>B29*SUM('Escapement Age'!U29:W29)+C29*SUM('Escapement Age'!U29:V29)</f>
        <v>18474.486094570457</v>
      </c>
      <c r="L25" s="25">
        <v>2006</v>
      </c>
      <c r="M25" s="24">
        <f>B30*SUM('Escapement Age'!X30:Z30)+C30*SUM('Escapement Age'!X30:Y30)</f>
        <v>44609.087764969365</v>
      </c>
      <c r="N25" s="25">
        <v>2007</v>
      </c>
      <c r="O25" s="24">
        <f>B31*SUM('Escapement Age'!AA31:AC31)+'Run Reconstruction 3'!C31*SUM('Escapement Age'!AA31:AC31)</f>
        <v>10939.692802578073</v>
      </c>
      <c r="P25" s="25">
        <v>2008</v>
      </c>
      <c r="Q25" s="24">
        <f>B32*SUM('Escapement Age'!AD32:AF32)+C32*SUM('Escapement Age'!AD32:AF32)</f>
        <v>51.108571886382904</v>
      </c>
      <c r="R25" s="25">
        <v>2009</v>
      </c>
      <c r="S25" s="24">
        <f>B33*SUM('Escapement Age'!AG33)+C33*SUM('Escapement Age'!AG33)</f>
        <v>0</v>
      </c>
      <c r="U25" s="21">
        <f t="shared" si="1"/>
        <v>3.6669945177828152</v>
      </c>
      <c r="V25" s="21">
        <f t="shared" si="2"/>
        <v>74.923083177855148</v>
      </c>
      <c r="X25" s="18"/>
      <c r="Y25" s="18" t="s">
        <v>79</v>
      </c>
      <c r="Z25" s="49" t="s">
        <v>69</v>
      </c>
      <c r="AA25" s="56">
        <f t="array" ref="AA25:AB29">LINEST(G6:G37,B6:B37,1,1)</f>
        <v>-4.0699612787082298E-5</v>
      </c>
      <c r="AB25" s="54">
        <v>1.6997208684011791</v>
      </c>
      <c r="AC25" s="48" t="s">
        <v>70</v>
      </c>
      <c r="AD25" s="12" t="s">
        <v>78</v>
      </c>
    </row>
    <row r="26" spans="1:31" x14ac:dyDescent="0.3">
      <c r="A26" s="17">
        <v>2002</v>
      </c>
      <c r="B26" s="11">
        <f>'Summary Data'!C26</f>
        <v>23987.72021155481</v>
      </c>
      <c r="C26" s="11">
        <f>'Summary Data'!H26</f>
        <v>2686</v>
      </c>
      <c r="D26" s="11">
        <f t="shared" si="3"/>
        <v>26673.72021155481</v>
      </c>
      <c r="E26" s="11">
        <f t="shared" si="0"/>
        <v>142828.13952400893</v>
      </c>
      <c r="F26" s="119">
        <f t="shared" si="4"/>
        <v>5.954219003071791</v>
      </c>
      <c r="G26" s="40">
        <f t="shared" si="5"/>
        <v>1.7841000444283426</v>
      </c>
      <c r="H26" s="25">
        <v>2005</v>
      </c>
      <c r="I26" s="24">
        <f>B29*SUM('Escapement Age'!S29:T29)+C29*'Escapement Age'!S29</f>
        <v>1307.2713404313142</v>
      </c>
      <c r="J26" s="25">
        <v>2006</v>
      </c>
      <c r="K26" s="24">
        <f>B30*SUM('Escapement Age'!U30:W30)+C30*SUM('Escapement Age'!U30:V30)</f>
        <v>72199.679619603601</v>
      </c>
      <c r="L26" s="25">
        <v>2007</v>
      </c>
      <c r="M26" s="24">
        <f>B31*SUM('Escapement Age'!X31:Z31)+C31*SUM('Escapement Age'!X31:Y31)</f>
        <v>66893.531399370841</v>
      </c>
      <c r="N26" s="25">
        <v>2008</v>
      </c>
      <c r="O26" s="24">
        <f>B32*SUM('Escapement Age'!AA32:AC32)+'Run Reconstruction 3'!C32*SUM('Escapement Age'!AA32:AC32)</f>
        <v>2427.657164603188</v>
      </c>
      <c r="P26" s="25">
        <v>2009</v>
      </c>
      <c r="Q26" s="24">
        <f>B33*SUM('Escapement Age'!AD33:AF33)+C33*SUM('Escapement Age'!AD33:AF33)</f>
        <v>0</v>
      </c>
      <c r="R26" s="25">
        <v>2010</v>
      </c>
      <c r="S26" s="24">
        <f>B34*SUM('Escapement Age'!AG34)+C34*SUM('Escapement Age'!AG34)</f>
        <v>0</v>
      </c>
      <c r="U26" s="21">
        <f t="shared" si="1"/>
        <v>23.987720211554809</v>
      </c>
      <c r="V26" s="21">
        <f t="shared" si="2"/>
        <v>142.82813952400895</v>
      </c>
      <c r="X26" s="18"/>
      <c r="Y26" s="18"/>
      <c r="Z26" s="49" t="s">
        <v>71</v>
      </c>
      <c r="AA26" s="51">
        <v>6.5171316953690558E-6</v>
      </c>
      <c r="AB26" s="58">
        <v>0.26993821008123126</v>
      </c>
      <c r="AC26" s="48" t="s">
        <v>71</v>
      </c>
    </row>
    <row r="27" spans="1:31" x14ac:dyDescent="0.3">
      <c r="A27" s="17">
        <v>2003</v>
      </c>
      <c r="B27" s="11">
        <f>'Summary Data'!C27</f>
        <v>69892.769729965003</v>
      </c>
      <c r="C27" s="11">
        <f>'Summary Data'!H27</f>
        <v>12038</v>
      </c>
      <c r="D27" s="11">
        <f t="shared" si="3"/>
        <v>81930.769729965003</v>
      </c>
      <c r="E27" s="11">
        <f t="shared" si="0"/>
        <v>12287.441047702092</v>
      </c>
      <c r="F27" s="119">
        <f t="shared" si="4"/>
        <v>0.17580417967660136</v>
      </c>
      <c r="G27" s="40">
        <f t="shared" si="5"/>
        <v>-1.738384518833928</v>
      </c>
      <c r="H27" s="25">
        <v>2006</v>
      </c>
      <c r="I27" s="24">
        <f>B30*SUM('Escapement Age'!S30:T30)+C30*'Escapement Age'!S30</f>
        <v>0</v>
      </c>
      <c r="J27" s="25">
        <v>2007</v>
      </c>
      <c r="K27" s="24">
        <f>B31*SUM('Escapement Age'!U31:W31)+C31*SUM('Escapement Age'!U31:V31)</f>
        <v>4662.819883066064</v>
      </c>
      <c r="L27" s="25">
        <v>2008</v>
      </c>
      <c r="M27" s="24">
        <f>B32*SUM('Escapement Age'!X32:Z32)+C32*SUM('Escapement Age'!X32:Y32)</f>
        <v>7206.308635979989</v>
      </c>
      <c r="N27" s="25">
        <v>2009</v>
      </c>
      <c r="O27" s="24">
        <f>B33*SUM('Escapement Age'!AA33:AC33)+'Run Reconstruction 3'!C33*SUM('Escapement Age'!AA33:AC33)</f>
        <v>418.31252865603904</v>
      </c>
      <c r="P27" s="25">
        <v>2010</v>
      </c>
      <c r="Q27" s="24">
        <f>B34*SUM('Escapement Age'!AD34:AF34)+C34*SUM('Escapement Age'!AD34:AF34)</f>
        <v>0</v>
      </c>
      <c r="R27" s="25">
        <v>2011</v>
      </c>
      <c r="S27" s="24">
        <f>B35*SUM('Escapement Age'!AG35)+C35*SUM('Escapement Age'!AG35)</f>
        <v>0</v>
      </c>
      <c r="U27" s="21">
        <f t="shared" si="1"/>
        <v>69.892769729964996</v>
      </c>
      <c r="V27" s="21">
        <f t="shared" si="2"/>
        <v>12.287441047702092</v>
      </c>
      <c r="X27" s="18"/>
      <c r="Y27" s="18"/>
      <c r="Z27" s="49" t="s">
        <v>72</v>
      </c>
      <c r="AA27" s="55">
        <v>0.56521906257137799</v>
      </c>
      <c r="AB27" s="58">
        <v>0.96636457807329901</v>
      </c>
      <c r="AC27" s="48" t="s">
        <v>73</v>
      </c>
      <c r="AD27" s="12" t="s">
        <v>80</v>
      </c>
    </row>
    <row r="28" spans="1:31" x14ac:dyDescent="0.3">
      <c r="A28" s="17">
        <v>2004</v>
      </c>
      <c r="B28" s="11">
        <f>'Summary Data'!C28</f>
        <v>77262.733888424016</v>
      </c>
      <c r="C28" s="11">
        <f>'Summary Data'!H28</f>
        <v>12938</v>
      </c>
      <c r="D28" s="11">
        <f t="shared" si="3"/>
        <v>90200.733888424016</v>
      </c>
      <c r="E28" s="11">
        <f t="shared" si="0"/>
        <v>17135.228086591396</v>
      </c>
      <c r="F28" s="119">
        <f t="shared" si="4"/>
        <v>0.22177869231674577</v>
      </c>
      <c r="G28" s="40">
        <f t="shared" si="5"/>
        <v>-1.506075275782748</v>
      </c>
      <c r="H28" s="25">
        <v>2007</v>
      </c>
      <c r="I28" s="24">
        <f>B31*SUM('Escapement Age'!S31:T31)+C31*'Escapement Age'!S31</f>
        <v>0</v>
      </c>
      <c r="J28" s="25">
        <v>2008</v>
      </c>
      <c r="K28" s="24">
        <f>B32*SUM('Escapement Age'!U32:W32)+C32*SUM('Escapement Age'!U32:V32)</f>
        <v>1765.7622842282342</v>
      </c>
      <c r="L28" s="25">
        <v>2009</v>
      </c>
      <c r="M28" s="24">
        <f>B33*SUM('Escapement Age'!X33:Z33)+C33*SUM('Escapement Age'!X33:Y33)</f>
        <v>11873.640236467567</v>
      </c>
      <c r="N28" s="25">
        <v>2010</v>
      </c>
      <c r="O28" s="24">
        <f>B34*SUM('Escapement Age'!AA34:AC34)+'Run Reconstruction 3'!C34*SUM('Escapement Age'!AA34:AC34)</f>
        <v>3495.8255658955941</v>
      </c>
      <c r="P28" s="25">
        <v>2011</v>
      </c>
      <c r="Q28" s="24">
        <f>B35*SUM('Escapement Age'!AD35:AF35)+C35*SUM('Escapement Age'!AD35:AF35)</f>
        <v>0</v>
      </c>
      <c r="R28" s="25">
        <v>2012</v>
      </c>
      <c r="S28" s="24">
        <f>B36*SUM('Escapement Age'!AG36)+C36*SUM('Escapement Age'!AG36)</f>
        <v>0</v>
      </c>
      <c r="U28" s="21">
        <f t="shared" si="1"/>
        <v>77.262733888424023</v>
      </c>
      <c r="V28" s="21">
        <f t="shared" si="2"/>
        <v>17.135228086591397</v>
      </c>
      <c r="Z28" s="49" t="s">
        <v>74</v>
      </c>
      <c r="AA28" s="55">
        <v>39.00026523109721</v>
      </c>
      <c r="AB28" s="53">
        <v>30</v>
      </c>
      <c r="AC28" s="48" t="s">
        <v>75</v>
      </c>
    </row>
    <row r="29" spans="1:31" ht="15" thickBot="1" x14ac:dyDescent="0.35">
      <c r="A29" s="17">
        <v>2005</v>
      </c>
      <c r="B29" s="11">
        <f>'Summary Data'!C29</f>
        <v>65653.382797031678</v>
      </c>
      <c r="C29" s="11">
        <f>'Summary Data'!H29</f>
        <v>7295</v>
      </c>
      <c r="D29" s="11">
        <f t="shared" si="3"/>
        <v>72948.382797031678</v>
      </c>
      <c r="E29" s="11">
        <f t="shared" si="0"/>
        <v>10064.964505566293</v>
      </c>
      <c r="F29" s="119">
        <f t="shared" si="4"/>
        <v>0.15330458350763534</v>
      </c>
      <c r="G29" s="40">
        <f t="shared" si="5"/>
        <v>-1.8753285946104632</v>
      </c>
      <c r="H29" s="25">
        <v>2008</v>
      </c>
      <c r="I29" s="24">
        <f>B32*SUM('Escapement Age'!S32:T32)+C32*'Escapement Age'!S32</f>
        <v>22.314818093967506</v>
      </c>
      <c r="J29" s="25">
        <v>2009</v>
      </c>
      <c r="K29" s="24">
        <f>B33*SUM('Escapement Age'!U33:W33)+C33*SUM('Escapement Age'!U33:V33)</f>
        <v>1619.3294097783412</v>
      </c>
      <c r="L29" s="25">
        <v>2010</v>
      </c>
      <c r="M29" s="24">
        <f>B34*SUM('Escapement Age'!X34:Z34)+C34*SUM('Escapement Age'!X34:Y34)</f>
        <v>4827.568638617724</v>
      </c>
      <c r="N29" s="25">
        <v>2011</v>
      </c>
      <c r="O29" s="24">
        <f>B35*SUM('Escapement Age'!AA35:AC35)+'Run Reconstruction 3'!C35*SUM('Escapement Age'!AA35:AC35)</f>
        <v>3595.7516390762598</v>
      </c>
      <c r="P29" s="25">
        <v>2012</v>
      </c>
      <c r="Q29" s="24">
        <f>B36*SUM('Escapement Age'!AD36:AF36)+C36*SUM('Escapement Age'!AD36:AF36)</f>
        <v>0</v>
      </c>
      <c r="R29" s="25">
        <v>2013</v>
      </c>
      <c r="S29" s="24">
        <f>B37*SUM('Escapement Age'!AG37)+C37*SUM('Escapement Age'!AG37)</f>
        <v>0</v>
      </c>
      <c r="U29" s="21">
        <f t="shared" si="1"/>
        <v>65.653382797031682</v>
      </c>
      <c r="V29" s="21">
        <f t="shared" si="2"/>
        <v>10.064964505566293</v>
      </c>
      <c r="Z29" s="49" t="s">
        <v>76</v>
      </c>
      <c r="AA29" s="50">
        <v>36.420807101281085</v>
      </c>
      <c r="AB29" s="57">
        <v>28.015814932643554</v>
      </c>
      <c r="AC29" s="48" t="s">
        <v>77</v>
      </c>
    </row>
    <row r="30" spans="1:31" x14ac:dyDescent="0.3">
      <c r="A30" s="17">
        <v>2006</v>
      </c>
      <c r="B30" s="11">
        <f>'Summary Data'!C30</f>
        <v>103952.85531936215</v>
      </c>
      <c r="C30" s="11">
        <f>'Summary Data'!H30</f>
        <v>25233</v>
      </c>
      <c r="D30" s="11">
        <f t="shared" si="3"/>
        <v>129185.85531936215</v>
      </c>
      <c r="E30" s="11">
        <f t="shared" si="0"/>
        <v>29816.498355008753</v>
      </c>
      <c r="F30" s="119">
        <f t="shared" si="4"/>
        <v>0.28682712238549896</v>
      </c>
      <c r="G30" s="40">
        <f t="shared" si="5"/>
        <v>-1.2488756057409411</v>
      </c>
      <c r="H30" s="25">
        <v>2009</v>
      </c>
      <c r="I30" s="24">
        <f>B33*SUM('Escapement Age'!S33:T33)+C33*'Escapement Age'!S33</f>
        <v>553.68989498421456</v>
      </c>
      <c r="J30" s="25">
        <v>2010</v>
      </c>
      <c r="K30" s="24">
        <f>B34*SUM('Escapement Age'!U34:W34)+C34*SUM('Escapement Age'!U34:V34)</f>
        <v>11835.86354555519</v>
      </c>
      <c r="L30" s="25">
        <v>2011</v>
      </c>
      <c r="M30" s="24">
        <f>B35*SUM('Escapement Age'!X35:Z35)+C35*SUM('Escapement Age'!X35:Y35)</f>
        <v>15461.73204802792</v>
      </c>
      <c r="N30" s="25">
        <v>2012</v>
      </c>
      <c r="O30" s="24">
        <f>B36*SUM('Escapement Age'!AA36:AC36)+'Run Reconstruction 3'!C36*SUM('Escapement Age'!AA36:AC36)</f>
        <v>1965.2128664414308</v>
      </c>
      <c r="P30" s="25">
        <v>2013</v>
      </c>
      <c r="Q30" s="24">
        <f>B37*SUM('Escapement Age'!AD37:AF37)+C37*SUM('Escapement Age'!AD37:AF37)</f>
        <v>0</v>
      </c>
      <c r="R30" s="25">
        <v>2014</v>
      </c>
      <c r="S30" s="24">
        <f>B38*SUM('Escapement Age'!AG38)+C38*SUM('Escapement Age'!AG38)</f>
        <v>0</v>
      </c>
      <c r="U30" s="21">
        <f t="shared" si="1"/>
        <v>103.95285531936214</v>
      </c>
      <c r="V30" s="21">
        <f t="shared" si="2"/>
        <v>29.816498355008754</v>
      </c>
      <c r="Z30" s="52"/>
      <c r="AA30" s="47"/>
      <c r="AB30" s="52"/>
      <c r="AC30" s="12" t="s">
        <v>234</v>
      </c>
      <c r="AD30" s="12" t="s">
        <v>235</v>
      </c>
    </row>
    <row r="31" spans="1:31" x14ac:dyDescent="0.3">
      <c r="A31" s="17">
        <v>2007</v>
      </c>
      <c r="B31" s="11">
        <f>'Summary Data'!C31</f>
        <v>66938.383311286743</v>
      </c>
      <c r="C31" s="11">
        <f>'Summary Data'!H31</f>
        <v>15737</v>
      </c>
      <c r="D31" s="11">
        <f t="shared" si="3"/>
        <v>82675.383311286743</v>
      </c>
      <c r="E31" s="11">
        <f t="shared" si="0"/>
        <v>29874.618392283341</v>
      </c>
      <c r="F31" s="119">
        <f t="shared" si="4"/>
        <v>0.44630026771569886</v>
      </c>
      <c r="G31" s="40">
        <f t="shared" si="5"/>
        <v>-0.80676330749116876</v>
      </c>
      <c r="H31" s="25">
        <v>2010</v>
      </c>
      <c r="I31" s="24">
        <f>B34*SUM('Escapement Age'!S34:T34)+C34*'Escapement Age'!S34</f>
        <v>0</v>
      </c>
      <c r="J31" s="25">
        <v>2011</v>
      </c>
      <c r="K31" s="24">
        <f>B35*SUM('Escapement Age'!U35:W35)+C35*SUM('Escapement Age'!U35:V35)</f>
        <v>3348.4318010195798</v>
      </c>
      <c r="L31" s="25">
        <v>2012</v>
      </c>
      <c r="M31" s="24">
        <f>B36*SUM('Escapement Age'!X36:Z36)+C36*SUM('Escapement Age'!X36:Y36)</f>
        <v>16949.960973057343</v>
      </c>
      <c r="N31" s="25">
        <v>2013</v>
      </c>
      <c r="O31" s="24">
        <f>B37*SUM('Escapement Age'!AA37:AC37)+'Run Reconstruction 3'!C37*SUM('Escapement Age'!AA37:AC37)</f>
        <v>9480.150242337264</v>
      </c>
      <c r="P31" s="25">
        <v>2014</v>
      </c>
      <c r="Q31" s="24">
        <f>B38*SUM('Escapement Age'!AD38:AF38)+C38*SUM('Escapement Age'!AD38:AF38)</f>
        <v>96.075375869154399</v>
      </c>
      <c r="R31" s="25">
        <v>2015</v>
      </c>
      <c r="S31" s="24">
        <f>B39*SUM('Escapement Age'!AG39)+C39*SUM('Escapement Age'!AG39)</f>
        <v>0</v>
      </c>
      <c r="U31" s="21">
        <f t="shared" si="1"/>
        <v>66.938383311286742</v>
      </c>
      <c r="V31" s="21">
        <f t="shared" si="2"/>
        <v>29.874618392283342</v>
      </c>
      <c r="AA31" s="15" t="s">
        <v>163</v>
      </c>
      <c r="AB31" s="15" t="s">
        <v>141</v>
      </c>
      <c r="AC31" s="163" t="s">
        <v>233</v>
      </c>
      <c r="AD31" s="163" t="s">
        <v>233</v>
      </c>
      <c r="AE31" s="15" t="s">
        <v>144</v>
      </c>
    </row>
    <row r="32" spans="1:31" x14ac:dyDescent="0.3">
      <c r="A32" s="17">
        <v>2008</v>
      </c>
      <c r="B32" s="11">
        <f>'Summary Data'!C32</f>
        <v>10063.982960379346</v>
      </c>
      <c r="C32" s="11">
        <f>'Summary Data'!H32</f>
        <v>1461</v>
      </c>
      <c r="D32" s="11">
        <f t="shared" si="3"/>
        <v>11524.982960379346</v>
      </c>
      <c r="E32" s="11">
        <f t="shared" si="0"/>
        <v>67741.006921964014</v>
      </c>
      <c r="F32" s="119">
        <f t="shared" si="4"/>
        <v>6.7310335469219256</v>
      </c>
      <c r="G32" s="40">
        <f t="shared" si="5"/>
        <v>1.9067287049593928</v>
      </c>
      <c r="H32" s="25">
        <v>2011</v>
      </c>
      <c r="I32" s="24">
        <f>B35*SUM('Escapement Age'!S35:T35)+C35*'Escapement Age'!S35</f>
        <v>2437.5422039992668</v>
      </c>
      <c r="J32" s="25">
        <v>2012</v>
      </c>
      <c r="K32" s="24">
        <f>B36*SUM('Escapement Age'!U36:W36)+C36*SUM('Escapement Age'!U36:V36)</f>
        <v>23899.734135707517</v>
      </c>
      <c r="L32" s="25">
        <v>2013</v>
      </c>
      <c r="M32" s="24">
        <f>B37*SUM('Escapement Age'!X37:Z37)+C37*SUM('Escapement Age'!X37:Y37)</f>
        <v>36407.811037061198</v>
      </c>
      <c r="N32" s="25">
        <v>2014</v>
      </c>
      <c r="O32" s="24">
        <f>B38*SUM('Escapement Age'!AA38:AC38)+'Run Reconstruction 3'!C38*SUM('Escapement Age'!AA38:AC38)</f>
        <v>4995.9195451960277</v>
      </c>
      <c r="P32" s="25">
        <v>2015</v>
      </c>
      <c r="Q32" s="24">
        <f>B39*SUM('Escapement Age'!AD39:AF39)+C39*SUM('Escapement Age'!AD39:AF39)</f>
        <v>0</v>
      </c>
      <c r="R32" s="25">
        <v>2016</v>
      </c>
      <c r="S32" s="24">
        <f>B40*SUM('Escapement Age'!AG40)+C40*SUM('Escapement Age'!AG40)</f>
        <v>0</v>
      </c>
      <c r="U32" s="21">
        <f t="shared" si="1"/>
        <v>10.063982960379345</v>
      </c>
      <c r="V32" s="21">
        <f t="shared" si="2"/>
        <v>67.741006921964015</v>
      </c>
      <c r="Z32" s="167" t="s">
        <v>87</v>
      </c>
      <c r="AA32" s="62">
        <f>AB25</f>
        <v>1.6997208684011791</v>
      </c>
      <c r="AB32" s="62">
        <v>1.5651301348113094</v>
      </c>
      <c r="AC32" s="141">
        <v>1.70229459122086</v>
      </c>
      <c r="AD32" s="141">
        <v>2.0784103960842399</v>
      </c>
      <c r="AE32" s="238">
        <f>LN(AE44)</f>
        <v>1.50318811259139</v>
      </c>
    </row>
    <row r="33" spans="1:32" x14ac:dyDescent="0.3">
      <c r="A33" s="17">
        <v>2009</v>
      </c>
      <c r="B33" s="11">
        <f>'Summary Data'!C33</f>
        <v>12568.76061614167</v>
      </c>
      <c r="C33" s="11">
        <f>'Summary Data'!H33</f>
        <v>2040</v>
      </c>
      <c r="D33" s="11">
        <f t="shared" si="3"/>
        <v>14608.76061614167</v>
      </c>
      <c r="E33" s="11">
        <f t="shared" si="0"/>
        <v>24216.492181962782</v>
      </c>
      <c r="F33" s="119">
        <f t="shared" si="4"/>
        <v>1.9267207739530254</v>
      </c>
      <c r="G33" s="40">
        <f t="shared" si="5"/>
        <v>0.65581947698846821</v>
      </c>
      <c r="H33" s="25">
        <v>2012</v>
      </c>
      <c r="I33" s="24">
        <f>B36*SUM('Escapement Age'!S36:T36)+C36*'Escapement Age'!S36</f>
        <v>3541.8578316145727</v>
      </c>
      <c r="J33" s="25">
        <v>2013</v>
      </c>
      <c r="K33" s="24">
        <f>B37*SUM('Escapement Age'!U37:W37)+C37*SUM('Escapement Age'!U37:V37)</f>
        <v>10109.023225231022</v>
      </c>
      <c r="L33" s="25">
        <v>2014</v>
      </c>
      <c r="M33" s="24">
        <f>B38*SUM('Escapement Age'!X38:Z38)+C38*SUM('Escapement Age'!X38:Y38)</f>
        <v>10376.140593868673</v>
      </c>
      <c r="N33" s="25">
        <v>2015</v>
      </c>
      <c r="O33" s="24">
        <f>B39*SUM('Escapement Age'!AA39:AC39)+'Run Reconstruction 3'!C39*SUM('Escapement Age'!AA39:AC39)</f>
        <v>189.47053124851311</v>
      </c>
      <c r="P33" s="25">
        <v>2016</v>
      </c>
      <c r="Q33" s="24">
        <f>B40*SUM('Escapement Age'!AD40:AF40)+C40*SUM('Escapement Age'!AD40:AF40)</f>
        <v>0</v>
      </c>
      <c r="R33" s="25">
        <v>2017</v>
      </c>
      <c r="S33" s="24">
        <f>B41*SUM('Escapement Age'!AG41)+C41*SUM('Escapement Age'!AG41)</f>
        <v>0</v>
      </c>
      <c r="U33" s="21">
        <f t="shared" si="1"/>
        <v>12.56876061614167</v>
      </c>
      <c r="V33" s="21">
        <f t="shared" si="2"/>
        <v>24.216492181962781</v>
      </c>
      <c r="Z33" s="167" t="s">
        <v>79</v>
      </c>
      <c r="AA33" s="139">
        <f>-AA25</f>
        <v>4.0699612787082298E-5</v>
      </c>
      <c r="AB33" s="12">
        <v>3.7902439387383252E-5</v>
      </c>
      <c r="AC33" s="169">
        <v>4.0757016679028102E-5</v>
      </c>
      <c r="AD33" s="169">
        <v>4.49797444705782E-5</v>
      </c>
      <c r="AE33" s="240">
        <v>4.3000000000000002E-5</v>
      </c>
    </row>
    <row r="34" spans="1:32" x14ac:dyDescent="0.3">
      <c r="A34" s="17">
        <v>2010</v>
      </c>
      <c r="B34" s="11">
        <f>'Summary Data'!C34</f>
        <v>17156.230945944797</v>
      </c>
      <c r="C34" s="11">
        <f>'Summary Data'!H34</f>
        <v>3028</v>
      </c>
      <c r="D34" s="11">
        <f t="shared" si="3"/>
        <v>20184.230945944797</v>
      </c>
      <c r="E34" s="11">
        <f t="shared" si="0"/>
        <v>17254.524568772544</v>
      </c>
      <c r="F34" s="119">
        <f t="shared" si="4"/>
        <v>1.0057293249978649</v>
      </c>
      <c r="G34" s="40">
        <f t="shared" si="5"/>
        <v>5.712974835934621E-3</v>
      </c>
      <c r="H34" s="25">
        <v>2013</v>
      </c>
      <c r="I34" s="24">
        <f>B37*SUM('Escapement Age'!S37:T37)+C37*'Escapement Age'!S37</f>
        <v>1623.2371026370881</v>
      </c>
      <c r="J34" s="25">
        <v>2014</v>
      </c>
      <c r="K34" s="24">
        <f>B38*SUM('Escapement Age'!U38:W38)+C38*SUM('Escapement Age'!U38:V38)</f>
        <v>6179.8896040463187</v>
      </c>
      <c r="L34" s="25">
        <v>2015</v>
      </c>
      <c r="M34" s="24">
        <f>B39*SUM('Escapement Age'!X39:Z39)+C39*SUM('Escapement Age'!X39:Y39)</f>
        <v>8715.6444374316034</v>
      </c>
      <c r="N34" s="25">
        <v>2016</v>
      </c>
      <c r="O34" s="24">
        <f>B40*SUM('Escapement Age'!AA40:AC40)+'Run Reconstruction 3'!C40*SUM('Escapement Age'!AA40:AC40)</f>
        <v>735.7534246575342</v>
      </c>
      <c r="P34" s="25">
        <v>2017</v>
      </c>
      <c r="Q34" s="24">
        <f>B41*SUM('Escapement Age'!AD41:AF41)+C41*SUM('Escapement Age'!AD41:AF41)</f>
        <v>0</v>
      </c>
      <c r="R34" s="25">
        <v>2018</v>
      </c>
      <c r="S34" s="24">
        <f>B42*SUM('Escapement Age'!AG42)+C42*SUM('Escapement Age'!AG42)</f>
        <v>0</v>
      </c>
      <c r="U34" s="21">
        <f t="shared" si="1"/>
        <v>17.156230945944795</v>
      </c>
      <c r="V34" s="21">
        <f t="shared" si="2"/>
        <v>17.254524568772545</v>
      </c>
      <c r="Z34" s="167" t="s">
        <v>80</v>
      </c>
      <c r="AA34" s="62">
        <f>AB27</f>
        <v>0.96636457807329901</v>
      </c>
      <c r="AB34" s="62">
        <v>0.93507330351031359</v>
      </c>
      <c r="AC34" s="141">
        <v>0.99373060503982702</v>
      </c>
      <c r="AD34" s="141">
        <v>1.00310549717141</v>
      </c>
      <c r="AE34" s="62">
        <f>SQRT(AF34)</f>
        <v>1.1371015785759864</v>
      </c>
      <c r="AF34" s="141">
        <v>1.2929999999999999</v>
      </c>
    </row>
    <row r="35" spans="1:32" x14ac:dyDescent="0.3">
      <c r="A35" s="17">
        <v>2011</v>
      </c>
      <c r="B35" s="11">
        <f>'Summary Data'!C35</f>
        <v>22719.73299576675</v>
      </c>
      <c r="C35" s="11">
        <f>'Summary Data'!H35</f>
        <v>2656</v>
      </c>
      <c r="D35" s="11">
        <f t="shared" si="3"/>
        <v>25375.73299576675</v>
      </c>
      <c r="E35" s="11">
        <f t="shared" si="0"/>
        <v>25591.964130734821</v>
      </c>
      <c r="F35" s="119">
        <f t="shared" si="4"/>
        <v>1.1264201095806556</v>
      </c>
      <c r="G35" s="40">
        <f t="shared" si="5"/>
        <v>0.11904455922805954</v>
      </c>
      <c r="H35" s="25">
        <v>2014</v>
      </c>
      <c r="I35" s="24">
        <f>B38*SUM('Escapement Age'!S38:T38)+C38*'Escapement Age'!S38</f>
        <v>2837.3511744136345</v>
      </c>
      <c r="J35" s="25">
        <v>2015</v>
      </c>
      <c r="K35" s="24">
        <f>B39*SUM('Escapement Age'!U39:W39)+C39*SUM('Escapement Age'!U39:V39)</f>
        <v>6627.1179251323401</v>
      </c>
      <c r="L35" s="25">
        <v>2016</v>
      </c>
      <c r="M35" s="24">
        <f>B40*SUM('Escapement Age'!X40:Z40)+C40*SUM('Escapement Age'!X40:Y40)</f>
        <v>9722.455968688846</v>
      </c>
      <c r="N35" s="25">
        <v>2017</v>
      </c>
      <c r="O35" s="24">
        <f>B41*SUM('Escapement Age'!AA41:AC41)+'Run Reconstruction 3'!C41*SUM('Escapement Age'!AA41:AC41)</f>
        <v>6405.0390625</v>
      </c>
      <c r="P35" s="25">
        <v>2018</v>
      </c>
      <c r="Q35" s="24">
        <f>B42*SUM('Escapement Age'!AD42:AF42)+C42*SUM('Escapement Age'!AD42:AF42)</f>
        <v>0</v>
      </c>
      <c r="R35" s="25">
        <v>2019</v>
      </c>
      <c r="S35" s="26">
        <v>0</v>
      </c>
      <c r="U35" s="21">
        <f t="shared" si="1"/>
        <v>22.719732995766751</v>
      </c>
      <c r="V35" s="21">
        <f t="shared" si="2"/>
        <v>25.591964130734819</v>
      </c>
      <c r="Z35" s="167" t="s">
        <v>81</v>
      </c>
      <c r="AA35" s="62">
        <f>AA32+AA34^2/2</f>
        <v>2.1666511172785716</v>
      </c>
      <c r="AB35" s="62">
        <v>2.0424130987452909</v>
      </c>
      <c r="AC35" s="62">
        <v>2.2018245373713099</v>
      </c>
      <c r="AD35" s="62">
        <v>2.5869003160430699</v>
      </c>
      <c r="AE35" s="62">
        <f>LN(AE44)+((AE34^2)/2)</f>
        <v>2.1496881125913898</v>
      </c>
    </row>
    <row r="36" spans="1:32" x14ac:dyDescent="0.3">
      <c r="A36" s="17">
        <v>2012</v>
      </c>
      <c r="B36" s="11">
        <f>'Summary Data'!C36</f>
        <v>40943.876533464463</v>
      </c>
      <c r="C36" s="11">
        <f>'Summary Data'!H36</f>
        <v>6385</v>
      </c>
      <c r="D36" s="11">
        <f t="shared" si="3"/>
        <v>47328.876533464463</v>
      </c>
      <c r="E36" s="11">
        <f t="shared" si="0"/>
        <v>39575.911583536224</v>
      </c>
      <c r="F36" s="119">
        <f t="shared" si="4"/>
        <v>0.96658926643621135</v>
      </c>
      <c r="G36" s="40">
        <f t="shared" si="5"/>
        <v>-3.3981624085310476E-2</v>
      </c>
      <c r="H36" s="25">
        <v>2015</v>
      </c>
      <c r="I36" s="24">
        <f>B39*SUM('Escapement Age'!S39:T39)+C39*'Escapement Age'!S39</f>
        <v>1537.7442723025902</v>
      </c>
      <c r="J36" s="25">
        <v>2016</v>
      </c>
      <c r="K36" s="24">
        <f>B40*SUM('Escapement Age'!U40:W40)+C40*SUM('Escapement Age'!U40:V40)</f>
        <v>15557.215264187869</v>
      </c>
      <c r="L36" s="25">
        <v>2017</v>
      </c>
      <c r="M36" s="24">
        <f>B41*SUM('Escapement Age'!X41:Z41)+C41*SUM('Escapement Age'!X41:Y41)</f>
        <v>21309.072265625</v>
      </c>
      <c r="N36" s="25">
        <v>2018</v>
      </c>
      <c r="O36" s="24">
        <f>B42*SUM('Escapement Age'!AA42:AC42)+'Run Reconstruction 3'!C42*SUM('Escapement Age'!AA42:AC42)</f>
        <v>1171.8797814207651</v>
      </c>
      <c r="P36" s="25">
        <v>2019</v>
      </c>
      <c r="Q36" s="26">
        <v>0</v>
      </c>
      <c r="R36" s="25">
        <v>2020</v>
      </c>
      <c r="S36" s="26">
        <v>0</v>
      </c>
      <c r="U36" s="21">
        <f t="shared" si="1"/>
        <v>40.943876533464461</v>
      </c>
      <c r="V36" s="21">
        <f t="shared" si="2"/>
        <v>39.575911583536225</v>
      </c>
      <c r="W36" s="43"/>
      <c r="X36" s="19"/>
      <c r="Y36" s="19"/>
      <c r="Z36" s="170" t="s">
        <v>82</v>
      </c>
      <c r="AA36" s="11">
        <f>1/AA33</f>
        <v>24570.258327307507</v>
      </c>
      <c r="AB36" s="11">
        <f>1/AB33</f>
        <v>26383.526130850412</v>
      </c>
      <c r="AC36" s="11">
        <f t="shared" ref="AC36:AD36" si="6">1/AC33</f>
        <v>24535.652544818357</v>
      </c>
      <c r="AD36" s="11">
        <f t="shared" si="6"/>
        <v>22232.229457286317</v>
      </c>
      <c r="AE36" s="11">
        <f>1/AE33</f>
        <v>23255.81395348837</v>
      </c>
    </row>
    <row r="37" spans="1:32" x14ac:dyDescent="0.3">
      <c r="A37" s="17">
        <v>2013</v>
      </c>
      <c r="B37" s="11">
        <f>'Summary Data'!C37</f>
        <v>49124.280737701352</v>
      </c>
      <c r="C37" s="11">
        <f>'Summary Data'!H37</f>
        <v>8866</v>
      </c>
      <c r="D37" s="11">
        <f t="shared" si="3"/>
        <v>57990.280737701352</v>
      </c>
      <c r="E37" s="11">
        <f t="shared" si="0"/>
        <v>24156.272795698813</v>
      </c>
      <c r="F37" s="119">
        <f t="shared" si="4"/>
        <v>0.49173794370000062</v>
      </c>
      <c r="G37" s="40">
        <f t="shared" si="5"/>
        <v>-0.70980933914620647</v>
      </c>
      <c r="H37" s="25">
        <v>2016</v>
      </c>
      <c r="I37" s="24">
        <f>B40*SUM('Escapement Age'!S40:T40)+C40*'Escapement Age'!S40</f>
        <v>623.94520547945206</v>
      </c>
      <c r="J37" s="25">
        <v>2017</v>
      </c>
      <c r="K37" s="24">
        <f>B41*SUM('Escapement Age'!U41:W41)+C41*SUM('Escapement Age'!U41:V41)</f>
        <v>4928.826171875</v>
      </c>
      <c r="L37" s="25">
        <v>2018</v>
      </c>
      <c r="M37" s="24">
        <f>B42*SUM('Escapement Age'!X42:Z42)+C42*SUM('Escapement Age'!X42:Y42)</f>
        <v>13867.24408014572</v>
      </c>
      <c r="N37" s="25">
        <v>2019</v>
      </c>
      <c r="O37" s="26">
        <f>O77</f>
        <v>4736.2573381986413</v>
      </c>
      <c r="P37" s="25">
        <v>2020</v>
      </c>
      <c r="Q37" s="26">
        <v>0</v>
      </c>
      <c r="R37" s="25">
        <v>2021</v>
      </c>
      <c r="S37" s="26">
        <v>0</v>
      </c>
      <c r="U37" s="21">
        <f t="shared" si="1"/>
        <v>49.124280737701355</v>
      </c>
      <c r="V37" s="21">
        <f t="shared" si="2"/>
        <v>24.156272795698811</v>
      </c>
      <c r="W37" s="43"/>
      <c r="X37" s="19"/>
      <c r="Y37" s="19"/>
      <c r="Z37" s="170" t="s">
        <v>83</v>
      </c>
      <c r="AA37" s="11">
        <f>AA35/AA33</f>
        <v>53235.17765668394</v>
      </c>
      <c r="AB37" s="11">
        <f>AB35/AB33</f>
        <v>53886.059360737549</v>
      </c>
      <c r="AC37" s="11">
        <f t="shared" ref="AC37:AD37" si="7">AC35/AC33</f>
        <v>54023.20181359788</v>
      </c>
      <c r="AD37" s="11">
        <f t="shared" si="7"/>
        <v>57512.561409396025</v>
      </c>
      <c r="AE37" s="11">
        <f>AE35/AE33</f>
        <v>49992.746804450922</v>
      </c>
    </row>
    <row r="38" spans="1:32" x14ac:dyDescent="0.3">
      <c r="A38" s="17">
        <v>2014</v>
      </c>
      <c r="B38" s="11">
        <f>'Summary Data'!C38</f>
        <v>19936.125357064222</v>
      </c>
      <c r="C38" s="11">
        <f>'Summary Data'!H38</f>
        <v>5716</v>
      </c>
      <c r="D38" s="11">
        <f t="shared" si="3"/>
        <v>25652.125357064222</v>
      </c>
      <c r="E38" s="11">
        <f t="shared" si="0"/>
        <v>113959.32105959699</v>
      </c>
      <c r="F38" s="41" t="s">
        <v>60</v>
      </c>
      <c r="H38" s="25">
        <v>2017</v>
      </c>
      <c r="I38" s="24">
        <f>B41*SUM('Escapement Age'!S41:T41)+C41*'Escapement Age'!S41</f>
        <v>26654.27734375</v>
      </c>
      <c r="J38" s="25">
        <v>2018</v>
      </c>
      <c r="K38" s="24">
        <f>B42*SUM('Escapement Age'!U42:W42)+C42*SUM('Escapement Age'!U42:V42)</f>
        <v>87305.043715846987</v>
      </c>
      <c r="L38" s="25">
        <v>2019</v>
      </c>
      <c r="M38" s="24"/>
      <c r="N38" s="25">
        <v>2020</v>
      </c>
      <c r="O38" s="24"/>
      <c r="P38" s="25">
        <v>2021</v>
      </c>
      <c r="Q38" s="24"/>
      <c r="R38" s="25">
        <v>2022</v>
      </c>
      <c r="S38" s="24"/>
      <c r="U38" s="19"/>
      <c r="V38" s="43"/>
      <c r="W38" s="43"/>
      <c r="X38" s="19"/>
      <c r="Z38" s="167" t="s">
        <v>84</v>
      </c>
      <c r="AA38" s="11">
        <f>AA37*(0.5-0.07*AA35)</f>
        <v>18543.644827955544</v>
      </c>
      <c r="AB38" s="11">
        <f>AB37*(0.5-0.07*AB35)</f>
        <v>19238.998136899205</v>
      </c>
      <c r="AC38" s="11">
        <f t="shared" ref="AC38" si="8">AC37*(0.5-0.07*AC35)</f>
        <v>18685.128112960996</v>
      </c>
      <c r="AD38" s="11">
        <f>AD37*(0.5-0.07*AD35)</f>
        <v>18341.732274649097</v>
      </c>
      <c r="AE38" s="11">
        <v>17400</v>
      </c>
    </row>
    <row r="39" spans="1:32" x14ac:dyDescent="0.3">
      <c r="A39" s="17">
        <v>2015</v>
      </c>
      <c r="B39" s="11">
        <f>'Summary Data'!C39</f>
        <v>13982.744429542156</v>
      </c>
      <c r="C39" s="11">
        <f>'Summary Data'!H39</f>
        <v>4538</v>
      </c>
      <c r="D39" s="11">
        <f t="shared" si="3"/>
        <v>18520.744429542156</v>
      </c>
      <c r="E39" s="11">
        <f t="shared" si="0"/>
        <v>3361.1111111111109</v>
      </c>
      <c r="F39" s="41" t="s">
        <v>60</v>
      </c>
      <c r="H39" s="25">
        <v>2018</v>
      </c>
      <c r="I39" s="24">
        <f>B42*SUM('Escapement Age'!S42:T42)+C42*'Escapement Age'!S42</f>
        <v>3361.1111111111109</v>
      </c>
      <c r="J39" s="25">
        <v>2019</v>
      </c>
      <c r="K39" s="24"/>
      <c r="L39" s="25">
        <v>2020</v>
      </c>
      <c r="M39" s="24"/>
      <c r="N39" s="25">
        <v>2021</v>
      </c>
      <c r="O39" s="24"/>
      <c r="P39" s="25">
        <v>2022</v>
      </c>
      <c r="Q39" s="24"/>
      <c r="R39" s="25">
        <v>2023</v>
      </c>
      <c r="S39" s="24"/>
      <c r="U39" s="19"/>
      <c r="V39" s="43"/>
      <c r="W39" s="43"/>
      <c r="X39" s="19"/>
      <c r="Z39" s="167" t="s">
        <v>85</v>
      </c>
      <c r="AA39" s="18">
        <f>AA35*(0.5-0.07*AA35)</f>
        <v>0.75471916415897211</v>
      </c>
      <c r="AB39" s="18">
        <f>AB35*(0.5-0.07*AB35)</f>
        <v>0.7292049607578015</v>
      </c>
      <c r="AC39" s="18">
        <f t="shared" ref="AC39:AD39" si="9">AC35*(0.5-0.07*AC35)</f>
        <v>0.76155007814972808</v>
      </c>
      <c r="AD39" s="18">
        <f t="shared" si="9"/>
        <v>0.82500643086147341</v>
      </c>
      <c r="AE39" s="18">
        <f>AE35*(0.5-0.07*AE35)</f>
        <v>0.75136292759652357</v>
      </c>
    </row>
    <row r="40" spans="1:32" x14ac:dyDescent="0.3">
      <c r="A40" s="17">
        <v>2016</v>
      </c>
      <c r="B40" s="11">
        <f>'Summary Data'!C40</f>
        <v>22774</v>
      </c>
      <c r="C40" s="11">
        <f>'Summary Data'!H40</f>
        <v>4081</v>
      </c>
      <c r="D40" s="11">
        <f t="shared" ref="D40" si="10">SUM(B40:C40)</f>
        <v>26855</v>
      </c>
      <c r="H40" s="25"/>
      <c r="I40" s="27"/>
      <c r="J40" s="25"/>
      <c r="K40" s="24"/>
      <c r="L40" s="25"/>
      <c r="M40" s="24"/>
      <c r="N40" s="25"/>
      <c r="O40" s="24"/>
      <c r="P40" s="25"/>
      <c r="Q40" s="24"/>
      <c r="R40" s="25"/>
      <c r="S40" s="24"/>
      <c r="U40" s="19"/>
      <c r="V40" s="43"/>
      <c r="W40" s="43"/>
      <c r="X40" s="19"/>
      <c r="Z40" s="167" t="s">
        <v>88</v>
      </c>
      <c r="AA40" s="11">
        <f>AA38*EXP(AA35-AA33*AA38)-AA38</f>
        <v>57557.178710151595</v>
      </c>
      <c r="AB40" s="11">
        <f t="shared" ref="AB40:AC40" si="11">AB38*EXP(AB35-AB33*AB38)-AB38</f>
        <v>52293.188415705343</v>
      </c>
      <c r="AC40" s="11">
        <f t="shared" si="11"/>
        <v>60200.761942555575</v>
      </c>
      <c r="AD40" s="11">
        <f>AD38*EXP(AD35-AD33*AD38)-AD38</f>
        <v>88470.537014351707</v>
      </c>
      <c r="AE40" s="11">
        <f>AE38*EXP(AE35-AE33*AE38)-AE38</f>
        <v>53265.559527102829</v>
      </c>
    </row>
    <row r="41" spans="1:32" x14ac:dyDescent="0.3">
      <c r="A41" s="17">
        <v>2017</v>
      </c>
      <c r="B41" s="11">
        <f>'Summary Data'!C41</f>
        <v>55702</v>
      </c>
      <c r="C41" s="11">
        <f>'Summary Data'!H41</f>
        <v>7363</v>
      </c>
      <c r="D41" s="11">
        <f t="shared" ref="D41:D42" si="12">SUM(B41:C41)</f>
        <v>63065</v>
      </c>
      <c r="H41" s="25"/>
      <c r="I41" s="27"/>
      <c r="J41" s="25"/>
      <c r="K41" s="24"/>
      <c r="L41" s="25"/>
      <c r="M41" s="24"/>
      <c r="N41" s="25"/>
      <c r="O41" s="24"/>
      <c r="P41" s="25"/>
      <c r="Q41" s="24"/>
      <c r="R41" s="25"/>
      <c r="S41" s="24"/>
      <c r="U41" s="19"/>
      <c r="V41" s="43"/>
      <c r="W41" s="43"/>
      <c r="Z41" s="167" t="s">
        <v>86</v>
      </c>
      <c r="AA41" s="11">
        <f>MAX(B6:B28)/MIN(B6:B28)</f>
        <v>169.49496987116686</v>
      </c>
      <c r="AB41" s="12">
        <v>169</v>
      </c>
      <c r="AC41" s="11">
        <v>169</v>
      </c>
      <c r="AD41" s="11">
        <v>34</v>
      </c>
      <c r="AE41" s="11">
        <v>160.48464912280701</v>
      </c>
    </row>
    <row r="42" spans="1:32" x14ac:dyDescent="0.3">
      <c r="A42" s="17">
        <v>2018</v>
      </c>
      <c r="B42" s="11">
        <f>'Summary Data'!C42</f>
        <v>73810</v>
      </c>
      <c r="C42" s="11">
        <f>'Summary Data'!H42</f>
        <v>33417</v>
      </c>
      <c r="D42" s="11">
        <f t="shared" si="12"/>
        <v>107227</v>
      </c>
      <c r="H42" s="25"/>
      <c r="I42" s="27"/>
      <c r="J42" s="25"/>
      <c r="K42" s="24"/>
      <c r="L42" s="25"/>
      <c r="M42" s="24"/>
      <c r="N42" s="25"/>
      <c r="O42" s="24"/>
      <c r="P42" s="25"/>
      <c r="Q42" s="24"/>
      <c r="R42" s="25"/>
      <c r="S42" s="24"/>
      <c r="U42" s="19"/>
      <c r="Z42" s="167" t="s">
        <v>161</v>
      </c>
      <c r="AA42" s="11">
        <v>11734.641523281</v>
      </c>
      <c r="AB42" s="11">
        <v>12220.746922575428</v>
      </c>
      <c r="AC42" s="239">
        <v>11813.045559929553</v>
      </c>
      <c r="AD42" s="239">
        <v>11507.423802567657</v>
      </c>
      <c r="AE42" s="11">
        <v>11040</v>
      </c>
    </row>
    <row r="43" spans="1:32" x14ac:dyDescent="0.3">
      <c r="A43" s="17"/>
      <c r="F43" s="142"/>
      <c r="I43" s="18"/>
      <c r="J43" s="22"/>
      <c r="L43" s="22"/>
      <c r="N43" s="22"/>
      <c r="P43" s="22"/>
      <c r="R43" s="22"/>
      <c r="U43" s="19"/>
      <c r="Z43" s="167" t="s">
        <v>162</v>
      </c>
      <c r="AA43" s="11">
        <v>26794.968206180984</v>
      </c>
      <c r="AB43" s="11">
        <v>27674.37438745582</v>
      </c>
      <c r="AC43" s="239">
        <v>27033.671774720151</v>
      </c>
      <c r="AD43" s="239">
        <v>26941.264785956475</v>
      </c>
      <c r="AE43" s="11">
        <v>25200</v>
      </c>
    </row>
    <row r="44" spans="1:32" x14ac:dyDescent="0.3">
      <c r="A44" s="16"/>
      <c r="H44" s="46" t="s">
        <v>65</v>
      </c>
      <c r="I44" s="46"/>
      <c r="J44" s="45"/>
      <c r="K44" s="46"/>
      <c r="L44" s="45"/>
      <c r="M44" s="46"/>
      <c r="N44" s="45"/>
      <c r="O44" s="46"/>
      <c r="P44" s="46"/>
      <c r="T44" s="16"/>
      <c r="Z44" s="12" t="s">
        <v>238</v>
      </c>
      <c r="AC44" s="8"/>
      <c r="AE44" s="237">
        <v>4.4960000000000004</v>
      </c>
    </row>
    <row r="45" spans="1:32" x14ac:dyDescent="0.3">
      <c r="B45" s="11" t="s">
        <v>1</v>
      </c>
      <c r="C45" s="11" t="s">
        <v>8</v>
      </c>
      <c r="H45" s="46" t="s">
        <v>0</v>
      </c>
      <c r="I45" s="44" t="str">
        <f t="shared" ref="I45:K60" si="13">I5</f>
        <v>age 3</v>
      </c>
      <c r="J45" s="44"/>
      <c r="K45" s="44" t="str">
        <f t="shared" ref="K45:M60" si="14">K5</f>
        <v>age 4</v>
      </c>
      <c r="L45" s="44"/>
      <c r="M45" s="44" t="str">
        <f t="shared" ref="M45:O60" si="15">M5</f>
        <v>age 5</v>
      </c>
      <c r="N45" s="44"/>
      <c r="O45" s="44" t="str">
        <f t="shared" ref="O45:Q60" si="16">O5</f>
        <v>age 6</v>
      </c>
      <c r="P45" s="44"/>
      <c r="Q45" s="44" t="str">
        <f t="shared" ref="Q45:R60" si="17">Q5</f>
        <v>age 7</v>
      </c>
      <c r="R45" s="44"/>
      <c r="S45" s="44" t="str">
        <f t="shared" ref="S45:S68" si="18">S5</f>
        <v>age 8</v>
      </c>
      <c r="T45" s="46" t="s">
        <v>12</v>
      </c>
      <c r="Z45" s="12" t="s">
        <v>239</v>
      </c>
      <c r="AC45" s="60"/>
      <c r="AE45" s="137">
        <f>AE44*EXP(AF34/2)</f>
        <v>8.5821813054364178</v>
      </c>
    </row>
    <row r="46" spans="1:32" x14ac:dyDescent="0.3">
      <c r="A46" s="17">
        <v>1982</v>
      </c>
      <c r="B46" s="11">
        <f>'Summary Data'!C6</f>
        <v>455.8408662342689</v>
      </c>
      <c r="C46" s="11">
        <f>'Summary Data'!D6</f>
        <v>97</v>
      </c>
      <c r="H46" s="15">
        <f t="shared" ref="H46:R61" si="19">H6</f>
        <v>1985</v>
      </c>
      <c r="I46" s="11">
        <f t="shared" si="13"/>
        <v>75.455570010196638</v>
      </c>
      <c r="J46" s="15">
        <f t="shared" si="13"/>
        <v>1986</v>
      </c>
      <c r="K46" s="11">
        <f t="shared" si="14"/>
        <v>1807.8225981792191</v>
      </c>
      <c r="L46" s="15">
        <f t="shared" si="14"/>
        <v>1987</v>
      </c>
      <c r="M46" s="11">
        <f t="shared" si="15"/>
        <v>4612.102372369638</v>
      </c>
      <c r="N46" s="15">
        <f t="shared" si="15"/>
        <v>1988</v>
      </c>
      <c r="O46" s="11">
        <f t="shared" si="16"/>
        <v>339.78668492119061</v>
      </c>
      <c r="P46" s="15">
        <f t="shared" si="16"/>
        <v>1989</v>
      </c>
      <c r="Q46" s="11">
        <f t="shared" si="17"/>
        <v>20.500583322578365</v>
      </c>
      <c r="R46" s="15">
        <f t="shared" si="17"/>
        <v>1990</v>
      </c>
      <c r="S46" s="11">
        <f t="shared" si="18"/>
        <v>0</v>
      </c>
      <c r="T46" s="11">
        <f t="shared" ref="T46:T54" si="20">E6</f>
        <v>6855.6678088028229</v>
      </c>
      <c r="Z46" s="147" t="s">
        <v>150</v>
      </c>
      <c r="AA46"/>
      <c r="AB46"/>
      <c r="AC46" s="60"/>
      <c r="AE46" s="1"/>
    </row>
    <row r="47" spans="1:32" x14ac:dyDescent="0.3">
      <c r="A47" s="17">
        <v>1983</v>
      </c>
      <c r="B47" s="11">
        <f>'Summary Data'!C7</f>
        <v>2539.7855103785087</v>
      </c>
      <c r="C47" s="11">
        <f>'Summary Data'!D7</f>
        <v>36</v>
      </c>
      <c r="H47" s="15">
        <f t="shared" si="19"/>
        <v>1986</v>
      </c>
      <c r="I47" s="11">
        <f t="shared" si="13"/>
        <v>68.625317817510279</v>
      </c>
      <c r="J47" s="15">
        <f t="shared" si="13"/>
        <v>1987</v>
      </c>
      <c r="K47" s="11">
        <f t="shared" si="14"/>
        <v>5948.6908477009374</v>
      </c>
      <c r="L47" s="15">
        <f t="shared" si="14"/>
        <v>1988</v>
      </c>
      <c r="M47" s="11">
        <f t="shared" si="15"/>
        <v>2786.2508163537632</v>
      </c>
      <c r="N47" s="15">
        <f t="shared" si="15"/>
        <v>1989</v>
      </c>
      <c r="O47" s="11">
        <f t="shared" si="16"/>
        <v>4018.1143312253589</v>
      </c>
      <c r="P47" s="15">
        <f t="shared" si="16"/>
        <v>1990</v>
      </c>
      <c r="Q47" s="11">
        <f t="shared" si="17"/>
        <v>0</v>
      </c>
      <c r="R47" s="15">
        <f t="shared" si="17"/>
        <v>1991</v>
      </c>
      <c r="S47" s="11">
        <f t="shared" si="18"/>
        <v>21.60702630259123</v>
      </c>
      <c r="T47" s="11">
        <f t="shared" si="20"/>
        <v>12843.28833940016</v>
      </c>
      <c r="AA47"/>
      <c r="AB47"/>
      <c r="AC47" s="60"/>
      <c r="AE47" s="1"/>
    </row>
    <row r="48" spans="1:32" x14ac:dyDescent="0.3">
      <c r="A48" s="17">
        <v>1984</v>
      </c>
      <c r="B48" s="11">
        <f>'Summary Data'!C8</f>
        <v>11579.406940083547</v>
      </c>
      <c r="C48" s="11">
        <f>'Summary Data'!D8</f>
        <v>175</v>
      </c>
      <c r="H48" s="15">
        <f t="shared" si="19"/>
        <v>1987</v>
      </c>
      <c r="I48" s="11">
        <f t="shared" si="13"/>
        <v>94.201613399815997</v>
      </c>
      <c r="J48" s="15">
        <f t="shared" si="13"/>
        <v>1988</v>
      </c>
      <c r="K48" s="11">
        <f t="shared" si="14"/>
        <v>465.99316789191863</v>
      </c>
      <c r="L48" s="15">
        <f t="shared" si="14"/>
        <v>1989</v>
      </c>
      <c r="M48" s="11">
        <f t="shared" si="15"/>
        <v>27202.666648355324</v>
      </c>
      <c r="N48" s="15">
        <f t="shared" si="15"/>
        <v>1990</v>
      </c>
      <c r="O48" s="11">
        <f t="shared" si="16"/>
        <v>21080.475644975904</v>
      </c>
      <c r="P48" s="15">
        <f t="shared" si="16"/>
        <v>1991</v>
      </c>
      <c r="Q48" s="11">
        <f t="shared" si="17"/>
        <v>1231.6004992477001</v>
      </c>
      <c r="R48" s="15">
        <f t="shared" si="17"/>
        <v>1992</v>
      </c>
      <c r="S48" s="11">
        <f t="shared" si="18"/>
        <v>0</v>
      </c>
      <c r="T48" s="11">
        <f t="shared" si="20"/>
        <v>50074.937573870666</v>
      </c>
      <c r="Z48"/>
      <c r="AA48"/>
      <c r="AB48"/>
      <c r="AC48" s="60"/>
      <c r="AE48" s="1"/>
    </row>
    <row r="49" spans="1:32" x14ac:dyDescent="0.3">
      <c r="A49" s="17">
        <v>1985</v>
      </c>
      <c r="B49" s="11">
        <f>'Summary Data'!C9</f>
        <v>10991.361364818644</v>
      </c>
      <c r="C49" s="11">
        <f>'Summary Data'!D9</f>
        <v>97</v>
      </c>
      <c r="H49" s="15">
        <f t="shared" si="19"/>
        <v>1988</v>
      </c>
      <c r="I49" s="11">
        <f t="shared" si="13"/>
        <v>0</v>
      </c>
      <c r="J49" s="15">
        <f t="shared" si="13"/>
        <v>1989</v>
      </c>
      <c r="K49" s="11">
        <f t="shared" si="14"/>
        <v>2775.6397293548494</v>
      </c>
      <c r="L49" s="15">
        <f t="shared" si="14"/>
        <v>1990</v>
      </c>
      <c r="M49" s="11">
        <f t="shared" si="15"/>
        <v>53395.456274400043</v>
      </c>
      <c r="N49" s="15">
        <f t="shared" si="15"/>
        <v>1991</v>
      </c>
      <c r="O49" s="11">
        <f t="shared" si="16"/>
        <v>39778.535423070454</v>
      </c>
      <c r="P49" s="15">
        <f t="shared" si="16"/>
        <v>1992</v>
      </c>
      <c r="Q49" s="11">
        <f t="shared" si="17"/>
        <v>204.13948039306837</v>
      </c>
      <c r="R49" s="15">
        <f t="shared" si="17"/>
        <v>1993</v>
      </c>
      <c r="S49" s="11">
        <f t="shared" si="18"/>
        <v>0</v>
      </c>
      <c r="T49" s="11">
        <f t="shared" si="20"/>
        <v>96153.770907218423</v>
      </c>
    </row>
    <row r="50" spans="1:32" x14ac:dyDescent="0.3">
      <c r="A50" s="17">
        <v>1986</v>
      </c>
      <c r="B50" s="11">
        <f>'Summary Data'!C10</f>
        <v>9798.1703772778565</v>
      </c>
      <c r="C50" s="11">
        <f>'Summary Data'!D10</f>
        <v>86</v>
      </c>
      <c r="H50" s="15">
        <f t="shared" si="19"/>
        <v>1989</v>
      </c>
      <c r="I50" s="11">
        <f t="shared" si="13"/>
        <v>151.14530093131512</v>
      </c>
      <c r="J50" s="15">
        <f t="shared" si="13"/>
        <v>1990</v>
      </c>
      <c r="K50" s="11">
        <f t="shared" si="14"/>
        <v>4221.5121922079315</v>
      </c>
      <c r="L50" s="15">
        <f t="shared" si="14"/>
        <v>1991</v>
      </c>
      <c r="M50" s="11">
        <f t="shared" si="15"/>
        <v>3238.2930564997951</v>
      </c>
      <c r="N50" s="15">
        <f t="shared" si="15"/>
        <v>1992</v>
      </c>
      <c r="O50" s="11">
        <f t="shared" si="16"/>
        <v>3038.5376504660567</v>
      </c>
      <c r="P50" s="15">
        <f t="shared" si="16"/>
        <v>1993</v>
      </c>
      <c r="Q50" s="11">
        <f t="shared" si="17"/>
        <v>266.23566969451633</v>
      </c>
      <c r="R50" s="15">
        <f t="shared" si="17"/>
        <v>1994</v>
      </c>
      <c r="S50" s="11">
        <f t="shared" si="18"/>
        <v>0</v>
      </c>
      <c r="T50" s="11">
        <f t="shared" si="20"/>
        <v>10915.723869799616</v>
      </c>
    </row>
    <row r="51" spans="1:32" x14ac:dyDescent="0.3">
      <c r="A51" s="17">
        <v>1987</v>
      </c>
      <c r="B51" s="11">
        <f>'Summary Data'!C11</f>
        <v>14251.358370057878</v>
      </c>
      <c r="C51" s="11">
        <f>'Summary Data'!D11</f>
        <v>199</v>
      </c>
      <c r="H51" s="15">
        <f t="shared" si="19"/>
        <v>1990</v>
      </c>
      <c r="I51" s="11">
        <f t="shared" si="13"/>
        <v>466.48969982479201</v>
      </c>
      <c r="J51" s="15">
        <f t="shared" si="13"/>
        <v>1991</v>
      </c>
      <c r="K51" s="11">
        <f t="shared" si="14"/>
        <v>4196.3247108634368</v>
      </c>
      <c r="L51" s="15">
        <f t="shared" si="14"/>
        <v>1992</v>
      </c>
      <c r="M51" s="11">
        <f t="shared" si="15"/>
        <v>4694.5996153056331</v>
      </c>
      <c r="N51" s="15">
        <f t="shared" si="15"/>
        <v>1993</v>
      </c>
      <c r="O51" s="11">
        <f t="shared" si="16"/>
        <v>4150.8561229645047</v>
      </c>
      <c r="P51" s="15">
        <f t="shared" si="16"/>
        <v>1994</v>
      </c>
      <c r="Q51" s="11">
        <f t="shared" si="17"/>
        <v>745.70127149555219</v>
      </c>
      <c r="R51" s="15">
        <f t="shared" si="17"/>
        <v>1995</v>
      </c>
      <c r="S51" s="11">
        <f t="shared" si="18"/>
        <v>0</v>
      </c>
      <c r="T51" s="11">
        <f t="shared" si="20"/>
        <v>14253.97142045392</v>
      </c>
    </row>
    <row r="52" spans="1:32" x14ac:dyDescent="0.3">
      <c r="A52" s="17">
        <v>1988</v>
      </c>
      <c r="B52" s="11">
        <f>'Summary Data'!C12</f>
        <v>3252.0306691668725</v>
      </c>
      <c r="C52" s="11">
        <f>'Summary Data'!D12</f>
        <v>334</v>
      </c>
      <c r="H52" s="15">
        <f t="shared" si="19"/>
        <v>1991</v>
      </c>
      <c r="I52" s="11">
        <f t="shared" si="13"/>
        <v>101.13290929073392</v>
      </c>
      <c r="J52" s="15">
        <f t="shared" si="13"/>
        <v>1992</v>
      </c>
      <c r="K52" s="11">
        <f t="shared" si="14"/>
        <v>1736.5724933840031</v>
      </c>
      <c r="L52" s="15">
        <f t="shared" si="14"/>
        <v>1993</v>
      </c>
      <c r="M52" s="11">
        <f t="shared" si="15"/>
        <v>14049.982387060612</v>
      </c>
      <c r="N52" s="15">
        <f t="shared" si="15"/>
        <v>1994</v>
      </c>
      <c r="O52" s="11">
        <f t="shared" si="16"/>
        <v>16618.485479043735</v>
      </c>
      <c r="P52" s="15">
        <f t="shared" si="16"/>
        <v>1995</v>
      </c>
      <c r="Q52" s="11">
        <f t="shared" si="17"/>
        <v>104.44825482566539</v>
      </c>
      <c r="R52" s="15">
        <f t="shared" si="17"/>
        <v>1996</v>
      </c>
      <c r="S52" s="11">
        <f t="shared" si="18"/>
        <v>0</v>
      </c>
      <c r="T52" s="11">
        <f t="shared" si="20"/>
        <v>32610.62152360475</v>
      </c>
    </row>
    <row r="53" spans="1:32" x14ac:dyDescent="0.3">
      <c r="A53" s="17">
        <v>1989</v>
      </c>
      <c r="B53" s="11">
        <f>'Summary Data'!C13</f>
        <v>31570.474732028444</v>
      </c>
      <c r="C53" s="11">
        <f>'Summary Data'!D13</f>
        <v>2685</v>
      </c>
      <c r="H53" s="15">
        <f t="shared" si="19"/>
        <v>1992</v>
      </c>
      <c r="I53" s="11">
        <f t="shared" si="13"/>
        <v>738.66910467995558</v>
      </c>
      <c r="J53" s="15">
        <f t="shared" si="13"/>
        <v>1993</v>
      </c>
      <c r="K53" s="11">
        <f t="shared" si="14"/>
        <v>9320.6458769037836</v>
      </c>
      <c r="L53" s="15">
        <f t="shared" si="14"/>
        <v>1994</v>
      </c>
      <c r="M53" s="11">
        <f t="shared" si="15"/>
        <v>15444.282198360985</v>
      </c>
      <c r="N53" s="15">
        <f t="shared" si="15"/>
        <v>1995</v>
      </c>
      <c r="O53" s="11">
        <f t="shared" si="16"/>
        <v>2054.1490115714191</v>
      </c>
      <c r="P53" s="15">
        <f t="shared" si="16"/>
        <v>1996</v>
      </c>
      <c r="Q53" s="11">
        <f t="shared" si="17"/>
        <v>15.68515108196841</v>
      </c>
      <c r="R53" s="15">
        <f t="shared" si="17"/>
        <v>1997</v>
      </c>
      <c r="S53" s="11">
        <f t="shared" si="18"/>
        <v>0</v>
      </c>
      <c r="T53" s="11">
        <f t="shared" si="20"/>
        <v>27573.431342598109</v>
      </c>
    </row>
    <row r="54" spans="1:32" x14ac:dyDescent="0.3">
      <c r="A54" s="17">
        <v>1990</v>
      </c>
      <c r="B54" s="11">
        <f>'Summary Data'!C14</f>
        <v>73180.571660014248</v>
      </c>
      <c r="C54" s="11">
        <f>'Summary Data'!D14</f>
        <v>5326</v>
      </c>
      <c r="H54" s="15">
        <f t="shared" si="19"/>
        <v>1993</v>
      </c>
      <c r="I54" s="11">
        <f t="shared" si="13"/>
        <v>268.78462484819488</v>
      </c>
      <c r="J54" s="15">
        <f t="shared" si="13"/>
        <v>1994</v>
      </c>
      <c r="K54" s="11">
        <f t="shared" si="14"/>
        <v>12580.691294616545</v>
      </c>
      <c r="L54" s="15">
        <f t="shared" si="14"/>
        <v>1995</v>
      </c>
      <c r="M54" s="11">
        <f t="shared" si="15"/>
        <v>28879.942459296479</v>
      </c>
      <c r="N54" s="15">
        <f t="shared" si="15"/>
        <v>1996</v>
      </c>
      <c r="O54" s="11">
        <f t="shared" si="16"/>
        <v>3058.60446098384</v>
      </c>
      <c r="P54" s="15">
        <f t="shared" si="16"/>
        <v>1997</v>
      </c>
      <c r="Q54" s="11">
        <f t="shared" si="17"/>
        <v>0</v>
      </c>
      <c r="R54" s="15">
        <f t="shared" si="17"/>
        <v>1998</v>
      </c>
      <c r="S54" s="11">
        <f t="shared" si="18"/>
        <v>0</v>
      </c>
      <c r="T54" s="11">
        <f t="shared" si="20"/>
        <v>44788.022839745063</v>
      </c>
    </row>
    <row r="55" spans="1:32" x14ac:dyDescent="0.3">
      <c r="A55" s="17">
        <v>1991</v>
      </c>
      <c r="B55" s="11">
        <f>'Summary Data'!C15</f>
        <v>45509.809180830263</v>
      </c>
      <c r="C55" s="11">
        <f>'Summary Data'!D15</f>
        <v>3105</v>
      </c>
      <c r="H55" s="233">
        <f t="shared" si="19"/>
        <v>1994</v>
      </c>
      <c r="I55" s="234">
        <f t="shared" si="13"/>
        <v>384.19488186101904</v>
      </c>
      <c r="J55" s="233">
        <f t="shared" si="13"/>
        <v>1995</v>
      </c>
      <c r="K55" s="234">
        <f t="shared" si="14"/>
        <v>5419.2377886806571</v>
      </c>
      <c r="L55" s="233">
        <f t="shared" si="14"/>
        <v>1996</v>
      </c>
      <c r="M55" s="234">
        <f t="shared" si="15"/>
        <v>14775.412319214242</v>
      </c>
      <c r="N55" s="233">
        <f t="shared" si="15"/>
        <v>1997</v>
      </c>
      <c r="O55" s="234">
        <f t="shared" si="16"/>
        <v>15148.316879979462</v>
      </c>
      <c r="P55" s="233">
        <f t="shared" si="16"/>
        <v>1998</v>
      </c>
      <c r="Q55" s="235">
        <f>SUM(I55,K55,M55,O55,S55)*(1/(1-Q113)-1)</f>
        <v>0</v>
      </c>
      <c r="R55" s="233">
        <f t="shared" si="17"/>
        <v>1999</v>
      </c>
      <c r="S55" s="234">
        <f t="shared" si="18"/>
        <v>0</v>
      </c>
      <c r="T55" s="235"/>
    </row>
    <row r="56" spans="1:32" x14ac:dyDescent="0.3">
      <c r="A56" s="17">
        <v>1992</v>
      </c>
      <c r="B56" s="11">
        <f>'Summary Data'!C16</f>
        <v>10325.816536999801</v>
      </c>
      <c r="C56" s="11">
        <f>'Summary Data'!D16</f>
        <v>96</v>
      </c>
      <c r="H56" s="233">
        <f t="shared" si="19"/>
        <v>1995</v>
      </c>
      <c r="I56" s="234">
        <f t="shared" si="13"/>
        <v>3173.9954494901835</v>
      </c>
      <c r="J56" s="233">
        <f t="shared" si="13"/>
        <v>1996</v>
      </c>
      <c r="K56" s="234">
        <f t="shared" si="14"/>
        <v>6196.640353875634</v>
      </c>
      <c r="L56" s="233">
        <f t="shared" si="14"/>
        <v>1997</v>
      </c>
      <c r="M56" s="234">
        <f t="shared" si="15"/>
        <v>17217.029757862118</v>
      </c>
      <c r="N56" s="233">
        <f t="shared" si="15"/>
        <v>1998</v>
      </c>
      <c r="O56" s="235">
        <f>SUM(I56,K56,M56,Q56,S56)*(1/(1-O113)-1)</f>
        <v>4377.0130406394146</v>
      </c>
      <c r="P56" s="233">
        <f t="shared" si="16"/>
        <v>1999</v>
      </c>
      <c r="Q56" s="234">
        <f t="shared" si="16"/>
        <v>0</v>
      </c>
      <c r="R56" s="233">
        <f t="shared" si="17"/>
        <v>2000</v>
      </c>
      <c r="S56" s="234">
        <f t="shared" si="18"/>
        <v>0</v>
      </c>
      <c r="T56" s="235"/>
    </row>
    <row r="57" spans="1:32" x14ac:dyDescent="0.3">
      <c r="A57" s="17">
        <v>1993</v>
      </c>
      <c r="B57" s="11">
        <f>'Summary Data'!C17</f>
        <v>25018.47288086998</v>
      </c>
      <c r="C57" s="11">
        <f>'Summary Data'!D17</f>
        <v>2326</v>
      </c>
      <c r="H57" s="233">
        <f t="shared" si="19"/>
        <v>1996</v>
      </c>
      <c r="I57" s="234">
        <f t="shared" si="13"/>
        <v>584.58164386895123</v>
      </c>
      <c r="J57" s="233">
        <f t="shared" si="13"/>
        <v>1997</v>
      </c>
      <c r="K57" s="234">
        <f t="shared" si="14"/>
        <v>4583.23677724154</v>
      </c>
      <c r="L57" s="233">
        <f t="shared" si="14"/>
        <v>1998</v>
      </c>
      <c r="M57" s="235">
        <f>SUM(I57,K57,O57,Q57,S57)*(1/(1-M113)-1)</f>
        <v>17621.821065626838</v>
      </c>
      <c r="N57" s="233">
        <f t="shared" si="15"/>
        <v>1999</v>
      </c>
      <c r="O57" s="234">
        <f t="shared" si="15"/>
        <v>10584.421781522049</v>
      </c>
      <c r="P57" s="233">
        <f t="shared" si="16"/>
        <v>2000</v>
      </c>
      <c r="Q57" s="234">
        <f t="shared" si="16"/>
        <v>0</v>
      </c>
      <c r="R57" s="233">
        <f t="shared" si="17"/>
        <v>2001</v>
      </c>
      <c r="S57" s="234">
        <f t="shared" si="18"/>
        <v>0</v>
      </c>
      <c r="T57" s="235"/>
    </row>
    <row r="58" spans="1:32" x14ac:dyDescent="0.3">
      <c r="A58" s="17">
        <v>1994</v>
      </c>
      <c r="B58" s="11">
        <f>'Summary Data'!C18</f>
        <v>39710.382989154925</v>
      </c>
      <c r="C58" s="11">
        <f>'Summary Data'!D18</f>
        <v>4120</v>
      </c>
      <c r="H58" s="233">
        <f t="shared" si="19"/>
        <v>1997</v>
      </c>
      <c r="I58" s="234">
        <f t="shared" si="13"/>
        <v>821.33642065830168</v>
      </c>
      <c r="J58" s="233">
        <f t="shared" si="13"/>
        <v>1998</v>
      </c>
      <c r="K58" s="235">
        <f>SUM(I58,M58,O58,Q58,S58)*(1/(1-K113)-1)</f>
        <v>22337.330345415656</v>
      </c>
      <c r="L58" s="233">
        <f t="shared" si="14"/>
        <v>1999</v>
      </c>
      <c r="M58" s="234">
        <f t="shared" si="14"/>
        <v>58639.824191598287</v>
      </c>
      <c r="N58" s="233">
        <f t="shared" si="15"/>
        <v>2000</v>
      </c>
      <c r="O58" s="234">
        <f t="shared" si="15"/>
        <v>234.83308344250167</v>
      </c>
      <c r="P58" s="233">
        <f t="shared" si="16"/>
        <v>2001</v>
      </c>
      <c r="Q58" s="234">
        <f t="shared" si="16"/>
        <v>0</v>
      </c>
      <c r="R58" s="233">
        <f t="shared" si="17"/>
        <v>2002</v>
      </c>
      <c r="S58" s="234">
        <f t="shared" si="18"/>
        <v>0</v>
      </c>
      <c r="T58" s="235"/>
    </row>
    <row r="59" spans="1:32" x14ac:dyDescent="0.3">
      <c r="A59" s="17">
        <v>1995</v>
      </c>
      <c r="B59" s="11">
        <f>'Summary Data'!C19</f>
        <v>34797.618320235895</v>
      </c>
      <c r="C59" s="11">
        <f>'Summary Data'!D19</f>
        <v>2968</v>
      </c>
      <c r="H59" s="233">
        <f t="shared" si="19"/>
        <v>1998</v>
      </c>
      <c r="I59" s="235">
        <f>SUM(K59,M59,O59,Q59,S59)*(1/(1-I113)-1)</f>
        <v>27.99426001840958</v>
      </c>
      <c r="J59" s="233">
        <f t="shared" si="13"/>
        <v>1999</v>
      </c>
      <c r="K59" s="234">
        <f t="shared" si="13"/>
        <v>1063.7609830675426</v>
      </c>
      <c r="L59" s="233">
        <f t="shared" si="14"/>
        <v>2000</v>
      </c>
      <c r="M59" s="234">
        <f t="shared" si="14"/>
        <v>2465.7473761462679</v>
      </c>
      <c r="N59" s="233">
        <f t="shared" si="15"/>
        <v>2001</v>
      </c>
      <c r="O59" s="234">
        <f t="shared" si="15"/>
        <v>99.840672970582915</v>
      </c>
      <c r="P59" s="233">
        <f t="shared" si="16"/>
        <v>2002</v>
      </c>
      <c r="Q59" s="234">
        <f t="shared" si="16"/>
        <v>37.288518469088736</v>
      </c>
      <c r="R59" s="233">
        <f t="shared" si="17"/>
        <v>2003</v>
      </c>
      <c r="S59" s="234">
        <f t="shared" si="18"/>
        <v>0</v>
      </c>
      <c r="T59" s="235"/>
    </row>
    <row r="60" spans="1:32" x14ac:dyDescent="0.3">
      <c r="A60" s="17">
        <v>1996</v>
      </c>
      <c r="B60" s="11">
        <f>'Summary Data'!C20</f>
        <v>19209.334767083867</v>
      </c>
      <c r="C60" s="11">
        <f>'Summary Data'!D20</f>
        <v>3337</v>
      </c>
      <c r="H60" s="15">
        <f t="shared" si="19"/>
        <v>1999</v>
      </c>
      <c r="I60" s="11">
        <f t="shared" si="19"/>
        <v>130.8121655801767</v>
      </c>
      <c r="J60" s="15">
        <f t="shared" si="13"/>
        <v>2000</v>
      </c>
      <c r="K60" s="11">
        <f t="shared" si="13"/>
        <v>1038.7975001195587</v>
      </c>
      <c r="L60" s="15">
        <f t="shared" si="14"/>
        <v>2001</v>
      </c>
      <c r="M60" s="11">
        <f t="shared" si="14"/>
        <v>3509.8825125984531</v>
      </c>
      <c r="N60" s="15">
        <f t="shared" si="15"/>
        <v>2002</v>
      </c>
      <c r="O60" s="11">
        <f t="shared" si="15"/>
        <v>2672.3438236180264</v>
      </c>
      <c r="P60" s="15">
        <f t="shared" si="16"/>
        <v>2003</v>
      </c>
      <c r="Q60" s="11">
        <f t="shared" si="16"/>
        <v>82.053850505723574</v>
      </c>
      <c r="R60" s="15">
        <f t="shared" si="17"/>
        <v>2004</v>
      </c>
      <c r="S60" s="11">
        <f t="shared" si="18"/>
        <v>0</v>
      </c>
      <c r="T60" s="11">
        <f t="shared" ref="T60:T76" si="21">E20</f>
        <v>7433.8898524219385</v>
      </c>
      <c r="Z60" s="151" t="s">
        <v>63</v>
      </c>
      <c r="AA60" s="151" t="s">
        <v>148</v>
      </c>
      <c r="AB60" s="151" t="s">
        <v>149</v>
      </c>
      <c r="AC60" s="163" t="s">
        <v>79</v>
      </c>
      <c r="AE60" s="1"/>
    </row>
    <row r="61" spans="1:32" x14ac:dyDescent="0.3">
      <c r="A61" s="17">
        <v>1997</v>
      </c>
      <c r="B61" s="11">
        <f>'Summary Data'!C21</f>
        <v>28898.406062239013</v>
      </c>
      <c r="C61" s="11">
        <f>'Summary Data'!D21</f>
        <v>2253</v>
      </c>
      <c r="H61" s="15">
        <f t="shared" si="19"/>
        <v>2000</v>
      </c>
      <c r="I61" s="11">
        <f t="shared" si="19"/>
        <v>80.035035345185264</v>
      </c>
      <c r="J61" s="15">
        <f t="shared" si="19"/>
        <v>2001</v>
      </c>
      <c r="K61" s="11">
        <f t="shared" si="19"/>
        <v>1283.2942828084099</v>
      </c>
      <c r="L61" s="15">
        <f t="shared" si="19"/>
        <v>2002</v>
      </c>
      <c r="M61" s="11">
        <f t="shared" si="19"/>
        <v>13150.417513431961</v>
      </c>
      <c r="N61" s="15">
        <f t="shared" si="19"/>
        <v>2003</v>
      </c>
      <c r="O61" s="11">
        <f t="shared" si="19"/>
        <v>12677.319903134294</v>
      </c>
      <c r="P61" s="15">
        <f t="shared" si="19"/>
        <v>2004</v>
      </c>
      <c r="Q61" s="11">
        <f t="shared" si="19"/>
        <v>0</v>
      </c>
      <c r="R61" s="15">
        <f t="shared" si="19"/>
        <v>2005</v>
      </c>
      <c r="S61" s="11">
        <f t="shared" si="18"/>
        <v>0</v>
      </c>
      <c r="T61" s="11">
        <f t="shared" si="21"/>
        <v>27191.066734719851</v>
      </c>
      <c r="Y61" s="12" t="s">
        <v>163</v>
      </c>
      <c r="Z61" s="150">
        <v>26794.968206183388</v>
      </c>
      <c r="AA61" s="150">
        <f>Z61*EXP(AA35+Z61*AC61)</f>
        <v>78595.968206201083</v>
      </c>
      <c r="AB61" s="150">
        <f>AA61-Z61</f>
        <v>51801.000000017695</v>
      </c>
      <c r="AC61" s="169">
        <f>-1*AA33</f>
        <v>-4.0699612787082298E-5</v>
      </c>
      <c r="AE61" s="1"/>
    </row>
    <row r="62" spans="1:32" x14ac:dyDescent="0.3">
      <c r="A62" s="17">
        <v>1999</v>
      </c>
      <c r="B62" s="11">
        <f>'Summary Data'!C23</f>
        <v>57753.571103648006</v>
      </c>
      <c r="C62" s="11">
        <f>'Summary Data'!D23</f>
        <v>6761</v>
      </c>
      <c r="H62" s="15">
        <f t="shared" ref="H62:S77" si="22">H22</f>
        <v>2001</v>
      </c>
      <c r="I62" s="11">
        <f t="shared" si="22"/>
        <v>137.02822730951218</v>
      </c>
      <c r="J62" s="15">
        <f t="shared" si="22"/>
        <v>2002</v>
      </c>
      <c r="K62" s="11">
        <f t="shared" si="22"/>
        <v>10737.668081643276</v>
      </c>
      <c r="L62" s="15">
        <f t="shared" si="22"/>
        <v>2003</v>
      </c>
      <c r="M62" s="11">
        <f t="shared" si="22"/>
        <v>64699.461123763052</v>
      </c>
      <c r="N62" s="15">
        <f t="shared" si="22"/>
        <v>2004</v>
      </c>
      <c r="O62" s="11">
        <f t="shared" si="22"/>
        <v>5838.8078036837833</v>
      </c>
      <c r="P62" s="15">
        <f t="shared" si="22"/>
        <v>2005</v>
      </c>
      <c r="Q62" s="11">
        <f t="shared" si="22"/>
        <v>61.663890783627785</v>
      </c>
      <c r="R62" s="15">
        <f t="shared" si="22"/>
        <v>2006</v>
      </c>
      <c r="S62" s="11">
        <f t="shared" si="18"/>
        <v>0</v>
      </c>
      <c r="T62" s="11">
        <f t="shared" si="21"/>
        <v>81474.62912718326</v>
      </c>
      <c r="Y62" s="12" t="s">
        <v>141</v>
      </c>
      <c r="Z62" s="150">
        <v>27674.37438745582</v>
      </c>
      <c r="AA62" s="150">
        <f>Z62*EXP($AB$35+Z62*$AC$62)</f>
        <v>74738.374387565535</v>
      </c>
      <c r="AB62" s="150">
        <f>AA62-Z62</f>
        <v>47064.000000109714</v>
      </c>
      <c r="AC62" s="12">
        <f>-1*AB33</f>
        <v>-3.7902439387383252E-5</v>
      </c>
    </row>
    <row r="63" spans="1:32" x14ac:dyDescent="0.3">
      <c r="A63" s="17">
        <v>2000</v>
      </c>
      <c r="B63" s="11">
        <f>'Summary Data'!C24</f>
        <v>3032.1982934523489</v>
      </c>
      <c r="C63" s="11">
        <f>'Summary Data'!D24</f>
        <v>35</v>
      </c>
      <c r="H63" s="15">
        <f t="shared" si="22"/>
        <v>2002</v>
      </c>
      <c r="I63" s="11">
        <f t="shared" si="22"/>
        <v>44.71150086030719</v>
      </c>
      <c r="J63" s="15">
        <f t="shared" si="22"/>
        <v>2003</v>
      </c>
      <c r="K63" s="11">
        <f t="shared" si="22"/>
        <v>4370.6275066781272</v>
      </c>
      <c r="L63" s="15">
        <f t="shared" si="22"/>
        <v>2004</v>
      </c>
      <c r="M63" s="11">
        <f t="shared" si="22"/>
        <v>51452.28210034073</v>
      </c>
      <c r="N63" s="15">
        <f t="shared" si="22"/>
        <v>2005</v>
      </c>
      <c r="O63" s="11">
        <f t="shared" si="22"/>
        <v>6135.5571329709655</v>
      </c>
      <c r="P63" s="15">
        <f t="shared" si="22"/>
        <v>2006</v>
      </c>
      <c r="Q63" s="11">
        <f t="shared" si="22"/>
        <v>0</v>
      </c>
      <c r="R63" s="15">
        <f t="shared" si="22"/>
        <v>2007</v>
      </c>
      <c r="S63" s="11">
        <f t="shared" si="18"/>
        <v>0</v>
      </c>
      <c r="T63" s="11">
        <f t="shared" si="21"/>
        <v>62003.178240850131</v>
      </c>
      <c r="Y63" s="12" t="s">
        <v>236</v>
      </c>
      <c r="Z63" s="12">
        <v>27033.671774720151</v>
      </c>
      <c r="AA63" s="150">
        <f>Z63*EXP($AC$35+Z63*$AC$63)</f>
        <v>81214.671775707917</v>
      </c>
      <c r="AB63" s="150">
        <f>AA63-Z63</f>
        <v>54181.000000987769</v>
      </c>
      <c r="AC63" s="12">
        <f>-1*AC33</f>
        <v>-4.0757016679028102E-5</v>
      </c>
      <c r="AE63" s="147"/>
    </row>
    <row r="64" spans="1:32" x14ac:dyDescent="0.3">
      <c r="A64" s="17">
        <v>2001</v>
      </c>
      <c r="B64" s="11">
        <f>'Summary Data'!C25</f>
        <v>3666.9945177828154</v>
      </c>
      <c r="C64" s="11">
        <f>'Summary Data'!D25</f>
        <v>16</v>
      </c>
      <c r="H64" s="15">
        <f t="shared" si="22"/>
        <v>2003</v>
      </c>
      <c r="I64" s="11">
        <f t="shared" si="22"/>
        <v>34.998883189767149</v>
      </c>
      <c r="J64" s="15">
        <f t="shared" si="22"/>
        <v>2004</v>
      </c>
      <c r="K64" s="11">
        <f t="shared" si="22"/>
        <v>31827.453106064524</v>
      </c>
      <c r="L64" s="15">
        <f t="shared" si="22"/>
        <v>2005</v>
      </c>
      <c r="M64" s="11">
        <f t="shared" si="22"/>
        <v>46124.590306153594</v>
      </c>
      <c r="N64" s="15">
        <f t="shared" si="22"/>
        <v>2006</v>
      </c>
      <c r="O64" s="11">
        <f t="shared" si="22"/>
        <v>12377.08793478919</v>
      </c>
      <c r="P64" s="15">
        <f t="shared" si="22"/>
        <v>2007</v>
      </c>
      <c r="Q64" s="11">
        <f t="shared" si="22"/>
        <v>179.33922627177168</v>
      </c>
      <c r="R64" s="15">
        <f t="shared" si="22"/>
        <v>2008</v>
      </c>
      <c r="S64" s="11">
        <f t="shared" si="18"/>
        <v>0</v>
      </c>
      <c r="T64" s="11">
        <f t="shared" si="21"/>
        <v>90543.46945646884</v>
      </c>
      <c r="Y64" s="12" t="s">
        <v>237</v>
      </c>
      <c r="Z64" s="12">
        <v>26941.264785911902</v>
      </c>
      <c r="AA64" s="150">
        <f>Z64*EXP($AD$35+Z64*$AC$64)</f>
        <v>106564.26478690747</v>
      </c>
      <c r="AB64" s="150">
        <f>AA64-Z64</f>
        <v>79623.000000995569</v>
      </c>
      <c r="AC64" s="12">
        <f>-1*AD33</f>
        <v>-4.49797444705782E-5</v>
      </c>
      <c r="AE64" s="4"/>
      <c r="AF64" s="4"/>
    </row>
    <row r="65" spans="1:36" x14ac:dyDescent="0.3">
      <c r="A65" s="17">
        <v>2002</v>
      </c>
      <c r="B65" s="11">
        <f>'Summary Data'!C26</f>
        <v>23987.72021155481</v>
      </c>
      <c r="C65" s="11">
        <f>'Summary Data'!D26</f>
        <v>1255</v>
      </c>
      <c r="H65" s="15">
        <f t="shared" si="22"/>
        <v>2004</v>
      </c>
      <c r="I65" s="11">
        <f t="shared" si="22"/>
        <v>848.70794385087186</v>
      </c>
      <c r="J65" s="15">
        <f t="shared" si="22"/>
        <v>2005</v>
      </c>
      <c r="K65" s="11">
        <f t="shared" si="22"/>
        <v>18474.486094570457</v>
      </c>
      <c r="L65" s="15">
        <f t="shared" si="22"/>
        <v>2006</v>
      </c>
      <c r="M65" s="11">
        <f t="shared" si="22"/>
        <v>44609.087764969365</v>
      </c>
      <c r="N65" s="15">
        <f t="shared" si="22"/>
        <v>2007</v>
      </c>
      <c r="O65" s="11">
        <f t="shared" si="22"/>
        <v>10939.692802578073</v>
      </c>
      <c r="P65" s="15">
        <f t="shared" si="22"/>
        <v>2008</v>
      </c>
      <c r="Q65" s="11">
        <f t="shared" si="22"/>
        <v>51.108571886382904</v>
      </c>
      <c r="R65" s="15">
        <f t="shared" si="22"/>
        <v>2009</v>
      </c>
      <c r="S65" s="11">
        <f t="shared" si="18"/>
        <v>0</v>
      </c>
      <c r="T65" s="11">
        <f t="shared" si="21"/>
        <v>74923.083177855151</v>
      </c>
      <c r="Z65" s="149" t="s">
        <v>164</v>
      </c>
      <c r="AA65" s="16">
        <f>0.9*AD40</f>
        <v>79623.483312916534</v>
      </c>
      <c r="AE65" s="3"/>
      <c r="AF65" s="11"/>
    </row>
    <row r="66" spans="1:36" s="11" customFormat="1" x14ac:dyDescent="0.3">
      <c r="A66" s="17">
        <v>2003</v>
      </c>
      <c r="B66" s="11">
        <f>'Summary Data'!C27</f>
        <v>69892.769729965003</v>
      </c>
      <c r="C66" s="11">
        <f>'Summary Data'!D27</f>
        <v>10591</v>
      </c>
      <c r="F66" s="21"/>
      <c r="G66" s="21"/>
      <c r="H66" s="15">
        <f t="shared" si="22"/>
        <v>2005</v>
      </c>
      <c r="I66" s="11">
        <f t="shared" si="22"/>
        <v>1307.2713404313142</v>
      </c>
      <c r="J66" s="15">
        <f t="shared" si="22"/>
        <v>2006</v>
      </c>
      <c r="K66" s="11">
        <f t="shared" si="22"/>
        <v>72199.679619603601</v>
      </c>
      <c r="L66" s="15">
        <f t="shared" si="22"/>
        <v>2007</v>
      </c>
      <c r="M66" s="11">
        <f t="shared" si="22"/>
        <v>66893.531399370841</v>
      </c>
      <c r="N66" s="15">
        <f t="shared" si="22"/>
        <v>2008</v>
      </c>
      <c r="O66" s="11">
        <f t="shared" si="22"/>
        <v>2427.657164603188</v>
      </c>
      <c r="P66" s="15">
        <f t="shared" si="22"/>
        <v>2009</v>
      </c>
      <c r="Q66" s="11">
        <f t="shared" si="22"/>
        <v>0</v>
      </c>
      <c r="R66" s="15">
        <f t="shared" si="22"/>
        <v>2010</v>
      </c>
      <c r="S66" s="11">
        <f t="shared" si="18"/>
        <v>0</v>
      </c>
      <c r="T66" s="11">
        <f t="shared" si="21"/>
        <v>142828.13952400893</v>
      </c>
      <c r="U66" s="12"/>
      <c r="V66" s="17"/>
      <c r="W66" s="17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1:36" s="11" customFormat="1" x14ac:dyDescent="0.3">
      <c r="A67" s="17">
        <v>2004</v>
      </c>
      <c r="B67" s="11">
        <f>'Summary Data'!C28</f>
        <v>77262.733888424016</v>
      </c>
      <c r="C67" s="11">
        <f>'Summary Data'!D28</f>
        <v>9338</v>
      </c>
      <c r="F67" s="21"/>
      <c r="G67" s="21"/>
      <c r="H67" s="15">
        <f t="shared" si="22"/>
        <v>2006</v>
      </c>
      <c r="I67" s="11">
        <f t="shared" si="22"/>
        <v>0</v>
      </c>
      <c r="J67" s="15">
        <f t="shared" si="22"/>
        <v>2007</v>
      </c>
      <c r="K67" s="11">
        <f t="shared" si="22"/>
        <v>4662.819883066064</v>
      </c>
      <c r="L67" s="15">
        <f t="shared" si="22"/>
        <v>2008</v>
      </c>
      <c r="M67" s="11">
        <f t="shared" si="22"/>
        <v>7206.308635979989</v>
      </c>
      <c r="N67" s="15">
        <f t="shared" si="22"/>
        <v>2009</v>
      </c>
      <c r="O67" s="11">
        <f t="shared" si="22"/>
        <v>418.31252865603904</v>
      </c>
      <c r="P67" s="15">
        <f t="shared" si="22"/>
        <v>2010</v>
      </c>
      <c r="Q67" s="11">
        <f t="shared" si="22"/>
        <v>0</v>
      </c>
      <c r="R67" s="15">
        <f t="shared" si="22"/>
        <v>2011</v>
      </c>
      <c r="S67" s="11">
        <f t="shared" si="18"/>
        <v>0</v>
      </c>
      <c r="T67" s="11">
        <f t="shared" si="21"/>
        <v>12287.441047702092</v>
      </c>
      <c r="U67" s="12"/>
      <c r="V67" s="17"/>
      <c r="W67" s="17"/>
      <c r="X67" s="12"/>
      <c r="Y67" s="12"/>
    </row>
    <row r="68" spans="1:36" s="11" customFormat="1" x14ac:dyDescent="0.3">
      <c r="A68" s="17">
        <v>2005</v>
      </c>
      <c r="B68" s="11">
        <f>'Summary Data'!C29</f>
        <v>65653.382797031678</v>
      </c>
      <c r="C68" s="11">
        <f>'Summary Data'!D29</f>
        <v>5299</v>
      </c>
      <c r="F68" s="21"/>
      <c r="G68" s="21"/>
      <c r="H68" s="15">
        <f t="shared" si="22"/>
        <v>2007</v>
      </c>
      <c r="I68" s="11">
        <f t="shared" si="22"/>
        <v>0</v>
      </c>
      <c r="J68" s="15">
        <f t="shared" si="22"/>
        <v>2008</v>
      </c>
      <c r="K68" s="11">
        <f t="shared" si="22"/>
        <v>1765.7622842282342</v>
      </c>
      <c r="L68" s="15">
        <f t="shared" si="22"/>
        <v>2009</v>
      </c>
      <c r="M68" s="11">
        <f t="shared" si="22"/>
        <v>11873.640236467567</v>
      </c>
      <c r="N68" s="15">
        <f t="shared" si="22"/>
        <v>2010</v>
      </c>
      <c r="O68" s="11">
        <f t="shared" si="22"/>
        <v>3495.8255658955941</v>
      </c>
      <c r="P68" s="15">
        <f t="shared" si="22"/>
        <v>2011</v>
      </c>
      <c r="Q68" s="11">
        <f t="shared" si="22"/>
        <v>0</v>
      </c>
      <c r="R68" s="15">
        <f t="shared" si="22"/>
        <v>2012</v>
      </c>
      <c r="S68" s="11">
        <f t="shared" si="18"/>
        <v>0</v>
      </c>
      <c r="T68" s="11">
        <f t="shared" si="21"/>
        <v>17135.228086591396</v>
      </c>
      <c r="U68" s="12"/>
      <c r="V68" s="17"/>
      <c r="W68" s="17"/>
      <c r="X68" s="12"/>
      <c r="Y68" s="12"/>
    </row>
    <row r="69" spans="1:36" s="11" customFormat="1" x14ac:dyDescent="0.3">
      <c r="A69" s="17">
        <v>2006</v>
      </c>
      <c r="B69" s="11">
        <f>'Summary Data'!C30</f>
        <v>103952.85531936215</v>
      </c>
      <c r="C69" s="11">
        <f>'Summary Data'!D30</f>
        <v>13683</v>
      </c>
      <c r="F69" s="21"/>
      <c r="G69" s="21"/>
      <c r="H69" s="15">
        <f t="shared" si="22"/>
        <v>2008</v>
      </c>
      <c r="I69" s="11">
        <f t="shared" si="22"/>
        <v>22.314818093967506</v>
      </c>
      <c r="J69" s="15">
        <f t="shared" si="22"/>
        <v>2009</v>
      </c>
      <c r="K69" s="11">
        <f t="shared" si="22"/>
        <v>1619.3294097783412</v>
      </c>
      <c r="L69" s="15">
        <f t="shared" si="22"/>
        <v>2010</v>
      </c>
      <c r="M69" s="11">
        <f t="shared" si="22"/>
        <v>4827.568638617724</v>
      </c>
      <c r="N69" s="15">
        <f t="shared" si="22"/>
        <v>2011</v>
      </c>
      <c r="O69" s="11">
        <f t="shared" si="22"/>
        <v>3595.7516390762598</v>
      </c>
      <c r="P69" s="15">
        <f t="shared" si="22"/>
        <v>2012</v>
      </c>
      <c r="Q69" s="11">
        <f t="shared" si="22"/>
        <v>0</v>
      </c>
      <c r="R69" s="15">
        <f t="shared" si="22"/>
        <v>2013</v>
      </c>
      <c r="S69" s="11">
        <f t="shared" si="22"/>
        <v>0</v>
      </c>
      <c r="T69" s="11">
        <f t="shared" si="21"/>
        <v>10064.964505566293</v>
      </c>
      <c r="U69" s="12"/>
      <c r="V69" s="17"/>
      <c r="W69" s="17"/>
      <c r="X69" s="12"/>
      <c r="Y69" s="12"/>
    </row>
    <row r="70" spans="1:36" s="11" customFormat="1" x14ac:dyDescent="0.3">
      <c r="A70" s="17">
        <v>2007</v>
      </c>
      <c r="B70" s="11">
        <f>'Summary Data'!C31</f>
        <v>66938.383311286743</v>
      </c>
      <c r="C70" s="11">
        <f>'Summary Data'!D31</f>
        <v>8711</v>
      </c>
      <c r="F70" s="21"/>
      <c r="G70" s="21"/>
      <c r="H70" s="15">
        <f t="shared" si="22"/>
        <v>2009</v>
      </c>
      <c r="I70" s="11">
        <f t="shared" si="22"/>
        <v>553.68989498421456</v>
      </c>
      <c r="J70" s="15">
        <f t="shared" si="22"/>
        <v>2010</v>
      </c>
      <c r="K70" s="11">
        <f t="shared" si="22"/>
        <v>11835.86354555519</v>
      </c>
      <c r="L70" s="15">
        <f t="shared" si="22"/>
        <v>2011</v>
      </c>
      <c r="M70" s="11">
        <f t="shared" si="22"/>
        <v>15461.73204802792</v>
      </c>
      <c r="N70" s="15">
        <f t="shared" si="22"/>
        <v>2012</v>
      </c>
      <c r="O70" s="11">
        <f t="shared" si="22"/>
        <v>1965.2128664414308</v>
      </c>
      <c r="P70" s="15">
        <f t="shared" si="22"/>
        <v>2013</v>
      </c>
      <c r="Q70" s="11">
        <f t="shared" si="22"/>
        <v>0</v>
      </c>
      <c r="R70" s="15">
        <f t="shared" si="22"/>
        <v>2014</v>
      </c>
      <c r="S70" s="11">
        <f t="shared" si="22"/>
        <v>0</v>
      </c>
      <c r="T70" s="11">
        <f t="shared" si="21"/>
        <v>29816.498355008753</v>
      </c>
      <c r="U70" s="12"/>
      <c r="V70" s="17"/>
      <c r="W70" s="17"/>
      <c r="X70" s="12"/>
      <c r="Y70" s="12"/>
    </row>
    <row r="71" spans="1:36" s="11" customFormat="1" x14ac:dyDescent="0.3">
      <c r="A71" s="17">
        <v>2008</v>
      </c>
      <c r="B71" s="11">
        <f>'Summary Data'!C32</f>
        <v>10063.982960379346</v>
      </c>
      <c r="C71" s="11">
        <f>'Summary Data'!D32</f>
        <v>679</v>
      </c>
      <c r="F71" s="21"/>
      <c r="G71" s="21"/>
      <c r="H71" s="15">
        <f t="shared" si="22"/>
        <v>2010</v>
      </c>
      <c r="I71" s="11">
        <f t="shared" si="22"/>
        <v>0</v>
      </c>
      <c r="J71" s="15">
        <f t="shared" si="22"/>
        <v>2011</v>
      </c>
      <c r="K71" s="11">
        <f t="shared" si="22"/>
        <v>3348.4318010195798</v>
      </c>
      <c r="L71" s="15">
        <f t="shared" si="22"/>
        <v>2012</v>
      </c>
      <c r="M71" s="11">
        <f t="shared" si="22"/>
        <v>16949.960973057343</v>
      </c>
      <c r="N71" s="15">
        <f t="shared" si="22"/>
        <v>2013</v>
      </c>
      <c r="O71" s="11">
        <f t="shared" si="22"/>
        <v>9480.150242337264</v>
      </c>
      <c r="P71" s="15">
        <f t="shared" si="22"/>
        <v>2014</v>
      </c>
      <c r="Q71" s="11">
        <f t="shared" si="22"/>
        <v>96.075375869154399</v>
      </c>
      <c r="R71" s="15">
        <f t="shared" si="22"/>
        <v>2015</v>
      </c>
      <c r="S71" s="11">
        <f t="shared" si="22"/>
        <v>0</v>
      </c>
      <c r="T71" s="11">
        <f t="shared" si="21"/>
        <v>29874.618392283341</v>
      </c>
      <c r="U71" s="12"/>
      <c r="V71" s="17"/>
      <c r="W71" s="17"/>
      <c r="X71" s="12"/>
      <c r="Y71" s="12"/>
    </row>
    <row r="72" spans="1:36" s="11" customFormat="1" x14ac:dyDescent="0.3">
      <c r="A72" s="17">
        <v>2009</v>
      </c>
      <c r="B72" s="11">
        <f>'Summary Data'!C33</f>
        <v>12568.76061614167</v>
      </c>
      <c r="C72" s="11">
        <f>'Summary Data'!D33</f>
        <v>1149</v>
      </c>
      <c r="F72" s="21"/>
      <c r="G72" s="21"/>
      <c r="H72" s="15">
        <f t="shared" si="22"/>
        <v>2011</v>
      </c>
      <c r="I72" s="11">
        <f t="shared" si="22"/>
        <v>2437.5422039992668</v>
      </c>
      <c r="J72" s="15">
        <f t="shared" si="22"/>
        <v>2012</v>
      </c>
      <c r="K72" s="11">
        <f t="shared" si="22"/>
        <v>23899.734135707517</v>
      </c>
      <c r="L72" s="15">
        <f t="shared" si="22"/>
        <v>2013</v>
      </c>
      <c r="M72" s="11">
        <f t="shared" si="22"/>
        <v>36407.811037061198</v>
      </c>
      <c r="N72" s="15">
        <f t="shared" si="22"/>
        <v>2014</v>
      </c>
      <c r="O72" s="11">
        <f t="shared" si="22"/>
        <v>4995.9195451960277</v>
      </c>
      <c r="P72" s="15">
        <f t="shared" si="22"/>
        <v>2015</v>
      </c>
      <c r="Q72" s="11">
        <f t="shared" si="22"/>
        <v>0</v>
      </c>
      <c r="R72" s="15">
        <f t="shared" si="22"/>
        <v>2016</v>
      </c>
      <c r="S72" s="11">
        <f t="shared" si="22"/>
        <v>0</v>
      </c>
      <c r="T72" s="11">
        <f t="shared" si="21"/>
        <v>67741.006921964014</v>
      </c>
      <c r="U72" s="12"/>
      <c r="V72" s="17"/>
      <c r="W72" s="17"/>
      <c r="X72" s="12"/>
      <c r="Y72" s="12"/>
    </row>
    <row r="73" spans="1:36" s="11" customFormat="1" x14ac:dyDescent="0.3">
      <c r="A73" s="17">
        <v>2010</v>
      </c>
      <c r="B73" s="11">
        <f>'Summary Data'!C34</f>
        <v>17156.230945944797</v>
      </c>
      <c r="C73" s="11">
        <f>'Summary Data'!D34</f>
        <v>1656</v>
      </c>
      <c r="F73" s="21"/>
      <c r="G73" s="21"/>
      <c r="H73" s="15">
        <f>H33</f>
        <v>2012</v>
      </c>
      <c r="I73" s="11">
        <f t="shared" si="22"/>
        <v>3541.8578316145727</v>
      </c>
      <c r="J73" s="15">
        <f t="shared" si="22"/>
        <v>2013</v>
      </c>
      <c r="K73" s="11">
        <f t="shared" si="22"/>
        <v>10109.023225231022</v>
      </c>
      <c r="L73" s="15">
        <f t="shared" si="22"/>
        <v>2014</v>
      </c>
      <c r="M73" s="11">
        <f t="shared" si="22"/>
        <v>10376.140593868673</v>
      </c>
      <c r="N73" s="15">
        <f t="shared" si="22"/>
        <v>2015</v>
      </c>
      <c r="O73" s="11">
        <f t="shared" si="22"/>
        <v>189.47053124851311</v>
      </c>
      <c r="P73" s="15">
        <f t="shared" si="22"/>
        <v>2016</v>
      </c>
      <c r="Q73" s="11">
        <f t="shared" si="22"/>
        <v>0</v>
      </c>
      <c r="R73" s="15">
        <f t="shared" si="22"/>
        <v>2017</v>
      </c>
      <c r="S73" s="11">
        <f t="shared" si="22"/>
        <v>0</v>
      </c>
      <c r="T73" s="11">
        <f t="shared" si="21"/>
        <v>24216.492181962782</v>
      </c>
      <c r="U73" s="12"/>
      <c r="V73" s="17"/>
      <c r="W73" s="17"/>
      <c r="X73" s="12"/>
      <c r="Y73" s="12"/>
    </row>
    <row r="74" spans="1:36" s="11" customFormat="1" x14ac:dyDescent="0.3">
      <c r="A74" s="17">
        <v>2011</v>
      </c>
      <c r="B74" s="11">
        <f>'Summary Data'!C35</f>
        <v>22719.73299576675</v>
      </c>
      <c r="C74" s="11">
        <f>'Summary Data'!D35</f>
        <v>1402</v>
      </c>
      <c r="F74" s="21"/>
      <c r="G74" s="21"/>
      <c r="H74" s="15">
        <f t="shared" si="22"/>
        <v>2013</v>
      </c>
      <c r="I74" s="11">
        <f t="shared" si="22"/>
        <v>1623.2371026370881</v>
      </c>
      <c r="J74" s="15">
        <f t="shared" si="22"/>
        <v>2014</v>
      </c>
      <c r="K74" s="11">
        <f t="shared" si="22"/>
        <v>6179.8896040463187</v>
      </c>
      <c r="L74" s="15">
        <f t="shared" si="22"/>
        <v>2015</v>
      </c>
      <c r="M74" s="11">
        <f t="shared" si="22"/>
        <v>8715.6444374316034</v>
      </c>
      <c r="N74" s="15">
        <f t="shared" si="22"/>
        <v>2016</v>
      </c>
      <c r="O74" s="11">
        <f t="shared" si="22"/>
        <v>735.7534246575342</v>
      </c>
      <c r="P74" s="15">
        <f t="shared" si="22"/>
        <v>2017</v>
      </c>
      <c r="Q74" s="11">
        <f t="shared" si="22"/>
        <v>0</v>
      </c>
      <c r="R74" s="15">
        <f t="shared" si="22"/>
        <v>2018</v>
      </c>
      <c r="S74" s="11">
        <f t="shared" si="22"/>
        <v>0</v>
      </c>
      <c r="T74" s="11">
        <f t="shared" si="21"/>
        <v>17254.524568772544</v>
      </c>
      <c r="U74" s="12"/>
      <c r="V74" s="17"/>
      <c r="W74" s="17"/>
      <c r="X74" s="12"/>
      <c r="Y74" s="12"/>
    </row>
    <row r="75" spans="1:36" s="11" customFormat="1" x14ac:dyDescent="0.3">
      <c r="A75" s="17">
        <v>2012</v>
      </c>
      <c r="B75" s="11">
        <f>'Summary Data'!C36</f>
        <v>40943.876533464463</v>
      </c>
      <c r="C75" s="11">
        <f>'Summary Data'!D36</f>
        <v>4975</v>
      </c>
      <c r="F75" s="21"/>
      <c r="G75" s="21"/>
      <c r="H75" s="15">
        <f t="shared" si="22"/>
        <v>2014</v>
      </c>
      <c r="I75" s="11">
        <f t="shared" si="22"/>
        <v>2837.3511744136345</v>
      </c>
      <c r="J75" s="15">
        <f t="shared" si="22"/>
        <v>2015</v>
      </c>
      <c r="K75" s="11">
        <f t="shared" si="22"/>
        <v>6627.1179251323401</v>
      </c>
      <c r="L75" s="15">
        <f t="shared" si="22"/>
        <v>2016</v>
      </c>
      <c r="M75" s="11">
        <f t="shared" si="22"/>
        <v>9722.455968688846</v>
      </c>
      <c r="N75" s="15">
        <f t="shared" si="22"/>
        <v>2017</v>
      </c>
      <c r="O75" s="11">
        <f t="shared" si="22"/>
        <v>6405.0390625</v>
      </c>
      <c r="P75" s="15">
        <f t="shared" si="22"/>
        <v>2018</v>
      </c>
      <c r="Q75" s="11">
        <f t="shared" si="22"/>
        <v>0</v>
      </c>
      <c r="R75" s="15">
        <f t="shared" si="22"/>
        <v>2019</v>
      </c>
      <c r="S75" s="13">
        <f t="shared" si="22"/>
        <v>0</v>
      </c>
      <c r="T75" s="11">
        <f t="shared" si="21"/>
        <v>25591.964130734821</v>
      </c>
      <c r="U75" s="12"/>
      <c r="V75" s="17"/>
      <c r="W75" s="17"/>
      <c r="X75" s="12"/>
      <c r="Y75" s="12"/>
    </row>
    <row r="76" spans="1:36" s="11" customFormat="1" x14ac:dyDescent="0.3">
      <c r="A76" s="17">
        <v>2013</v>
      </c>
      <c r="B76" s="11">
        <f>'Summary Data'!C37</f>
        <v>49124.280737701352</v>
      </c>
      <c r="C76" s="11">
        <f>'Summary Data'!D37</f>
        <v>4352</v>
      </c>
      <c r="F76" s="21"/>
      <c r="G76" s="21"/>
      <c r="H76" s="15">
        <f>H36</f>
        <v>2015</v>
      </c>
      <c r="I76" s="11">
        <f t="shared" si="22"/>
        <v>1537.7442723025902</v>
      </c>
      <c r="J76" s="15">
        <f t="shared" si="22"/>
        <v>2016</v>
      </c>
      <c r="K76" s="11">
        <f t="shared" si="22"/>
        <v>15557.215264187869</v>
      </c>
      <c r="L76" s="15">
        <f t="shared" si="22"/>
        <v>2017</v>
      </c>
      <c r="M76" s="11">
        <f t="shared" si="22"/>
        <v>21309.072265625</v>
      </c>
      <c r="N76" s="15">
        <f t="shared" si="22"/>
        <v>2018</v>
      </c>
      <c r="O76" s="11">
        <f t="shared" si="22"/>
        <v>1171.8797814207651</v>
      </c>
      <c r="P76" s="15">
        <f t="shared" si="22"/>
        <v>2019</v>
      </c>
      <c r="Q76" s="13">
        <f t="shared" si="22"/>
        <v>0</v>
      </c>
      <c r="R76" s="15">
        <f t="shared" si="22"/>
        <v>2020</v>
      </c>
      <c r="S76" s="13">
        <f t="shared" si="22"/>
        <v>0</v>
      </c>
      <c r="T76" s="11">
        <f t="shared" si="21"/>
        <v>39575.911583536224</v>
      </c>
      <c r="U76" s="12"/>
      <c r="V76" s="17"/>
      <c r="W76" s="17"/>
      <c r="X76" s="12"/>
      <c r="Y76" s="12"/>
    </row>
    <row r="77" spans="1:36" s="11" customFormat="1" x14ac:dyDescent="0.3">
      <c r="A77" s="17">
        <v>2014</v>
      </c>
      <c r="B77" s="11">
        <f>'Summary Data'!C38</f>
        <v>19936.125357064222</v>
      </c>
      <c r="C77" s="11">
        <f>'Summary Data'!D38</f>
        <v>1892</v>
      </c>
      <c r="F77" s="21"/>
      <c r="G77" s="21"/>
      <c r="H77" s="15">
        <f>H37</f>
        <v>2016</v>
      </c>
      <c r="I77" s="11">
        <f t="shared" si="22"/>
        <v>623.94520547945206</v>
      </c>
      <c r="J77" s="15">
        <f t="shared" si="22"/>
        <v>2017</v>
      </c>
      <c r="K77" s="11">
        <f t="shared" si="22"/>
        <v>4928.826171875</v>
      </c>
      <c r="L77" s="15">
        <f t="shared" si="22"/>
        <v>2018</v>
      </c>
      <c r="M77" s="11">
        <f t="shared" si="22"/>
        <v>13867.24408014572</v>
      </c>
      <c r="N77" s="15">
        <f t="shared" si="22"/>
        <v>2019</v>
      </c>
      <c r="O77" s="13">
        <f>SUM(I77,K77,M77,Q77,S77)*(1/(1-O112)-1)</f>
        <v>4736.2573381986413</v>
      </c>
      <c r="P77" s="15">
        <f t="shared" si="22"/>
        <v>2020</v>
      </c>
      <c r="Q77" s="13">
        <f t="shared" si="22"/>
        <v>0</v>
      </c>
      <c r="R77" s="15">
        <f t="shared" si="22"/>
        <v>2021</v>
      </c>
      <c r="S77" s="13">
        <f t="shared" si="22"/>
        <v>0</v>
      </c>
      <c r="T77" s="13"/>
      <c r="U77" s="12"/>
      <c r="V77" s="17"/>
      <c r="W77" s="17"/>
      <c r="X77" s="12"/>
      <c r="Y77" s="12"/>
    </row>
    <row r="78" spans="1:36" s="11" customFormat="1" x14ac:dyDescent="0.3">
      <c r="A78" s="17">
        <v>2015</v>
      </c>
      <c r="B78" s="11">
        <f>'Summary Data'!C39</f>
        <v>13982.744429542156</v>
      </c>
      <c r="C78" s="11">
        <f>'Summary Data'!D39</f>
        <v>599</v>
      </c>
      <c r="F78" s="21"/>
      <c r="G78" s="21"/>
      <c r="H78" s="20"/>
      <c r="J78" s="20"/>
      <c r="L78" s="20"/>
      <c r="N78" s="20"/>
      <c r="P78" s="20"/>
      <c r="R78" s="20"/>
      <c r="U78" s="12"/>
      <c r="V78" s="17"/>
      <c r="W78" s="17"/>
      <c r="X78" s="12"/>
      <c r="Y78" s="12"/>
    </row>
    <row r="79" spans="1:36" s="11" customFormat="1" x14ac:dyDescent="0.3">
      <c r="A79" s="17">
        <v>2016</v>
      </c>
      <c r="B79" s="11">
        <f>'Summary Data'!C40</f>
        <v>22774</v>
      </c>
      <c r="C79" s="11">
        <f>'Summary Data'!D40</f>
        <v>2489</v>
      </c>
      <c r="F79" s="21"/>
      <c r="G79" s="21"/>
      <c r="H79" s="46" t="s">
        <v>0</v>
      </c>
      <c r="I79" s="44" t="s">
        <v>43</v>
      </c>
      <c r="J79" s="44"/>
      <c r="K79" s="44" t="s">
        <v>44</v>
      </c>
      <c r="L79" s="44"/>
      <c r="M79" s="44" t="s">
        <v>45</v>
      </c>
      <c r="N79" s="44"/>
      <c r="O79" s="44" t="s">
        <v>46</v>
      </c>
      <c r="P79" s="44"/>
      <c r="Q79" s="44" t="s">
        <v>47</v>
      </c>
      <c r="R79" s="44"/>
      <c r="S79" s="44" t="s">
        <v>48</v>
      </c>
      <c r="U79" s="12"/>
      <c r="V79" s="17"/>
      <c r="W79" s="17"/>
      <c r="X79" s="12"/>
      <c r="Y79" s="12"/>
    </row>
    <row r="80" spans="1:36" s="11" customFormat="1" x14ac:dyDescent="0.3">
      <c r="A80" s="17">
        <v>2017</v>
      </c>
      <c r="B80" s="11">
        <f>'Summary Data'!C41</f>
        <v>55702</v>
      </c>
      <c r="C80" s="11">
        <f>'Summary Data'!D41</f>
        <v>4294</v>
      </c>
      <c r="F80" s="21"/>
      <c r="G80" s="21"/>
      <c r="H80" s="15">
        <v>1985</v>
      </c>
      <c r="I80" s="18">
        <f t="shared" ref="I80:I88" si="23">I46/$T46</f>
        <v>1.1006304872781333E-2</v>
      </c>
      <c r="J80" s="15">
        <v>1986</v>
      </c>
      <c r="K80" s="18">
        <f t="shared" ref="K80:K88" si="24">K46/$T46</f>
        <v>0.26369751986202372</v>
      </c>
      <c r="L80" s="15">
        <v>1987</v>
      </c>
      <c r="M80" s="18">
        <f>M46/$T46</f>
        <v>0.67274297719729081</v>
      </c>
      <c r="N80" s="15">
        <v>1988</v>
      </c>
      <c r="O80" s="18">
        <f>O46/$T46</f>
        <v>4.956288641711859E-2</v>
      </c>
      <c r="P80" s="15">
        <v>1989</v>
      </c>
      <c r="Q80" s="18">
        <f>Q46/$T46</f>
        <v>2.9903116507855269E-3</v>
      </c>
      <c r="R80" s="15">
        <v>1990</v>
      </c>
      <c r="S80" s="18">
        <f>S46/$T46</f>
        <v>0</v>
      </c>
      <c r="T80" s="18">
        <f t="shared" ref="T80:T88" si="25">SUM(I80,K80,M80,O80,Q80,S80)</f>
        <v>1</v>
      </c>
      <c r="U80" s="12"/>
      <c r="V80" s="17"/>
      <c r="W80" s="17"/>
      <c r="X80" s="12"/>
      <c r="Y80" s="12"/>
    </row>
    <row r="81" spans="1:36" s="11" customFormat="1" x14ac:dyDescent="0.3">
      <c r="A81" s="17">
        <v>2018</v>
      </c>
      <c r="B81" s="11">
        <f>'Summary Data'!C42</f>
        <v>73810</v>
      </c>
      <c r="C81" s="11">
        <f>'Summary Data'!D42</f>
        <v>9175</v>
      </c>
      <c r="F81" s="21"/>
      <c r="G81" s="21"/>
      <c r="H81" s="15">
        <v>1986</v>
      </c>
      <c r="I81" s="18">
        <f t="shared" si="23"/>
        <v>5.3432824993100946E-3</v>
      </c>
      <c r="J81" s="15">
        <v>1987</v>
      </c>
      <c r="K81" s="18">
        <f t="shared" si="24"/>
        <v>0.46317506003908404</v>
      </c>
      <c r="L81" s="15">
        <v>1988</v>
      </c>
      <c r="M81" s="18">
        <f t="shared" ref="M81:M88" si="26">M47/$T47</f>
        <v>0.21694216798093732</v>
      </c>
      <c r="N81" s="15">
        <v>1989</v>
      </c>
      <c r="O81" s="18">
        <f t="shared" ref="O81:O88" si="27">O47/$T47</f>
        <v>0.31285713012443533</v>
      </c>
      <c r="P81" s="15">
        <v>1990</v>
      </c>
      <c r="Q81" s="18">
        <f t="shared" ref="Q81:Q88" si="28">Q47/$T47</f>
        <v>0</v>
      </c>
      <c r="R81" s="15">
        <v>1991</v>
      </c>
      <c r="S81" s="18">
        <f t="shared" ref="S81:S88" si="29">S47/$T47</f>
        <v>1.6823593562332476E-3</v>
      </c>
      <c r="T81" s="18">
        <f t="shared" si="25"/>
        <v>1</v>
      </c>
      <c r="U81" s="12"/>
      <c r="V81" s="17"/>
      <c r="W81" s="17"/>
      <c r="X81" s="12"/>
      <c r="Y81" s="12"/>
    </row>
    <row r="82" spans="1:36" s="11" customFormat="1" x14ac:dyDescent="0.3">
      <c r="A82" s="12"/>
      <c r="F82" s="21"/>
      <c r="G82" s="21"/>
      <c r="H82" s="15">
        <v>1987</v>
      </c>
      <c r="I82" s="18">
        <f t="shared" si="23"/>
        <v>1.8812127975366829E-3</v>
      </c>
      <c r="J82" s="15">
        <v>1988</v>
      </c>
      <c r="K82" s="18">
        <f t="shared" si="24"/>
        <v>9.3059161023313196E-3</v>
      </c>
      <c r="L82" s="15">
        <v>1989</v>
      </c>
      <c r="M82" s="18">
        <f t="shared" si="26"/>
        <v>0.5432391524847312</v>
      </c>
      <c r="N82" s="15">
        <v>1990</v>
      </c>
      <c r="O82" s="18">
        <f t="shared" si="27"/>
        <v>0.42097857064480482</v>
      </c>
      <c r="P82" s="15">
        <v>1991</v>
      </c>
      <c r="Q82" s="18">
        <f t="shared" si="28"/>
        <v>2.4595147970595872E-2</v>
      </c>
      <c r="R82" s="15">
        <v>1992</v>
      </c>
      <c r="S82" s="18">
        <f t="shared" si="29"/>
        <v>0</v>
      </c>
      <c r="T82" s="18">
        <f t="shared" si="25"/>
        <v>0.99999999999999989</v>
      </c>
      <c r="U82" s="12"/>
      <c r="V82" s="17"/>
      <c r="W82" s="17"/>
      <c r="X82" s="12"/>
      <c r="Y82" s="12"/>
    </row>
    <row r="83" spans="1:36" s="11" customFormat="1" x14ac:dyDescent="0.3">
      <c r="A83" s="17">
        <v>1998</v>
      </c>
      <c r="B83" s="11">
        <f>'Summary Data'!C22</f>
        <v>0</v>
      </c>
      <c r="C83" s="11">
        <f>'Summary Data'!D22</f>
        <v>4296</v>
      </c>
      <c r="F83" s="21"/>
      <c r="G83" s="21"/>
      <c r="H83" s="15">
        <v>1988</v>
      </c>
      <c r="I83" s="18">
        <f t="shared" si="23"/>
        <v>0</v>
      </c>
      <c r="J83" s="15">
        <v>1989</v>
      </c>
      <c r="K83" s="18">
        <f t="shared" si="24"/>
        <v>2.8866675775338496E-2</v>
      </c>
      <c r="L83" s="15">
        <v>1990</v>
      </c>
      <c r="M83" s="18">
        <f t="shared" si="26"/>
        <v>0.55531317982237927</v>
      </c>
      <c r="N83" s="15">
        <v>1991</v>
      </c>
      <c r="O83" s="18">
        <f t="shared" si="27"/>
        <v>0.41369709214476802</v>
      </c>
      <c r="P83" s="15">
        <v>1992</v>
      </c>
      <c r="Q83" s="18">
        <f t="shared" si="28"/>
        <v>2.1230522575141487E-3</v>
      </c>
      <c r="R83" s="15">
        <v>1993</v>
      </c>
      <c r="S83" s="18">
        <f t="shared" si="29"/>
        <v>0</v>
      </c>
      <c r="T83" s="18">
        <f t="shared" si="25"/>
        <v>1</v>
      </c>
      <c r="U83" s="12"/>
      <c r="V83" s="17"/>
      <c r="W83" s="17"/>
      <c r="X83" s="12"/>
      <c r="Y83" s="12"/>
    </row>
    <row r="84" spans="1:36" s="11" customFormat="1" x14ac:dyDescent="0.3">
      <c r="A84" s="12"/>
      <c r="F84" s="21"/>
      <c r="G84" s="21"/>
      <c r="H84" s="15">
        <v>1989</v>
      </c>
      <c r="I84" s="18">
        <f t="shared" si="23"/>
        <v>1.3846566909729803E-2</v>
      </c>
      <c r="J84" s="15">
        <v>1990</v>
      </c>
      <c r="K84" s="18">
        <f t="shared" si="24"/>
        <v>0.38673680669841159</v>
      </c>
      <c r="L84" s="15">
        <v>1991</v>
      </c>
      <c r="M84" s="18">
        <f t="shared" si="26"/>
        <v>0.29666315263425963</v>
      </c>
      <c r="N84" s="15">
        <v>1992</v>
      </c>
      <c r="O84" s="18">
        <f t="shared" si="27"/>
        <v>0.27836336707570419</v>
      </c>
      <c r="P84" s="15">
        <v>1993</v>
      </c>
      <c r="Q84" s="18">
        <f t="shared" si="28"/>
        <v>2.4390106681894629E-2</v>
      </c>
      <c r="R84" s="15">
        <v>1994</v>
      </c>
      <c r="S84" s="18">
        <f t="shared" si="29"/>
        <v>0</v>
      </c>
      <c r="T84" s="18">
        <f t="shared" si="25"/>
        <v>0.99999999999999989</v>
      </c>
      <c r="U84" s="12"/>
      <c r="V84" s="17"/>
      <c r="W84" s="17"/>
      <c r="X84" s="12"/>
      <c r="Y84" s="12"/>
    </row>
    <row r="85" spans="1:36" s="11" customFormat="1" x14ac:dyDescent="0.3">
      <c r="A85" s="12"/>
      <c r="F85" s="21"/>
      <c r="G85" s="21"/>
      <c r="H85" s="15">
        <v>1990</v>
      </c>
      <c r="I85" s="18">
        <f t="shared" si="23"/>
        <v>3.2726998396769381E-2</v>
      </c>
      <c r="J85" s="15">
        <v>1991</v>
      </c>
      <c r="K85" s="18">
        <f t="shared" si="24"/>
        <v>0.29439687979462809</v>
      </c>
      <c r="L85" s="15">
        <v>1992</v>
      </c>
      <c r="M85" s="18">
        <f t="shared" si="26"/>
        <v>0.32935379739635628</v>
      </c>
      <c r="N85" s="15">
        <v>1993</v>
      </c>
      <c r="O85" s="18">
        <f t="shared" si="27"/>
        <v>0.2912069907063361</v>
      </c>
      <c r="P85" s="15">
        <v>1994</v>
      </c>
      <c r="Q85" s="18">
        <f t="shared" si="28"/>
        <v>5.23153337059101E-2</v>
      </c>
      <c r="R85" s="15">
        <v>1995</v>
      </c>
      <c r="S85" s="18">
        <f t="shared" si="29"/>
        <v>0</v>
      </c>
      <c r="T85" s="18">
        <f t="shared" si="25"/>
        <v>1</v>
      </c>
      <c r="U85" s="12"/>
      <c r="V85" s="17"/>
      <c r="W85" s="17"/>
      <c r="X85" s="12"/>
      <c r="Y85" s="12"/>
    </row>
    <row r="86" spans="1:36" s="11" customFormat="1" x14ac:dyDescent="0.3">
      <c r="A86" s="12"/>
      <c r="F86" s="21"/>
      <c r="G86" s="21"/>
      <c r="H86" s="15">
        <v>1991</v>
      </c>
      <c r="I86" s="18">
        <f t="shared" si="23"/>
        <v>3.1012260596606617E-3</v>
      </c>
      <c r="J86" s="15">
        <v>1992</v>
      </c>
      <c r="K86" s="18">
        <f t="shared" si="24"/>
        <v>5.325174474601807E-2</v>
      </c>
      <c r="L86" s="15">
        <v>1993</v>
      </c>
      <c r="M86" s="18">
        <f t="shared" si="26"/>
        <v>0.43084068106125256</v>
      </c>
      <c r="N86" s="15">
        <v>1994</v>
      </c>
      <c r="O86" s="18">
        <f t="shared" si="27"/>
        <v>0.50960345748132008</v>
      </c>
      <c r="P86" s="15">
        <v>1995</v>
      </c>
      <c r="Q86" s="18">
        <f t="shared" si="28"/>
        <v>3.2028906517486016E-3</v>
      </c>
      <c r="R86" s="15">
        <v>1996</v>
      </c>
      <c r="S86" s="18">
        <f t="shared" si="29"/>
        <v>0</v>
      </c>
      <c r="T86" s="18">
        <f t="shared" si="25"/>
        <v>1</v>
      </c>
      <c r="U86" s="12"/>
      <c r="V86" s="17"/>
      <c r="W86" s="17"/>
      <c r="X86" s="12"/>
      <c r="Y86" s="12"/>
    </row>
    <row r="87" spans="1:36" s="11" customFormat="1" x14ac:dyDescent="0.3">
      <c r="A87" s="12"/>
      <c r="F87" s="21"/>
      <c r="G87" s="21"/>
      <c r="H87" s="15">
        <v>1992</v>
      </c>
      <c r="I87" s="18">
        <f t="shared" si="23"/>
        <v>2.6789161475843884E-2</v>
      </c>
      <c r="J87" s="15">
        <v>1993</v>
      </c>
      <c r="K87" s="18">
        <f t="shared" si="24"/>
        <v>0.33802995938718539</v>
      </c>
      <c r="L87" s="15">
        <v>1994</v>
      </c>
      <c r="M87" s="18">
        <f t="shared" si="26"/>
        <v>0.56011462652097133</v>
      </c>
      <c r="N87" s="15">
        <v>1995</v>
      </c>
      <c r="O87" s="18">
        <f t="shared" si="27"/>
        <v>7.4497402446897162E-2</v>
      </c>
      <c r="P87" s="15">
        <v>1996</v>
      </c>
      <c r="Q87" s="18">
        <f t="shared" si="28"/>
        <v>5.6885016910232966E-4</v>
      </c>
      <c r="R87" s="15">
        <v>1997</v>
      </c>
      <c r="S87" s="18">
        <f t="shared" si="29"/>
        <v>0</v>
      </c>
      <c r="T87" s="18">
        <f t="shared" si="25"/>
        <v>1</v>
      </c>
      <c r="U87" s="12"/>
      <c r="V87" s="17"/>
      <c r="W87" s="17"/>
      <c r="X87" s="12"/>
      <c r="Y87" s="12"/>
    </row>
    <row r="88" spans="1:36" s="11" customFormat="1" x14ac:dyDescent="0.3">
      <c r="A88" s="12"/>
      <c r="F88" s="21"/>
      <c r="G88" s="21"/>
      <c r="H88" s="15">
        <v>1993</v>
      </c>
      <c r="I88" s="18">
        <f t="shared" si="23"/>
        <v>6.001261225795267E-3</v>
      </c>
      <c r="J88" s="15">
        <v>1994</v>
      </c>
      <c r="K88" s="18">
        <f t="shared" si="24"/>
        <v>0.2808940983983868</v>
      </c>
      <c r="L88" s="15">
        <v>1995</v>
      </c>
      <c r="M88" s="18">
        <f t="shared" si="26"/>
        <v>0.64481396204139441</v>
      </c>
      <c r="N88" s="15">
        <v>1996</v>
      </c>
      <c r="O88" s="18">
        <f t="shared" si="27"/>
        <v>6.8290678334423427E-2</v>
      </c>
      <c r="P88" s="15">
        <v>1997</v>
      </c>
      <c r="Q88" s="18">
        <f t="shared" si="28"/>
        <v>0</v>
      </c>
      <c r="R88" s="15">
        <v>1998</v>
      </c>
      <c r="S88" s="18">
        <f t="shared" si="29"/>
        <v>0</v>
      </c>
      <c r="T88" s="18">
        <f t="shared" si="25"/>
        <v>1</v>
      </c>
      <c r="U88" s="12"/>
      <c r="V88" s="17"/>
      <c r="W88" s="17"/>
      <c r="X88" s="12"/>
      <c r="Y88" s="12"/>
      <c r="Z88" s="12"/>
    </row>
    <row r="89" spans="1:36" s="11" customFormat="1" x14ac:dyDescent="0.3">
      <c r="A89" s="12"/>
      <c r="F89" s="21"/>
      <c r="G89" s="21"/>
      <c r="H89" s="233">
        <v>1994</v>
      </c>
      <c r="I89" s="236"/>
      <c r="J89" s="233">
        <v>1995</v>
      </c>
      <c r="K89" s="236"/>
      <c r="L89" s="233">
        <v>1996</v>
      </c>
      <c r="M89" s="236"/>
      <c r="N89" s="233">
        <v>1997</v>
      </c>
      <c r="O89" s="236"/>
      <c r="P89" s="233">
        <v>1998</v>
      </c>
      <c r="Q89" s="236"/>
      <c r="R89" s="233">
        <v>1999</v>
      </c>
      <c r="S89" s="236"/>
      <c r="T89" s="234"/>
      <c r="U89" s="12"/>
      <c r="V89" s="17"/>
      <c r="W89" s="17"/>
      <c r="X89" s="12"/>
      <c r="Y89" s="12"/>
      <c r="Z89" s="12"/>
    </row>
    <row r="90" spans="1:36" s="11" customFormat="1" x14ac:dyDescent="0.3">
      <c r="A90" s="12"/>
      <c r="F90" s="21"/>
      <c r="G90" s="21"/>
      <c r="H90" s="233">
        <v>1995</v>
      </c>
      <c r="I90" s="236"/>
      <c r="J90" s="233">
        <v>1996</v>
      </c>
      <c r="K90" s="236"/>
      <c r="L90" s="233">
        <v>1997</v>
      </c>
      <c r="M90" s="236"/>
      <c r="N90" s="233">
        <v>1998</v>
      </c>
      <c r="O90" s="236"/>
      <c r="P90" s="233">
        <v>1999</v>
      </c>
      <c r="Q90" s="236"/>
      <c r="R90" s="233">
        <v>2000</v>
      </c>
      <c r="S90" s="236"/>
      <c r="T90" s="234"/>
      <c r="U90" s="12"/>
      <c r="V90" s="17"/>
      <c r="W90" s="17"/>
      <c r="X90" s="12"/>
      <c r="Y90" s="12"/>
      <c r="Z90" s="12"/>
    </row>
    <row r="91" spans="1:36" s="11" customFormat="1" x14ac:dyDescent="0.3">
      <c r="A91" s="12"/>
      <c r="F91" s="21"/>
      <c r="G91" s="21"/>
      <c r="H91" s="233">
        <v>1996</v>
      </c>
      <c r="I91" s="236"/>
      <c r="J91" s="233">
        <v>1997</v>
      </c>
      <c r="K91" s="236"/>
      <c r="L91" s="233">
        <v>1998</v>
      </c>
      <c r="M91" s="236"/>
      <c r="N91" s="233">
        <v>1999</v>
      </c>
      <c r="O91" s="236"/>
      <c r="P91" s="233">
        <v>2000</v>
      </c>
      <c r="Q91" s="236"/>
      <c r="R91" s="233">
        <v>2001</v>
      </c>
      <c r="S91" s="236"/>
      <c r="T91" s="234"/>
      <c r="U91" s="12"/>
      <c r="V91" s="17"/>
      <c r="W91" s="17"/>
      <c r="X91" s="12"/>
      <c r="Y91" s="12"/>
      <c r="Z91" s="12"/>
    </row>
    <row r="92" spans="1:36" s="11" customFormat="1" x14ac:dyDescent="0.3">
      <c r="A92" s="12"/>
      <c r="F92" s="21"/>
      <c r="G92" s="21"/>
      <c r="H92" s="233">
        <v>1997</v>
      </c>
      <c r="I92" s="236"/>
      <c r="J92" s="233">
        <v>1998</v>
      </c>
      <c r="K92" s="236"/>
      <c r="L92" s="233">
        <v>1999</v>
      </c>
      <c r="M92" s="236"/>
      <c r="N92" s="233">
        <v>2000</v>
      </c>
      <c r="O92" s="236"/>
      <c r="P92" s="233">
        <v>2001</v>
      </c>
      <c r="Q92" s="236"/>
      <c r="R92" s="233">
        <v>2002</v>
      </c>
      <c r="S92" s="236"/>
      <c r="T92" s="234"/>
      <c r="U92" s="12"/>
      <c r="V92" s="17"/>
      <c r="W92" s="17"/>
      <c r="X92" s="12"/>
      <c r="Y92" s="12"/>
      <c r="Z92" s="12"/>
    </row>
    <row r="93" spans="1:36" s="11" customFormat="1" x14ac:dyDescent="0.3">
      <c r="A93" s="12"/>
      <c r="F93" s="21"/>
      <c r="G93" s="21"/>
      <c r="H93" s="233">
        <v>1998</v>
      </c>
      <c r="I93" s="236"/>
      <c r="J93" s="233">
        <v>1999</v>
      </c>
      <c r="K93" s="236"/>
      <c r="L93" s="233">
        <v>2000</v>
      </c>
      <c r="M93" s="236"/>
      <c r="N93" s="233">
        <v>2001</v>
      </c>
      <c r="O93" s="236"/>
      <c r="P93" s="233">
        <v>2002</v>
      </c>
      <c r="Q93" s="236"/>
      <c r="R93" s="233">
        <v>2003</v>
      </c>
      <c r="S93" s="236"/>
      <c r="T93" s="234"/>
      <c r="U93" s="12"/>
      <c r="V93" s="17"/>
      <c r="W93" s="17"/>
      <c r="X93" s="12"/>
      <c r="Y93" s="12"/>
      <c r="Z93" s="12"/>
    </row>
    <row r="94" spans="1:36" s="11" customFormat="1" x14ac:dyDescent="0.3">
      <c r="A94" s="12"/>
      <c r="F94" s="21"/>
      <c r="G94" s="21"/>
      <c r="H94" s="15">
        <v>1999</v>
      </c>
      <c r="I94" s="18">
        <f t="shared" ref="I94:I110" si="30">I60/$T60</f>
        <v>1.7596731748393945E-2</v>
      </c>
      <c r="J94" s="15">
        <v>2000</v>
      </c>
      <c r="K94" s="18">
        <f t="shared" ref="K94:K110" si="31">K60/$T60</f>
        <v>0.13973808070092963</v>
      </c>
      <c r="L94" s="15">
        <v>2001</v>
      </c>
      <c r="M94" s="18">
        <f t="shared" ref="M94:M110" si="32">M60/$T60</f>
        <v>0.47214615528032666</v>
      </c>
      <c r="N94" s="15">
        <v>2002</v>
      </c>
      <c r="O94" s="18">
        <f t="shared" ref="O94:O110" si="33">O60/$T60</f>
        <v>0.35948122405222144</v>
      </c>
      <c r="P94" s="15">
        <v>2003</v>
      </c>
      <c r="Q94" s="18">
        <f t="shared" ref="Q94:Q110" si="34">Q60/$T60</f>
        <v>1.1037808218128317E-2</v>
      </c>
      <c r="R94" s="15">
        <v>2004</v>
      </c>
      <c r="S94" s="18">
        <f t="shared" ref="S94:S110" si="35">S60/$T60</f>
        <v>0</v>
      </c>
      <c r="T94" s="18">
        <f t="shared" ref="T94:T110" si="36">SUM(I94,K94,M94,O94,Q94,S94)</f>
        <v>0.99999999999999989</v>
      </c>
      <c r="U94" s="12"/>
      <c r="V94" s="17"/>
      <c r="W94" s="17"/>
      <c r="X94" s="12"/>
      <c r="Y94" s="12"/>
      <c r="Z94" s="12"/>
    </row>
    <row r="95" spans="1:36" x14ac:dyDescent="0.3">
      <c r="H95" s="15">
        <v>2000</v>
      </c>
      <c r="I95" s="18">
        <f t="shared" si="30"/>
        <v>2.9434312425481186E-3</v>
      </c>
      <c r="J95" s="15">
        <v>2001</v>
      </c>
      <c r="K95" s="18">
        <f t="shared" si="31"/>
        <v>4.7195437212096993E-2</v>
      </c>
      <c r="L95" s="15">
        <v>2002</v>
      </c>
      <c r="M95" s="18">
        <f t="shared" si="32"/>
        <v>0.48363007018920656</v>
      </c>
      <c r="N95" s="15">
        <v>2003</v>
      </c>
      <c r="O95" s="18">
        <f t="shared" si="33"/>
        <v>0.46623106135614828</v>
      </c>
      <c r="P95" s="15">
        <v>2004</v>
      </c>
      <c r="Q95" s="18">
        <f t="shared" si="34"/>
        <v>0</v>
      </c>
      <c r="R95" s="15">
        <v>2005</v>
      </c>
      <c r="S95" s="18">
        <f t="shared" si="35"/>
        <v>0</v>
      </c>
      <c r="T95" s="18">
        <f t="shared" si="36"/>
        <v>1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s="11" customFormat="1" x14ac:dyDescent="0.3">
      <c r="A96" s="12"/>
      <c r="F96" s="21"/>
      <c r="G96" s="21"/>
      <c r="H96" s="15">
        <v>2001</v>
      </c>
      <c r="I96" s="18">
        <f t="shared" si="30"/>
        <v>1.6818515012275641E-3</v>
      </c>
      <c r="J96" s="15">
        <v>2002</v>
      </c>
      <c r="K96" s="18">
        <f t="shared" si="31"/>
        <v>0.13179155519544122</v>
      </c>
      <c r="L96" s="15">
        <v>2003</v>
      </c>
      <c r="M96" s="18">
        <f t="shared" si="32"/>
        <v>0.79410562302488186</v>
      </c>
      <c r="N96" s="15">
        <v>2004</v>
      </c>
      <c r="O96" s="18">
        <f t="shared" si="33"/>
        <v>7.1664122515603071E-2</v>
      </c>
      <c r="P96" s="15">
        <v>2005</v>
      </c>
      <c r="Q96" s="18">
        <f t="shared" si="34"/>
        <v>7.5684776284614221E-4</v>
      </c>
      <c r="R96" s="15">
        <v>2006</v>
      </c>
      <c r="S96" s="18">
        <f t="shared" si="35"/>
        <v>0</v>
      </c>
      <c r="T96" s="18">
        <f t="shared" si="36"/>
        <v>0.99999999999999989</v>
      </c>
      <c r="U96" s="12"/>
      <c r="V96" s="17"/>
      <c r="W96" s="17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1" customFormat="1" x14ac:dyDescent="0.3">
      <c r="A97" s="12"/>
      <c r="F97" s="21"/>
      <c r="G97" s="21"/>
      <c r="H97" s="15">
        <v>2002</v>
      </c>
      <c r="I97" s="18">
        <f t="shared" si="30"/>
        <v>7.2111627385657939E-4</v>
      </c>
      <c r="J97" s="15">
        <v>2003</v>
      </c>
      <c r="K97" s="18">
        <f t="shared" si="31"/>
        <v>7.0490378568990611E-2</v>
      </c>
      <c r="L97" s="15">
        <v>2004</v>
      </c>
      <c r="M97" s="18">
        <f t="shared" si="32"/>
        <v>0.82983297889142627</v>
      </c>
      <c r="N97" s="15">
        <v>2005</v>
      </c>
      <c r="O97" s="18">
        <f t="shared" si="33"/>
        <v>9.8955526265726471E-2</v>
      </c>
      <c r="P97" s="15">
        <v>2006</v>
      </c>
      <c r="Q97" s="18">
        <f t="shared" si="34"/>
        <v>0</v>
      </c>
      <c r="R97" s="15">
        <v>2007</v>
      </c>
      <c r="S97" s="18">
        <f t="shared" si="35"/>
        <v>0</v>
      </c>
      <c r="T97" s="18">
        <f t="shared" si="36"/>
        <v>0.99999999999999989</v>
      </c>
      <c r="U97" s="12"/>
      <c r="V97" s="17"/>
      <c r="W97" s="17"/>
      <c r="X97" s="12"/>
      <c r="Y97" s="12"/>
      <c r="Z97" s="12"/>
    </row>
    <row r="98" spans="1:36" x14ac:dyDescent="0.3">
      <c r="H98" s="15">
        <v>2003</v>
      </c>
      <c r="I98" s="18">
        <f t="shared" si="30"/>
        <v>3.8654232491713592E-4</v>
      </c>
      <c r="J98" s="15">
        <v>2004</v>
      </c>
      <c r="K98" s="18">
        <f t="shared" si="31"/>
        <v>0.35151572274758491</v>
      </c>
      <c r="L98" s="15">
        <v>2005</v>
      </c>
      <c r="M98" s="18">
        <f t="shared" si="32"/>
        <v>0.50941929421347398</v>
      </c>
      <c r="N98" s="15">
        <v>2006</v>
      </c>
      <c r="O98" s="18">
        <f t="shared" si="33"/>
        <v>0.13669774318444691</v>
      </c>
      <c r="P98" s="15">
        <v>2007</v>
      </c>
      <c r="Q98" s="18">
        <f t="shared" si="34"/>
        <v>1.9806975295771469E-3</v>
      </c>
      <c r="R98" s="15">
        <v>2008</v>
      </c>
      <c r="S98" s="18">
        <f t="shared" si="35"/>
        <v>0</v>
      </c>
      <c r="T98" s="18">
        <f t="shared" si="36"/>
        <v>1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x14ac:dyDescent="0.3">
      <c r="H99" s="15">
        <v>2004</v>
      </c>
      <c r="I99" s="18">
        <f t="shared" si="30"/>
        <v>1.132772315090368E-2</v>
      </c>
      <c r="J99" s="15">
        <v>2005</v>
      </c>
      <c r="K99" s="18">
        <f t="shared" si="31"/>
        <v>0.24657936260731619</v>
      </c>
      <c r="L99" s="15">
        <v>2006</v>
      </c>
      <c r="M99" s="18">
        <f t="shared" si="32"/>
        <v>0.5953984522910607</v>
      </c>
      <c r="N99" s="15">
        <v>2007</v>
      </c>
      <c r="O99" s="18">
        <f t="shared" si="33"/>
        <v>0.14601231474429624</v>
      </c>
      <c r="P99" s="15">
        <v>2008</v>
      </c>
      <c r="Q99" s="18">
        <f t="shared" si="34"/>
        <v>6.8214720642314607E-4</v>
      </c>
      <c r="R99" s="15">
        <v>2009</v>
      </c>
      <c r="S99" s="18">
        <f t="shared" si="35"/>
        <v>0</v>
      </c>
      <c r="T99" s="18">
        <f t="shared" si="36"/>
        <v>0.99999999999999989</v>
      </c>
    </row>
    <row r="100" spans="1:36" x14ac:dyDescent="0.3">
      <c r="H100" s="15">
        <v>2005</v>
      </c>
      <c r="I100" s="18">
        <f t="shared" si="30"/>
        <v>9.1527576063648603E-3</v>
      </c>
      <c r="J100" s="15">
        <v>2006</v>
      </c>
      <c r="K100" s="18">
        <f t="shared" si="31"/>
        <v>0.50550038570982769</v>
      </c>
      <c r="L100" s="15">
        <v>2007</v>
      </c>
      <c r="M100" s="18">
        <f t="shared" si="32"/>
        <v>0.46834980573366819</v>
      </c>
      <c r="N100" s="15">
        <v>2008</v>
      </c>
      <c r="O100" s="18">
        <f t="shared" si="33"/>
        <v>1.6997050950139325E-2</v>
      </c>
      <c r="P100" s="15">
        <v>2009</v>
      </c>
      <c r="Q100" s="18">
        <f t="shared" si="34"/>
        <v>0</v>
      </c>
      <c r="R100" s="15">
        <v>2010</v>
      </c>
      <c r="S100" s="18">
        <f t="shared" si="35"/>
        <v>0</v>
      </c>
      <c r="T100" s="18">
        <f t="shared" si="36"/>
        <v>1.0000000000000002</v>
      </c>
    </row>
    <row r="101" spans="1:36" x14ac:dyDescent="0.3">
      <c r="H101" s="15">
        <v>2006</v>
      </c>
      <c r="I101" s="18">
        <f t="shared" si="30"/>
        <v>0</v>
      </c>
      <c r="J101" s="15">
        <v>2007</v>
      </c>
      <c r="K101" s="18">
        <f t="shared" si="31"/>
        <v>0.3794785150922918</v>
      </c>
      <c r="L101" s="15">
        <v>2008</v>
      </c>
      <c r="M101" s="18">
        <f t="shared" si="32"/>
        <v>0.58647757559965352</v>
      </c>
      <c r="N101" s="15">
        <v>2009</v>
      </c>
      <c r="O101" s="18">
        <f t="shared" si="33"/>
        <v>3.4043909308054732E-2</v>
      </c>
      <c r="P101" s="15">
        <v>2010</v>
      </c>
      <c r="Q101" s="18">
        <f t="shared" si="34"/>
        <v>0</v>
      </c>
      <c r="R101" s="15">
        <v>2011</v>
      </c>
      <c r="S101" s="18">
        <f t="shared" si="35"/>
        <v>0</v>
      </c>
      <c r="T101" s="18">
        <f t="shared" si="36"/>
        <v>1</v>
      </c>
    </row>
    <row r="102" spans="1:36" x14ac:dyDescent="0.3">
      <c r="H102" s="15">
        <v>2007</v>
      </c>
      <c r="I102" s="18">
        <f t="shared" si="30"/>
        <v>0</v>
      </c>
      <c r="J102" s="15">
        <v>2008</v>
      </c>
      <c r="K102" s="18">
        <f t="shared" si="31"/>
        <v>0.10304865948122237</v>
      </c>
      <c r="L102" s="15">
        <v>2009</v>
      </c>
      <c r="M102" s="18">
        <f t="shared" si="32"/>
        <v>0.69293739053049952</v>
      </c>
      <c r="N102" s="15">
        <v>2010</v>
      </c>
      <c r="O102" s="18">
        <f t="shared" si="33"/>
        <v>0.20401394998827801</v>
      </c>
      <c r="P102" s="15">
        <v>2011</v>
      </c>
      <c r="Q102" s="18">
        <f t="shared" si="34"/>
        <v>0</v>
      </c>
      <c r="R102" s="15">
        <v>2012</v>
      </c>
      <c r="S102" s="18">
        <f t="shared" si="35"/>
        <v>0</v>
      </c>
      <c r="T102" s="18">
        <f t="shared" si="36"/>
        <v>0.99999999999999989</v>
      </c>
    </row>
    <row r="103" spans="1:36" x14ac:dyDescent="0.3">
      <c r="H103" s="15">
        <v>2008</v>
      </c>
      <c r="I103" s="18">
        <f t="shared" si="30"/>
        <v>2.2170786674534813E-3</v>
      </c>
      <c r="J103" s="15">
        <v>2009</v>
      </c>
      <c r="K103" s="18">
        <f t="shared" si="31"/>
        <v>0.16088774171859155</v>
      </c>
      <c r="L103" s="15">
        <v>2010</v>
      </c>
      <c r="M103" s="18">
        <f t="shared" si="32"/>
        <v>0.47964090046695168</v>
      </c>
      <c r="N103" s="15">
        <v>2011</v>
      </c>
      <c r="O103" s="18">
        <f t="shared" si="33"/>
        <v>0.35725427914700325</v>
      </c>
      <c r="P103" s="15">
        <v>2012</v>
      </c>
      <c r="Q103" s="18">
        <f t="shared" si="34"/>
        <v>0</v>
      </c>
      <c r="R103" s="15">
        <v>2013</v>
      </c>
      <c r="S103" s="18">
        <f t="shared" si="35"/>
        <v>0</v>
      </c>
      <c r="T103" s="18">
        <f t="shared" si="36"/>
        <v>1</v>
      </c>
    </row>
    <row r="104" spans="1:36" x14ac:dyDescent="0.3">
      <c r="H104" s="15">
        <v>2009</v>
      </c>
      <c r="I104" s="18">
        <f t="shared" si="30"/>
        <v>1.8569916842404884E-2</v>
      </c>
      <c r="J104" s="15">
        <v>2010</v>
      </c>
      <c r="K104" s="18">
        <f t="shared" si="31"/>
        <v>0.39695685940823872</v>
      </c>
      <c r="L104" s="15">
        <v>2011</v>
      </c>
      <c r="M104" s="18">
        <f t="shared" si="32"/>
        <v>0.5185629735569055</v>
      </c>
      <c r="N104" s="15">
        <v>2012</v>
      </c>
      <c r="O104" s="18">
        <f t="shared" si="33"/>
        <v>6.5910250192451003E-2</v>
      </c>
      <c r="P104" s="15">
        <v>2013</v>
      </c>
      <c r="Q104" s="18">
        <f t="shared" si="34"/>
        <v>0</v>
      </c>
      <c r="R104" s="15">
        <v>2014</v>
      </c>
      <c r="S104" s="18">
        <f t="shared" si="35"/>
        <v>0</v>
      </c>
      <c r="T104" s="18">
        <f t="shared" si="36"/>
        <v>1</v>
      </c>
    </row>
    <row r="105" spans="1:36" x14ac:dyDescent="0.3">
      <c r="H105" s="15">
        <v>2010</v>
      </c>
      <c r="I105" s="18">
        <f t="shared" si="30"/>
        <v>0</v>
      </c>
      <c r="J105" s="15">
        <v>2011</v>
      </c>
      <c r="K105" s="18">
        <f t="shared" si="31"/>
        <v>0.11208283088511299</v>
      </c>
      <c r="L105" s="15">
        <v>2012</v>
      </c>
      <c r="M105" s="18">
        <f t="shared" si="32"/>
        <v>0.56736995768406351</v>
      </c>
      <c r="N105" s="15">
        <v>2013</v>
      </c>
      <c r="O105" s="18">
        <f t="shared" si="33"/>
        <v>0.31733125818892471</v>
      </c>
      <c r="P105" s="15">
        <v>2014</v>
      </c>
      <c r="Q105" s="18">
        <f t="shared" si="34"/>
        <v>3.2159532418988427E-3</v>
      </c>
      <c r="R105" s="15">
        <v>2015</v>
      </c>
      <c r="S105" s="18">
        <f t="shared" si="35"/>
        <v>0</v>
      </c>
      <c r="T105" s="18">
        <f t="shared" si="36"/>
        <v>1</v>
      </c>
    </row>
    <row r="106" spans="1:36" x14ac:dyDescent="0.3">
      <c r="H106" s="15">
        <v>2011</v>
      </c>
      <c r="I106" s="18">
        <f t="shared" si="30"/>
        <v>3.5983259103415099E-2</v>
      </c>
      <c r="J106" s="15">
        <v>2012</v>
      </c>
      <c r="K106" s="18">
        <f t="shared" si="31"/>
        <v>0.35281043523960942</v>
      </c>
      <c r="L106" s="15">
        <v>2013</v>
      </c>
      <c r="M106" s="18">
        <f t="shared" si="32"/>
        <v>0.53745600621204381</v>
      </c>
      <c r="N106" s="15">
        <v>2014</v>
      </c>
      <c r="O106" s="18">
        <f t="shared" si="33"/>
        <v>7.3750299444931555E-2</v>
      </c>
      <c r="P106" s="15">
        <v>2015</v>
      </c>
      <c r="Q106" s="18">
        <f t="shared" si="34"/>
        <v>0</v>
      </c>
      <c r="R106" s="15">
        <v>2016</v>
      </c>
      <c r="S106" s="18">
        <f t="shared" si="35"/>
        <v>0</v>
      </c>
      <c r="T106" s="18">
        <f t="shared" si="36"/>
        <v>0.99999999999999978</v>
      </c>
    </row>
    <row r="107" spans="1:36" x14ac:dyDescent="0.3">
      <c r="H107" s="15">
        <v>2012</v>
      </c>
      <c r="I107" s="18">
        <f t="shared" si="30"/>
        <v>0.14625808746374347</v>
      </c>
      <c r="J107" s="15">
        <v>2013</v>
      </c>
      <c r="K107" s="18">
        <f t="shared" si="31"/>
        <v>0.41744374657038669</v>
      </c>
      <c r="L107" s="15">
        <v>2014</v>
      </c>
      <c r="M107" s="18">
        <f t="shared" si="32"/>
        <v>0.428474137207913</v>
      </c>
      <c r="N107" s="15">
        <v>2015</v>
      </c>
      <c r="O107" s="18">
        <f t="shared" si="33"/>
        <v>7.8240287579568121E-3</v>
      </c>
      <c r="P107" s="15">
        <v>2016</v>
      </c>
      <c r="Q107" s="18">
        <f t="shared" si="34"/>
        <v>0</v>
      </c>
      <c r="R107" s="15">
        <v>2017</v>
      </c>
      <c r="S107" s="18">
        <f t="shared" si="35"/>
        <v>0</v>
      </c>
      <c r="T107" s="18">
        <f t="shared" si="36"/>
        <v>1</v>
      </c>
    </row>
    <row r="108" spans="1:36" x14ac:dyDescent="0.3">
      <c r="H108" s="15">
        <v>2013</v>
      </c>
      <c r="I108" s="18">
        <f t="shared" si="30"/>
        <v>9.4076026039850616E-2</v>
      </c>
      <c r="J108" s="15">
        <v>2014</v>
      </c>
      <c r="K108" s="18">
        <f t="shared" si="31"/>
        <v>0.35816052649927899</v>
      </c>
      <c r="L108" s="15">
        <v>2015</v>
      </c>
      <c r="M108" s="18">
        <f t="shared" si="32"/>
        <v>0.50512225953795831</v>
      </c>
      <c r="N108" s="15">
        <v>2016</v>
      </c>
      <c r="O108" s="18">
        <f t="shared" si="33"/>
        <v>4.2641187922912119E-2</v>
      </c>
      <c r="P108" s="15">
        <v>2017</v>
      </c>
      <c r="Q108" s="18">
        <f t="shared" si="34"/>
        <v>0</v>
      </c>
      <c r="R108" s="15">
        <v>2018</v>
      </c>
      <c r="S108" s="18">
        <f t="shared" si="35"/>
        <v>0</v>
      </c>
      <c r="T108" s="18">
        <f t="shared" si="36"/>
        <v>1</v>
      </c>
    </row>
    <row r="109" spans="1:36" x14ac:dyDescent="0.3">
      <c r="H109" s="15">
        <v>2014</v>
      </c>
      <c r="I109" s="18">
        <f t="shared" si="30"/>
        <v>0.11086883210367197</v>
      </c>
      <c r="J109" s="15">
        <v>2015</v>
      </c>
      <c r="K109" s="18">
        <f t="shared" si="31"/>
        <v>0.25895307961820185</v>
      </c>
      <c r="L109" s="15">
        <v>2016</v>
      </c>
      <c r="M109" s="18">
        <f t="shared" si="32"/>
        <v>0.37990268816501682</v>
      </c>
      <c r="N109" s="15">
        <v>2017</v>
      </c>
      <c r="O109" s="18">
        <f t="shared" si="33"/>
        <v>0.25027540011310934</v>
      </c>
      <c r="P109" s="15">
        <v>2018</v>
      </c>
      <c r="Q109" s="18">
        <f t="shared" si="34"/>
        <v>0</v>
      </c>
      <c r="R109" s="15">
        <v>2019</v>
      </c>
      <c r="S109" s="120">
        <f t="shared" si="35"/>
        <v>0</v>
      </c>
      <c r="T109" s="18">
        <f t="shared" si="36"/>
        <v>1</v>
      </c>
    </row>
    <row r="110" spans="1:36" x14ac:dyDescent="0.3">
      <c r="H110" s="15">
        <v>2015</v>
      </c>
      <c r="I110" s="18">
        <f t="shared" si="30"/>
        <v>3.8855561647815569E-2</v>
      </c>
      <c r="J110" s="15">
        <v>2016</v>
      </c>
      <c r="K110" s="18">
        <f t="shared" si="31"/>
        <v>0.39309809027013665</v>
      </c>
      <c r="L110" s="15">
        <v>2017</v>
      </c>
      <c r="M110" s="18">
        <f t="shared" si="32"/>
        <v>0.5384354121735424</v>
      </c>
      <c r="N110" s="15">
        <v>2018</v>
      </c>
      <c r="O110" s="18">
        <f t="shared" si="33"/>
        <v>2.9610935908505335E-2</v>
      </c>
      <c r="P110" s="15">
        <v>2019</v>
      </c>
      <c r="Q110" s="120">
        <f t="shared" si="34"/>
        <v>0</v>
      </c>
      <c r="R110" s="15">
        <v>2020</v>
      </c>
      <c r="S110" s="120">
        <f t="shared" si="35"/>
        <v>0</v>
      </c>
      <c r="T110" s="18">
        <f t="shared" si="36"/>
        <v>1</v>
      </c>
    </row>
    <row r="112" spans="1:36" x14ac:dyDescent="0.3">
      <c r="H112" s="20" t="s">
        <v>66</v>
      </c>
      <c r="I112" s="18">
        <f>AVERAGE(I80:I110)</f>
        <v>2.2743651152076695E-2</v>
      </c>
      <c r="K112" s="18">
        <f>AVERAGE(K80:K110)</f>
        <v>0.25169561801264095</v>
      </c>
      <c r="M112" s="18">
        <f>AVERAGE(M80:M110)</f>
        <v>0.52451097607300623</v>
      </c>
      <c r="O112" s="18">
        <f>AVERAGE(O80:O110)</f>
        <v>0.19606738913140451</v>
      </c>
      <c r="Q112" s="18">
        <f>AVERAGE(Q80:Q110)</f>
        <v>4.9176595017855701E-3</v>
      </c>
      <c r="S112" s="18">
        <f>AVERAGE(S80:S110)</f>
        <v>6.4706129085894141E-5</v>
      </c>
      <c r="T112" s="18">
        <f>SUM(I112,K112,M112,O112,Q112,S112)</f>
        <v>1</v>
      </c>
    </row>
    <row r="113" spans="8:20" x14ac:dyDescent="0.3">
      <c r="H113" s="20" t="s">
        <v>67</v>
      </c>
      <c r="I113" s="18">
        <f>MEDIAN(I80:I110)</f>
        <v>7.5770094160800636E-3</v>
      </c>
      <c r="K113" s="18">
        <f>MEDIAN(K80:K110)</f>
        <v>0.27229580913020524</v>
      </c>
      <c r="M113" s="18">
        <f>MEDIAN(M80:M110)</f>
        <v>0.52800948988447471</v>
      </c>
      <c r="O113" s="18">
        <f>MEDIAN(O80:O110)</f>
        <v>0.14135502896437158</v>
      </c>
      <c r="Q113" s="18">
        <f>MEDIAN(Q80:Q110)</f>
        <v>0</v>
      </c>
      <c r="S113" s="18">
        <f>MEDIAN(S80:S110)</f>
        <v>0</v>
      </c>
      <c r="T113" s="18">
        <f>SUM(I113,K113,M113,O113,Q113,S113)</f>
        <v>0.94923733739513161</v>
      </c>
    </row>
    <row r="115" spans="8:20" x14ac:dyDescent="0.3">
      <c r="H115" s="140" t="s">
        <v>156</v>
      </c>
      <c r="I115" s="18">
        <f>AVERAGE(I80:I88)</f>
        <v>1.1188446026380789E-2</v>
      </c>
      <c r="K115" s="18">
        <f>AVERAGE(K80:K88)</f>
        <v>0.23537274008926751</v>
      </c>
      <c r="M115" s="18">
        <f>AVERAGE(M80:M88)</f>
        <v>0.47222485523773028</v>
      </c>
      <c r="O115" s="18">
        <f>AVERAGE(O80:O88)</f>
        <v>0.26878417504175645</v>
      </c>
      <c r="Q115" s="18">
        <f>AVERAGE(Q80:Q88)</f>
        <v>1.224285478750569E-2</v>
      </c>
      <c r="S115" s="18">
        <f>AVERAGE(S80:S88)</f>
        <v>1.8692881735924972E-4</v>
      </c>
      <c r="T115" s="18">
        <f>SUM(I115,K115,M115,O115,Q115,S115)</f>
        <v>0.99999999999999989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FFA3-4FD4-460F-8B68-5BD43F6E295F}">
  <dimension ref="A1:AJ115"/>
  <sheetViews>
    <sheetView workbookViewId="0">
      <pane xSplit="1" ySplit="5" topLeftCell="F21" activePane="bottomRight" state="frozen"/>
      <selection pane="topRight" activeCell="B1" sqref="B1"/>
      <selection pane="bottomLeft" activeCell="A5" sqref="A5"/>
      <selection pane="bottomRight" activeCell="AA42" sqref="AA42"/>
    </sheetView>
  </sheetViews>
  <sheetFormatPr defaultColWidth="9.109375" defaultRowHeight="14.4" x14ac:dyDescent="0.3"/>
  <cols>
    <col min="1" max="1" width="9.109375" style="12"/>
    <col min="2" max="2" width="11.33203125" style="11" bestFit="1" customWidth="1"/>
    <col min="3" max="5" width="9.33203125" style="11" customWidth="1"/>
    <col min="6" max="7" width="8" style="21" customWidth="1"/>
    <col min="8" max="8" width="7.6640625" style="20" customWidth="1"/>
    <col min="9" max="9" width="6.6640625" style="11" customWidth="1"/>
    <col min="10" max="10" width="6.6640625" style="20" customWidth="1"/>
    <col min="11" max="11" width="6.6640625" style="11" customWidth="1"/>
    <col min="12" max="12" width="6.6640625" style="20" customWidth="1"/>
    <col min="13" max="13" width="6.6640625" style="11" customWidth="1"/>
    <col min="14" max="14" width="6.6640625" style="20" customWidth="1"/>
    <col min="15" max="15" width="6.6640625" style="11" customWidth="1"/>
    <col min="16" max="16" width="6.6640625" style="20" customWidth="1"/>
    <col min="17" max="17" width="6.6640625" style="11" customWidth="1"/>
    <col min="18" max="18" width="6.6640625" style="20" customWidth="1"/>
    <col min="19" max="19" width="6.6640625" style="11" customWidth="1"/>
    <col min="20" max="20" width="7.33203125" style="11" customWidth="1"/>
    <col min="21" max="21" width="6.6640625" style="12" customWidth="1"/>
    <col min="22" max="23" width="6.6640625" style="17" customWidth="1"/>
    <col min="24" max="25" width="6.6640625" style="12" customWidth="1"/>
    <col min="26" max="26" width="10.88671875" style="12" customWidth="1"/>
    <col min="27" max="27" width="13.109375" style="12" bestFit="1" customWidth="1"/>
    <col min="28" max="34" width="9.109375" style="12"/>
    <col min="35" max="35" width="20" style="12" customWidth="1"/>
    <col min="36" max="16384" width="9.109375" style="12"/>
  </cols>
  <sheetData>
    <row r="1" spans="1:26" ht="18" x14ac:dyDescent="0.35">
      <c r="A1" s="74" t="s">
        <v>166</v>
      </c>
    </row>
    <row r="2" spans="1:26" ht="15.6" x14ac:dyDescent="0.3">
      <c r="A2" s="171" t="s">
        <v>167</v>
      </c>
    </row>
    <row r="3" spans="1:26" x14ac:dyDescent="0.3">
      <c r="H3" s="13"/>
    </row>
    <row r="4" spans="1:26" x14ac:dyDescent="0.3">
      <c r="A4" s="30"/>
      <c r="B4" s="39"/>
      <c r="C4" s="37"/>
      <c r="D4" s="37"/>
      <c r="E4" s="37"/>
      <c r="F4" s="37"/>
      <c r="G4" s="37"/>
      <c r="H4" s="31" t="s">
        <v>50</v>
      </c>
      <c r="I4" s="32"/>
      <c r="J4" s="33"/>
      <c r="K4" s="34"/>
      <c r="L4" s="35"/>
      <c r="M4" s="34"/>
      <c r="N4" s="35"/>
      <c r="O4" s="34"/>
      <c r="P4" s="35"/>
      <c r="Q4" s="34"/>
      <c r="R4" s="35"/>
      <c r="S4" s="34"/>
      <c r="U4" s="14"/>
    </row>
    <row r="5" spans="1:26" x14ac:dyDescent="0.3">
      <c r="A5" s="28" t="s">
        <v>0</v>
      </c>
      <c r="B5" s="38" t="s">
        <v>1</v>
      </c>
      <c r="C5" s="38" t="s">
        <v>9</v>
      </c>
      <c r="D5" s="38" t="s">
        <v>27</v>
      </c>
      <c r="E5" s="38" t="s">
        <v>13</v>
      </c>
      <c r="F5" s="38" t="s">
        <v>52</v>
      </c>
      <c r="G5" s="38" t="s">
        <v>62</v>
      </c>
      <c r="H5" s="29" t="s">
        <v>0</v>
      </c>
      <c r="I5" s="29" t="s">
        <v>43</v>
      </c>
      <c r="J5" s="29"/>
      <c r="K5" s="29" t="s">
        <v>44</v>
      </c>
      <c r="L5" s="29"/>
      <c r="M5" s="29" t="s">
        <v>45</v>
      </c>
      <c r="N5" s="29"/>
      <c r="O5" s="29" t="s">
        <v>46</v>
      </c>
      <c r="P5" s="29"/>
      <c r="Q5" s="29" t="s">
        <v>47</v>
      </c>
      <c r="R5" s="29"/>
      <c r="S5" s="29" t="s">
        <v>48</v>
      </c>
      <c r="T5" s="16"/>
      <c r="U5" s="21" t="s">
        <v>63</v>
      </c>
      <c r="V5" s="21" t="s">
        <v>64</v>
      </c>
      <c r="X5" s="16"/>
      <c r="Y5" s="16"/>
      <c r="Z5" s="16"/>
    </row>
    <row r="6" spans="1:26" x14ac:dyDescent="0.3">
      <c r="A6" s="17">
        <v>1982</v>
      </c>
      <c r="B6" s="11">
        <f>'Summary Data'!C6</f>
        <v>455.8408662342689</v>
      </c>
      <c r="C6" s="11">
        <f>'Summary Data'!H6</f>
        <v>97</v>
      </c>
      <c r="D6" s="11">
        <f>SUM(B6:C6)</f>
        <v>552.8408662342689</v>
      </c>
      <c r="E6" s="11">
        <f t="shared" ref="E6:E39" si="0">SUM(I6,K6,M6,O6,Q6,S6)</f>
        <v>6855.6678088028229</v>
      </c>
      <c r="F6" s="119">
        <f>E6/B6</f>
        <v>15.0396077153809</v>
      </c>
      <c r="G6" s="40">
        <f>LN(F6)</f>
        <v>2.7106872354276033</v>
      </c>
      <c r="H6" s="25">
        <v>1985</v>
      </c>
      <c r="I6" s="24">
        <f>B9*SUM('Escapement Age'!S9:T9)+C9*'Escapement Age'!S9</f>
        <v>75.455570010196638</v>
      </c>
      <c r="J6" s="25">
        <v>1986</v>
      </c>
      <c r="K6" s="24">
        <f>B10*SUM('Escapement Age'!U10:W10)+C10*SUM('Escapement Age'!U10:V10)</f>
        <v>1807.8225981792191</v>
      </c>
      <c r="L6" s="25">
        <v>1987</v>
      </c>
      <c r="M6" s="24">
        <f>B11*SUM('Escapement Age'!X11:Z11)+C11*SUM('Escapement Age'!X11:Y11)</f>
        <v>4612.102372369638</v>
      </c>
      <c r="N6" s="25">
        <v>1988</v>
      </c>
      <c r="O6" s="24">
        <f>B12*SUM('Escapement Age'!AA12:AC12)+'Run Reconstruction 4'!C12*SUM('Escapement Age'!AA12:AC12)</f>
        <v>339.78668492119061</v>
      </c>
      <c r="P6" s="25">
        <v>1989</v>
      </c>
      <c r="Q6" s="24">
        <f>B13*SUM('Escapement Age'!AD13:AF13)+C13*SUM('Escapement Age'!AD13:AF13)</f>
        <v>20.500583322578365</v>
      </c>
      <c r="R6" s="25">
        <v>1990</v>
      </c>
      <c r="S6" s="24">
        <f>B14*SUM('Escapement Age'!AG14)+C14*SUM('Escapement Age'!AG14)</f>
        <v>0</v>
      </c>
      <c r="U6" s="21"/>
      <c r="V6" s="21"/>
      <c r="X6" s="18"/>
      <c r="Y6" s="18"/>
      <c r="Z6" s="18"/>
    </row>
    <row r="7" spans="1:26" x14ac:dyDescent="0.3">
      <c r="A7" s="17">
        <v>1983</v>
      </c>
      <c r="B7" s="11">
        <f>'Summary Data'!C7</f>
        <v>2539.7855103785087</v>
      </c>
      <c r="C7" s="11">
        <f>'Summary Data'!H7</f>
        <v>36</v>
      </c>
      <c r="D7" s="11">
        <f t="shared" ref="D7:D39" si="1">SUM(B7:C7)</f>
        <v>2575.7855103785087</v>
      </c>
      <c r="E7" s="11">
        <f t="shared" si="0"/>
        <v>12843.28833940016</v>
      </c>
      <c r="F7" s="119">
        <f t="shared" ref="F7:F37" si="2">E7/B7</f>
        <v>5.0568397555296327</v>
      </c>
      <c r="G7" s="40">
        <f t="shared" ref="G7:G37" si="3">LN(F7)</f>
        <v>1.6207417339409731</v>
      </c>
      <c r="H7" s="25">
        <v>1986</v>
      </c>
      <c r="I7" s="24">
        <f>B10*SUM('Escapement Age'!S10:T10)+C10*'Escapement Age'!S10</f>
        <v>68.625317817510279</v>
      </c>
      <c r="J7" s="25">
        <v>1987</v>
      </c>
      <c r="K7" s="24">
        <f>B11*SUM('Escapement Age'!U11:W11)+C11*SUM('Escapement Age'!U11:V11)</f>
        <v>5948.6908477009374</v>
      </c>
      <c r="L7" s="25">
        <v>1988</v>
      </c>
      <c r="M7" s="24">
        <f>B12*SUM('Escapement Age'!X12:Z12)+C12*SUM('Escapement Age'!X12:Y12)</f>
        <v>2786.2508163537632</v>
      </c>
      <c r="N7" s="25">
        <v>1989</v>
      </c>
      <c r="O7" s="24">
        <f>B13*SUM('Escapement Age'!AA13:AC13)+'Run Reconstruction 4'!C13*SUM('Escapement Age'!AA13:AC13)</f>
        <v>4018.1143312253589</v>
      </c>
      <c r="P7" s="25">
        <v>1990</v>
      </c>
      <c r="Q7" s="24">
        <f>B14*SUM('Escapement Age'!AD14:AF14)+C14*SUM('Escapement Age'!AD14:AF14)</f>
        <v>0</v>
      </c>
      <c r="R7" s="25">
        <v>1991</v>
      </c>
      <c r="S7" s="24">
        <f>B15*SUM('Escapement Age'!AG15)+C15*SUM('Escapement Age'!AG15)</f>
        <v>21.60702630259123</v>
      </c>
      <c r="U7" s="21"/>
      <c r="V7" s="21"/>
      <c r="X7" s="18"/>
      <c r="Y7" s="18"/>
      <c r="Z7" s="18"/>
    </row>
    <row r="8" spans="1:26" x14ac:dyDescent="0.3">
      <c r="A8" s="17">
        <v>1984</v>
      </c>
      <c r="B8" s="11">
        <f>'Summary Data'!C8</f>
        <v>11579.406940083547</v>
      </c>
      <c r="C8" s="11">
        <f>'Summary Data'!H8</f>
        <v>175</v>
      </c>
      <c r="D8" s="11">
        <f t="shared" si="1"/>
        <v>11754.406940083547</v>
      </c>
      <c r="E8" s="11">
        <f t="shared" si="0"/>
        <v>50074.937573870666</v>
      </c>
      <c r="F8" s="119">
        <f t="shared" si="2"/>
        <v>4.3244820596580027</v>
      </c>
      <c r="G8" s="40">
        <f t="shared" si="3"/>
        <v>1.4642923782202717</v>
      </c>
      <c r="H8" s="25">
        <v>1987</v>
      </c>
      <c r="I8" s="24">
        <f>B11*SUM('Escapement Age'!S11:T11)+C11*'Escapement Age'!S11</f>
        <v>94.201613399815997</v>
      </c>
      <c r="J8" s="25">
        <v>1988</v>
      </c>
      <c r="K8" s="24">
        <f>B12*SUM('Escapement Age'!U12:W12)+C12*SUM('Escapement Age'!U12:V12)</f>
        <v>465.99316789191863</v>
      </c>
      <c r="L8" s="25">
        <v>1989</v>
      </c>
      <c r="M8" s="24">
        <f>B13*SUM('Escapement Age'!X13:Z13)+C13*SUM('Escapement Age'!X13:Y13)</f>
        <v>27202.666648355324</v>
      </c>
      <c r="N8" s="25">
        <v>1990</v>
      </c>
      <c r="O8" s="24">
        <f>B14*SUM('Escapement Age'!AA14:AC14)+'Run Reconstruction 4'!C14*SUM('Escapement Age'!AA14:AC14)</f>
        <v>21080.475644975904</v>
      </c>
      <c r="P8" s="25">
        <v>1991</v>
      </c>
      <c r="Q8" s="24">
        <f>B15*SUM('Escapement Age'!AD15:AF15)+C15*SUM('Escapement Age'!AD15:AF15)</f>
        <v>1231.6004992477001</v>
      </c>
      <c r="R8" s="25">
        <v>1992</v>
      </c>
      <c r="S8" s="24">
        <f>B16*SUM('Escapement Age'!AG16)+C16*SUM('Escapement Age'!AG16)</f>
        <v>0</v>
      </c>
      <c r="U8" s="21"/>
      <c r="V8" s="21"/>
      <c r="X8" s="18"/>
      <c r="Y8" s="18"/>
      <c r="Z8" s="18"/>
    </row>
    <row r="9" spans="1:26" x14ac:dyDescent="0.3">
      <c r="A9" s="17">
        <v>1985</v>
      </c>
      <c r="B9" s="11">
        <f>'Summary Data'!C9</f>
        <v>10991.361364818644</v>
      </c>
      <c r="C9" s="11">
        <f>'Summary Data'!H9</f>
        <v>238</v>
      </c>
      <c r="D9" s="11">
        <f t="shared" si="1"/>
        <v>11229.361364818644</v>
      </c>
      <c r="E9" s="11">
        <f t="shared" si="0"/>
        <v>96153.770907218423</v>
      </c>
      <c r="F9" s="119">
        <f t="shared" si="2"/>
        <v>8.7481220674801232</v>
      </c>
      <c r="G9" s="40">
        <f t="shared" si="3"/>
        <v>2.1688390564757563</v>
      </c>
      <c r="H9" s="25">
        <v>1988</v>
      </c>
      <c r="I9" s="24">
        <f>B12*SUM('Escapement Age'!S12:T12)+C12*'Escapement Age'!S12</f>
        <v>0</v>
      </c>
      <c r="J9" s="25">
        <v>1989</v>
      </c>
      <c r="K9" s="24">
        <f>B13*SUM('Escapement Age'!U13:W13)+C13*SUM('Escapement Age'!U13:V13)</f>
        <v>2775.6397293548494</v>
      </c>
      <c r="L9" s="25">
        <v>1990</v>
      </c>
      <c r="M9" s="24">
        <f>B14*SUM('Escapement Age'!X14:Z14)+C14*SUM('Escapement Age'!X14:Y14)</f>
        <v>53395.456274400043</v>
      </c>
      <c r="N9" s="25">
        <v>1991</v>
      </c>
      <c r="O9" s="24">
        <f>B15*SUM('Escapement Age'!AA15:AC15)+'Run Reconstruction 4'!C15*SUM('Escapement Age'!AA15:AC15)</f>
        <v>39778.535423070454</v>
      </c>
      <c r="P9" s="25">
        <v>1992</v>
      </c>
      <c r="Q9" s="24">
        <f>B16*SUM('Escapement Age'!AD16:AF16)+C16*SUM('Escapement Age'!AD16:AF16)</f>
        <v>204.13948039306837</v>
      </c>
      <c r="R9" s="25">
        <v>1993</v>
      </c>
      <c r="S9" s="24">
        <f>B17*SUM('Escapement Age'!AG17)+C17*SUM('Escapement Age'!AG17)</f>
        <v>0</v>
      </c>
      <c r="U9" s="21"/>
      <c r="V9" s="21"/>
      <c r="X9" s="18"/>
      <c r="Y9" s="18"/>
      <c r="Z9" s="18"/>
    </row>
    <row r="10" spans="1:26" x14ac:dyDescent="0.3">
      <c r="A10" s="17">
        <v>1986</v>
      </c>
      <c r="B10" s="11">
        <f>'Summary Data'!C10</f>
        <v>9798.1703772778565</v>
      </c>
      <c r="C10" s="11">
        <f>'Summary Data'!H10</f>
        <v>98</v>
      </c>
      <c r="D10" s="11">
        <f t="shared" si="1"/>
        <v>9896.1703772778565</v>
      </c>
      <c r="E10" s="11">
        <f t="shared" si="0"/>
        <v>10915.723869799616</v>
      </c>
      <c r="F10" s="119">
        <f t="shared" si="2"/>
        <v>1.1140573647416243</v>
      </c>
      <c r="G10" s="40">
        <f t="shared" si="3"/>
        <v>0.10800863456137061</v>
      </c>
      <c r="H10" s="25">
        <v>1989</v>
      </c>
      <c r="I10" s="24">
        <f>B13*SUM('Escapement Age'!S13:T13)+C13*'Escapement Age'!S13</f>
        <v>151.14530093131512</v>
      </c>
      <c r="J10" s="25">
        <v>1990</v>
      </c>
      <c r="K10" s="24">
        <f>B14*SUM('Escapement Age'!U14:W14)+C14*SUM('Escapement Age'!U14:V14)</f>
        <v>4221.5121922079315</v>
      </c>
      <c r="L10" s="25">
        <v>1991</v>
      </c>
      <c r="M10" s="24">
        <f>B15*SUM('Escapement Age'!X15:Z15)+C15*SUM('Escapement Age'!X15:Y15)</f>
        <v>3238.2930564997951</v>
      </c>
      <c r="N10" s="25">
        <v>1992</v>
      </c>
      <c r="O10" s="24">
        <f>B16*SUM('Escapement Age'!AA16:AC16)+'Run Reconstruction 4'!C16*SUM('Escapement Age'!AA16:AC16)</f>
        <v>3038.5376504660567</v>
      </c>
      <c r="P10" s="25">
        <v>1993</v>
      </c>
      <c r="Q10" s="24">
        <f>B17*SUM('Escapement Age'!AD17:AF17)+C17*SUM('Escapement Age'!AD17:AF17)</f>
        <v>266.23566969451633</v>
      </c>
      <c r="R10" s="25">
        <v>1994</v>
      </c>
      <c r="S10" s="24">
        <f>B18*SUM('Escapement Age'!AG18)+C18*SUM('Escapement Age'!AG18)</f>
        <v>0</v>
      </c>
      <c r="U10" s="21"/>
      <c r="V10" s="21"/>
      <c r="X10" s="18"/>
      <c r="Y10" s="18"/>
      <c r="Z10" s="18"/>
    </row>
    <row r="11" spans="1:26" x14ac:dyDescent="0.3">
      <c r="A11" s="17">
        <v>1987</v>
      </c>
      <c r="B11" s="11">
        <f>'Summary Data'!C11</f>
        <v>14251.358370057878</v>
      </c>
      <c r="C11" s="11">
        <f>'Summary Data'!H11</f>
        <v>285</v>
      </c>
      <c r="D11" s="11">
        <f t="shared" si="1"/>
        <v>14536.358370057878</v>
      </c>
      <c r="E11" s="11">
        <f t="shared" si="0"/>
        <v>14253.97142045392</v>
      </c>
      <c r="F11" s="119">
        <f t="shared" si="2"/>
        <v>1.0001833544794951</v>
      </c>
      <c r="G11" s="40">
        <f t="shared" si="3"/>
        <v>1.8333767211699991E-4</v>
      </c>
      <c r="H11" s="25">
        <v>1990</v>
      </c>
      <c r="I11" s="24">
        <f>B14*SUM('Escapement Age'!S14:T14)+C14*'Escapement Age'!S14</f>
        <v>466.48969982479201</v>
      </c>
      <c r="J11" s="25">
        <v>1991</v>
      </c>
      <c r="K11" s="24">
        <f>B15*SUM('Escapement Age'!U15:W15)+C15*SUM('Escapement Age'!U15:V15)</f>
        <v>4196.3247108634368</v>
      </c>
      <c r="L11" s="25">
        <v>1992</v>
      </c>
      <c r="M11" s="24">
        <f>B16*SUM('Escapement Age'!X16:Z16)+C16*SUM('Escapement Age'!X16:Y16)</f>
        <v>4694.5996153056331</v>
      </c>
      <c r="N11" s="25">
        <v>1993</v>
      </c>
      <c r="O11" s="24">
        <f>B17*SUM('Escapement Age'!AA17:AC17)+'Run Reconstruction 4'!C17*SUM('Escapement Age'!AA17:AC17)</f>
        <v>4150.8561229645047</v>
      </c>
      <c r="P11" s="25">
        <v>1994</v>
      </c>
      <c r="Q11" s="24">
        <f>B18*SUM('Escapement Age'!AD18:AF18)+C18*SUM('Escapement Age'!AD18:AF18)</f>
        <v>745.70127149555219</v>
      </c>
      <c r="R11" s="25">
        <v>1995</v>
      </c>
      <c r="S11" s="24">
        <f>B19*SUM('Escapement Age'!AG19)+C19*SUM('Escapement Age'!AG19)</f>
        <v>0</v>
      </c>
      <c r="U11" s="21"/>
      <c r="V11" s="21"/>
      <c r="X11" s="18"/>
      <c r="Y11" s="18"/>
      <c r="Z11" s="18"/>
    </row>
    <row r="12" spans="1:26" x14ac:dyDescent="0.3">
      <c r="A12" s="17">
        <v>1988</v>
      </c>
      <c r="B12" s="11">
        <f>'Summary Data'!C12</f>
        <v>3252.0306691668725</v>
      </c>
      <c r="C12" s="11">
        <f>'Summary Data'!H12</f>
        <v>340</v>
      </c>
      <c r="D12" s="11">
        <f t="shared" si="1"/>
        <v>3592.0306691668725</v>
      </c>
      <c r="E12" s="11">
        <f t="shared" si="0"/>
        <v>32610.62152360475</v>
      </c>
      <c r="F12" s="119">
        <f t="shared" si="2"/>
        <v>10.027771826628918</v>
      </c>
      <c r="G12" s="40">
        <f t="shared" si="3"/>
        <v>2.3053584264102267</v>
      </c>
      <c r="H12" s="25">
        <v>1991</v>
      </c>
      <c r="I12" s="24">
        <f>B15*SUM('Escapement Age'!S15:T15)+C15*'Escapement Age'!S15</f>
        <v>101.13290929073392</v>
      </c>
      <c r="J12" s="25">
        <v>1992</v>
      </c>
      <c r="K12" s="24">
        <f>B16*SUM('Escapement Age'!U16:W16)+C16*SUM('Escapement Age'!U16:V16)</f>
        <v>1736.5724933840031</v>
      </c>
      <c r="L12" s="25">
        <v>1993</v>
      </c>
      <c r="M12" s="24">
        <f>B17*SUM('Escapement Age'!X17:Z17)+C17*SUM('Escapement Age'!X17:Y17)</f>
        <v>14049.982387060612</v>
      </c>
      <c r="N12" s="25">
        <v>1994</v>
      </c>
      <c r="O12" s="24">
        <f>B18*SUM('Escapement Age'!AA18:AC18)+'Run Reconstruction 4'!C18*SUM('Escapement Age'!AA18:AC18)</f>
        <v>16618.485479043735</v>
      </c>
      <c r="P12" s="25">
        <v>1995</v>
      </c>
      <c r="Q12" s="24">
        <f>B19*SUM('Escapement Age'!AD19:AF19)+C19*SUM('Escapement Age'!AD19:AF19)</f>
        <v>104.44825482566539</v>
      </c>
      <c r="R12" s="25">
        <v>1996</v>
      </c>
      <c r="S12" s="24">
        <f>B20*SUM('Escapement Age'!AG20)+C20*SUM('Escapement Age'!AG20)</f>
        <v>0</v>
      </c>
      <c r="U12" s="21"/>
      <c r="V12" s="21"/>
      <c r="X12" s="18"/>
      <c r="Y12" s="18"/>
      <c r="Z12" s="18"/>
    </row>
    <row r="13" spans="1:26" x14ac:dyDescent="0.3">
      <c r="A13" s="17">
        <v>1989</v>
      </c>
      <c r="B13" s="11">
        <f>'Summary Data'!C13</f>
        <v>31570.474732028444</v>
      </c>
      <c r="C13" s="11">
        <f>'Summary Data'!H13</f>
        <v>2686</v>
      </c>
      <c r="D13" s="11">
        <f t="shared" si="1"/>
        <v>34256.474732028444</v>
      </c>
      <c r="E13" s="11">
        <f t="shared" si="0"/>
        <v>27573.431342598109</v>
      </c>
      <c r="F13" s="119">
        <f t="shared" si="2"/>
        <v>0.87339299065479969</v>
      </c>
      <c r="G13" s="40">
        <f t="shared" si="3"/>
        <v>-0.13536966331804387</v>
      </c>
      <c r="H13" s="25">
        <v>1992</v>
      </c>
      <c r="I13" s="24">
        <f>B16*SUM('Escapement Age'!S16:T16)+C16*'Escapement Age'!S16</f>
        <v>738.66910467995558</v>
      </c>
      <c r="J13" s="25">
        <v>1993</v>
      </c>
      <c r="K13" s="24">
        <f>B17*SUM('Escapement Age'!U17:W17)+C17*SUM('Escapement Age'!U17:V17)</f>
        <v>9320.6458769037836</v>
      </c>
      <c r="L13" s="25">
        <v>1994</v>
      </c>
      <c r="M13" s="24">
        <f>B18*SUM('Escapement Age'!X18:Z18)+C18*SUM('Escapement Age'!X18:Y18)</f>
        <v>15444.282198360985</v>
      </c>
      <c r="N13" s="25">
        <v>1995</v>
      </c>
      <c r="O13" s="24">
        <f>B19*SUM('Escapement Age'!AA19:AC19)+'Run Reconstruction 4'!C19*SUM('Escapement Age'!AA19:AC19)</f>
        <v>2054.1490115714191</v>
      </c>
      <c r="P13" s="25">
        <v>1996</v>
      </c>
      <c r="Q13" s="24">
        <f>B20*SUM('Escapement Age'!AD20:AF20)+C20*SUM('Escapement Age'!AD20:AF20)</f>
        <v>15.68515108196841</v>
      </c>
      <c r="R13" s="25">
        <v>1997</v>
      </c>
      <c r="S13" s="24">
        <f>B21*SUM('Escapement Age'!AG21)+C21*SUM('Escapement Age'!AG21)</f>
        <v>0</v>
      </c>
      <c r="U13" s="21"/>
      <c r="V13" s="21"/>
      <c r="X13" s="18"/>
      <c r="Y13" s="18"/>
      <c r="Z13" s="18"/>
    </row>
    <row r="14" spans="1:26" x14ac:dyDescent="0.3">
      <c r="A14" s="17">
        <v>1990</v>
      </c>
      <c r="B14" s="11">
        <f>'Summary Data'!C14</f>
        <v>73180.571660014248</v>
      </c>
      <c r="C14" s="11">
        <f>'Summary Data'!H14</f>
        <v>6029</v>
      </c>
      <c r="D14" s="11">
        <f t="shared" si="1"/>
        <v>79209.571660014248</v>
      </c>
      <c r="E14" s="11">
        <f t="shared" si="0"/>
        <v>44788.022839745063</v>
      </c>
      <c r="F14" s="119">
        <f t="shared" si="2"/>
        <v>0.6120206746651744</v>
      </c>
      <c r="G14" s="40">
        <f t="shared" si="3"/>
        <v>-0.49098921490777647</v>
      </c>
      <c r="H14" s="25">
        <v>1993</v>
      </c>
      <c r="I14" s="24">
        <f>B17*SUM('Escapement Age'!S17:T17)+C17*'Escapement Age'!S17</f>
        <v>268.78462484819488</v>
      </c>
      <c r="J14" s="25">
        <v>1994</v>
      </c>
      <c r="K14" s="24">
        <f>B18*SUM('Escapement Age'!U18:W18)+C18*SUM('Escapement Age'!U18:V18)</f>
        <v>12580.691294616545</v>
      </c>
      <c r="L14" s="25">
        <v>1995</v>
      </c>
      <c r="M14" s="24">
        <f>B19*SUM('Escapement Age'!X19:Z19)+C19*SUM('Escapement Age'!X19:Y19)</f>
        <v>28879.942459296479</v>
      </c>
      <c r="N14" s="25">
        <v>1996</v>
      </c>
      <c r="O14" s="24">
        <f>B20*SUM('Escapement Age'!AA20:AC20)+'Run Reconstruction 4'!C20*SUM('Escapement Age'!AA20:AC20)</f>
        <v>3058.60446098384</v>
      </c>
      <c r="P14" s="25">
        <v>1997</v>
      </c>
      <c r="Q14" s="24">
        <f>B21*SUM('Escapement Age'!AD21:AF21)+C21*SUM('Escapement Age'!AD21:AF21)</f>
        <v>0</v>
      </c>
      <c r="R14" s="25">
        <v>1998</v>
      </c>
      <c r="S14" s="26">
        <v>0</v>
      </c>
      <c r="U14" s="21"/>
      <c r="V14" s="21"/>
      <c r="X14" s="18"/>
      <c r="Y14" s="18"/>
      <c r="Z14" s="18"/>
    </row>
    <row r="15" spans="1:26" x14ac:dyDescent="0.3">
      <c r="A15" s="17">
        <v>1991</v>
      </c>
      <c r="B15" s="11">
        <f>'Summary Data'!C15</f>
        <v>45509.809180830263</v>
      </c>
      <c r="C15" s="11">
        <f>'Summary Data'!H15</f>
        <v>3106</v>
      </c>
      <c r="D15" s="11">
        <f t="shared" si="1"/>
        <v>48615.809180830263</v>
      </c>
      <c r="E15" s="11">
        <f t="shared" si="0"/>
        <v>35903.724160000296</v>
      </c>
      <c r="F15" s="119">
        <f t="shared" si="2"/>
        <v>0.78892275767053177</v>
      </c>
      <c r="G15" s="40">
        <f t="shared" si="3"/>
        <v>-0.23708686195209211</v>
      </c>
      <c r="H15" s="25">
        <v>1994</v>
      </c>
      <c r="I15" s="24">
        <f>B18*SUM('Escapement Age'!S18:T18)+C18*'Escapement Age'!S18</f>
        <v>384.19488186101904</v>
      </c>
      <c r="J15" s="25">
        <v>1995</v>
      </c>
      <c r="K15" s="24">
        <f>B19*SUM('Escapement Age'!U19:W19)+C19*SUM('Escapement Age'!U19:V19)</f>
        <v>5419.2377886806571</v>
      </c>
      <c r="L15" s="25">
        <v>1996</v>
      </c>
      <c r="M15" s="24">
        <f>B20*SUM('Escapement Age'!X20:Z20)+C20*SUM('Escapement Age'!X20:Y20)</f>
        <v>14775.412319214242</v>
      </c>
      <c r="N15" s="25">
        <v>1997</v>
      </c>
      <c r="O15" s="24">
        <f>B21*SUM('Escapement Age'!AA21:AC21)+'Run Reconstruction 4'!C21*SUM('Escapement Age'!AA21:AC21)</f>
        <v>15148.316879979462</v>
      </c>
      <c r="P15" s="25">
        <v>1998</v>
      </c>
      <c r="Q15" s="26">
        <f>Q55</f>
        <v>176.56229026491098</v>
      </c>
      <c r="R15" s="25">
        <v>1999</v>
      </c>
      <c r="S15" s="24">
        <f>B23*SUM('Escapement Age'!AG23)+C23*SUM('Escapement Age'!AG23)</f>
        <v>0</v>
      </c>
      <c r="U15" s="21"/>
      <c r="V15" s="21"/>
      <c r="X15" s="18"/>
      <c r="Y15" s="18"/>
      <c r="Z15" s="18"/>
    </row>
    <row r="16" spans="1:26" x14ac:dyDescent="0.3">
      <c r="A16" s="17">
        <v>1992</v>
      </c>
      <c r="B16" s="11">
        <f>'Summary Data'!C16</f>
        <v>10325.816536999801</v>
      </c>
      <c r="C16" s="11">
        <f>'Summary Data'!H16</f>
        <v>101</v>
      </c>
      <c r="D16" s="11">
        <f t="shared" si="1"/>
        <v>10426.816536999801</v>
      </c>
      <c r="E16" s="11">
        <f t="shared" si="0"/>
        <v>33072.007779982625</v>
      </c>
      <c r="F16" s="119">
        <f t="shared" si="2"/>
        <v>3.2028467348299223</v>
      </c>
      <c r="G16" s="40">
        <f t="shared" si="3"/>
        <v>1.1640400189763491</v>
      </c>
      <c r="H16" s="25">
        <v>1995</v>
      </c>
      <c r="I16" s="24">
        <f>B19*SUM('Escapement Age'!S19:T19)+C19*'Escapement Age'!S19</f>
        <v>3173.9954494901835</v>
      </c>
      <c r="J16" s="25">
        <v>1996</v>
      </c>
      <c r="K16" s="24">
        <f>B20*SUM('Escapement Age'!U20:W20)+C20*SUM('Escapement Age'!U20:V20)</f>
        <v>6196.640353875634</v>
      </c>
      <c r="L16" s="25">
        <v>1997</v>
      </c>
      <c r="M16" s="24">
        <f>B21*SUM('Escapement Age'!X21:Z21)+C21*SUM('Escapement Age'!X21:Y21)</f>
        <v>17217.029757862118</v>
      </c>
      <c r="N16" s="25">
        <v>1998</v>
      </c>
      <c r="O16" s="26">
        <f>O56</f>
        <v>6484.342218754693</v>
      </c>
      <c r="P16" s="25">
        <v>1999</v>
      </c>
      <c r="Q16" s="24">
        <f>B23*SUM('Escapement Age'!AD23:AF23)+C23*SUM('Escapement Age'!AD23:AF23)</f>
        <v>0</v>
      </c>
      <c r="R16" s="25">
        <v>2000</v>
      </c>
      <c r="S16" s="24">
        <f>B24*SUM('Escapement Age'!AG24)+C24*SUM('Escapement Age'!AG24)</f>
        <v>0</v>
      </c>
      <c r="U16" s="21"/>
      <c r="V16" s="21"/>
      <c r="X16" s="18"/>
      <c r="Y16" s="18"/>
      <c r="Z16" s="18"/>
    </row>
    <row r="17" spans="1:30" x14ac:dyDescent="0.3">
      <c r="A17" s="17">
        <v>1993</v>
      </c>
      <c r="B17" s="11">
        <f>'Summary Data'!C17</f>
        <v>25018.47288086998</v>
      </c>
      <c r="C17" s="11">
        <f>'Summary Data'!H17</f>
        <v>3142</v>
      </c>
      <c r="D17" s="11">
        <f t="shared" si="1"/>
        <v>28160.47288086998</v>
      </c>
      <c r="E17" s="11">
        <f t="shared" si="0"/>
        <v>33128.504360704501</v>
      </c>
      <c r="F17" s="119">
        <f t="shared" si="2"/>
        <v>1.324161731151694</v>
      </c>
      <c r="G17" s="40">
        <f t="shared" si="3"/>
        <v>0.28077960349252812</v>
      </c>
      <c r="H17" s="25">
        <v>1996</v>
      </c>
      <c r="I17" s="24">
        <f>B20*SUM('Escapement Age'!S20:T20)+C20*'Escapement Age'!S20</f>
        <v>584.58164386895123</v>
      </c>
      <c r="J17" s="25">
        <v>1997</v>
      </c>
      <c r="K17" s="24">
        <f>B21*SUM('Escapement Age'!U21:W21)+C21*SUM('Escapement Age'!U21:V21)</f>
        <v>4583.23677724154</v>
      </c>
      <c r="L17" s="25">
        <v>1998</v>
      </c>
      <c r="M17" s="26">
        <f>M57</f>
        <v>17376.264158071965</v>
      </c>
      <c r="N17" s="25">
        <v>1999</v>
      </c>
      <c r="O17" s="24">
        <f>B23*SUM('Escapement Age'!AA23:AC23)+'Run Reconstruction 4'!C23*SUM('Escapement Age'!AA23:AC23)</f>
        <v>10584.421781522049</v>
      </c>
      <c r="P17" s="25">
        <v>2000</v>
      </c>
      <c r="Q17" s="24">
        <f>B24*SUM('Escapement Age'!AD24:AF24)+C24*SUM('Escapement Age'!AD24:AF24)</f>
        <v>0</v>
      </c>
      <c r="R17" s="25">
        <v>2001</v>
      </c>
      <c r="S17" s="24">
        <f>B25*SUM('Escapement Age'!AG25)+C25*SUM('Escapement Age'!AG25)</f>
        <v>0</v>
      </c>
      <c r="U17" s="21"/>
      <c r="V17" s="21"/>
      <c r="X17" s="18"/>
      <c r="Y17" s="18"/>
      <c r="Z17" s="18"/>
    </row>
    <row r="18" spans="1:30" x14ac:dyDescent="0.3">
      <c r="A18" s="17">
        <v>1994</v>
      </c>
      <c r="B18" s="11">
        <f>'Summary Data'!C18</f>
        <v>39710.382989154925</v>
      </c>
      <c r="C18" s="11">
        <f>'Summary Data'!H18</f>
        <v>6168</v>
      </c>
      <c r="D18" s="11">
        <f t="shared" si="1"/>
        <v>45878.382989154925</v>
      </c>
      <c r="E18" s="11">
        <f t="shared" si="0"/>
        <v>79775.015531991783</v>
      </c>
      <c r="F18" s="119">
        <f t="shared" si="2"/>
        <v>2.0089208294409722</v>
      </c>
      <c r="G18" s="40">
        <f t="shared" si="3"/>
        <v>0.69759767711251697</v>
      </c>
      <c r="H18" s="25">
        <v>1997</v>
      </c>
      <c r="I18" s="24">
        <f>B21*SUM('Escapement Age'!S21:T21)+C21*'Escapement Age'!S21</f>
        <v>821.33642065830168</v>
      </c>
      <c r="J18" s="25">
        <v>1998</v>
      </c>
      <c r="K18" s="26">
        <f>K58</f>
        <v>20079.021836292701</v>
      </c>
      <c r="L18" s="25">
        <v>1999</v>
      </c>
      <c r="M18" s="24">
        <f>B23*SUM('Escapement Age'!X23:Z23)+C23*SUM('Escapement Age'!X23:Y23)</f>
        <v>58639.824191598287</v>
      </c>
      <c r="N18" s="25">
        <v>2000</v>
      </c>
      <c r="O18" s="24">
        <f>B24*SUM('Escapement Age'!AA24:AC24)+'Run Reconstruction 4'!C24*SUM('Escapement Age'!AA24:AC24)</f>
        <v>234.83308344250167</v>
      </c>
      <c r="P18" s="25">
        <v>2001</v>
      </c>
      <c r="Q18" s="24">
        <f>B25*SUM('Escapement Age'!AD25:AF25)+C25*SUM('Escapement Age'!AD25:AF25)</f>
        <v>0</v>
      </c>
      <c r="R18" s="25">
        <v>2002</v>
      </c>
      <c r="S18" s="24">
        <f>B26*SUM('Escapement Age'!AG26)+C26*SUM('Escapement Age'!AG26)</f>
        <v>0</v>
      </c>
      <c r="U18" s="21"/>
      <c r="V18" s="21"/>
      <c r="X18" s="18"/>
      <c r="Y18" s="18"/>
      <c r="Z18" s="18"/>
    </row>
    <row r="19" spans="1:30" x14ac:dyDescent="0.3">
      <c r="A19" s="17">
        <v>1995</v>
      </c>
      <c r="B19" s="11">
        <f>'Summary Data'!C19</f>
        <v>34797.618320235895</v>
      </c>
      <c r="C19" s="11">
        <f>'Summary Data'!H19</f>
        <v>5502</v>
      </c>
      <c r="D19" s="11">
        <f t="shared" si="1"/>
        <v>40299.618320235895</v>
      </c>
      <c r="E19" s="11">
        <f t="shared" si="0"/>
        <v>3751.9710718441897</v>
      </c>
      <c r="F19" s="119">
        <f t="shared" si="2"/>
        <v>0.10782263996677906</v>
      </c>
      <c r="G19" s="40">
        <f t="shared" si="3"/>
        <v>-2.227267624313281</v>
      </c>
      <c r="H19" s="25">
        <v>1998</v>
      </c>
      <c r="I19" s="26">
        <f>I59</f>
        <v>85.333521190707629</v>
      </c>
      <c r="J19" s="25">
        <v>1999</v>
      </c>
      <c r="K19" s="24">
        <f>B23*SUM('Escapement Age'!U23:W23)+C23*SUM('Escapement Age'!U23:V23)</f>
        <v>1063.7609830675426</v>
      </c>
      <c r="L19" s="25">
        <v>2000</v>
      </c>
      <c r="M19" s="24">
        <f>B24*SUM('Escapement Age'!X24:Z24)+C24*SUM('Escapement Age'!X24:Y24)</f>
        <v>2465.7473761462679</v>
      </c>
      <c r="N19" s="25">
        <v>2001</v>
      </c>
      <c r="O19" s="24">
        <f>B25*SUM('Escapement Age'!AA25:AC25)+'Run Reconstruction 4'!C25*SUM('Escapement Age'!AA25:AC25)</f>
        <v>99.840672970582915</v>
      </c>
      <c r="P19" s="25">
        <v>2002</v>
      </c>
      <c r="Q19" s="24">
        <f>B26*SUM('Escapement Age'!AD26:AF26)+C26*SUM('Escapement Age'!AD26:AF26)</f>
        <v>37.288518469088736</v>
      </c>
      <c r="R19" s="25">
        <v>2003</v>
      </c>
      <c r="S19" s="24">
        <f>B27*SUM('Escapement Age'!AG27)+C27*SUM('Escapement Age'!AG27)</f>
        <v>0</v>
      </c>
      <c r="U19" s="21"/>
      <c r="V19" s="21"/>
      <c r="X19" s="18"/>
      <c r="Y19" s="18"/>
      <c r="Z19" s="18"/>
    </row>
    <row r="20" spans="1:30" x14ac:dyDescent="0.3">
      <c r="A20" s="17">
        <v>1996</v>
      </c>
      <c r="B20" s="11">
        <f>'Summary Data'!C20</f>
        <v>19209.334767083867</v>
      </c>
      <c r="C20" s="11">
        <f>'Summary Data'!H20</f>
        <v>5683</v>
      </c>
      <c r="D20" s="11">
        <f t="shared" si="1"/>
        <v>24892.334767083867</v>
      </c>
      <c r="E20" s="11">
        <f t="shared" si="0"/>
        <v>7433.8898524219385</v>
      </c>
      <c r="F20" s="119">
        <f t="shared" si="2"/>
        <v>0.3869936123535247</v>
      </c>
      <c r="G20" s="40">
        <f t="shared" si="3"/>
        <v>-0.94934709163502107</v>
      </c>
      <c r="H20" s="25">
        <v>1999</v>
      </c>
      <c r="I20" s="24">
        <f>B23*SUM('Escapement Age'!S23:T23)+C23*'Escapement Age'!S23</f>
        <v>130.8121655801767</v>
      </c>
      <c r="J20" s="25">
        <v>2000</v>
      </c>
      <c r="K20" s="24">
        <f>B24*SUM('Escapement Age'!U24:W24)+C24*SUM('Escapement Age'!U24:V24)</f>
        <v>1038.7975001195587</v>
      </c>
      <c r="L20" s="25">
        <v>2001</v>
      </c>
      <c r="M20" s="24">
        <f>B25*SUM('Escapement Age'!X25:Z25)+C25*SUM('Escapement Age'!X25:Y25)</f>
        <v>3509.8825125984531</v>
      </c>
      <c r="N20" s="25">
        <v>2002</v>
      </c>
      <c r="O20" s="24">
        <f>B26*SUM('Escapement Age'!AA26:AC26)+'Run Reconstruction 4'!C26*SUM('Escapement Age'!AA26:AC26)</f>
        <v>2672.3438236180264</v>
      </c>
      <c r="P20" s="25">
        <v>2003</v>
      </c>
      <c r="Q20" s="24">
        <f>B27*SUM('Escapement Age'!AD27:AF27)+C27*SUM('Escapement Age'!AD27:AF27)</f>
        <v>82.053850505723574</v>
      </c>
      <c r="R20" s="25">
        <v>2004</v>
      </c>
      <c r="S20" s="24">
        <f>B28*SUM('Escapement Age'!AG28)+C28*SUM('Escapement Age'!AG28)</f>
        <v>0</v>
      </c>
      <c r="U20" s="21"/>
      <c r="V20" s="21"/>
      <c r="X20" s="18"/>
      <c r="Y20" s="18"/>
      <c r="Z20" s="18"/>
    </row>
    <row r="21" spans="1:30" x14ac:dyDescent="0.3">
      <c r="A21" s="17">
        <v>1997</v>
      </c>
      <c r="B21" s="11">
        <f>'Summary Data'!C21</f>
        <v>28898.406062239013</v>
      </c>
      <c r="C21" s="11">
        <f>'Summary Data'!H21</f>
        <v>9256</v>
      </c>
      <c r="D21" s="11">
        <f t="shared" si="1"/>
        <v>38154.40606223901</v>
      </c>
      <c r="E21" s="11">
        <f t="shared" si="0"/>
        <v>27191.066734719851</v>
      </c>
      <c r="F21" s="119">
        <f t="shared" si="2"/>
        <v>0.94091925610561233</v>
      </c>
      <c r="G21" s="40">
        <f t="shared" si="3"/>
        <v>-6.0897949554844968E-2</v>
      </c>
      <c r="H21" s="25">
        <v>2000</v>
      </c>
      <c r="I21" s="24">
        <f>B24*SUM('Escapement Age'!S24:T24)+C24*'Escapement Age'!S24</f>
        <v>80.035035345185264</v>
      </c>
      <c r="J21" s="25">
        <v>2001</v>
      </c>
      <c r="K21" s="24">
        <f>B25*SUM('Escapement Age'!U25:W25)+C25*SUM('Escapement Age'!U25:V25)</f>
        <v>1283.2942828084099</v>
      </c>
      <c r="L21" s="25">
        <v>2002</v>
      </c>
      <c r="M21" s="24">
        <f>B26*SUM('Escapement Age'!X26:Z26)+C26*SUM('Escapement Age'!X26:Y26)</f>
        <v>13150.417513431961</v>
      </c>
      <c r="N21" s="25">
        <v>2003</v>
      </c>
      <c r="O21" s="24">
        <f>B27*SUM('Escapement Age'!AA27:AC27)+'Run Reconstruction 4'!C27*SUM('Escapement Age'!AA27:AC27)</f>
        <v>12677.319903134294</v>
      </c>
      <c r="P21" s="25">
        <v>2004</v>
      </c>
      <c r="Q21" s="24">
        <f>B28*SUM('Escapement Age'!AD28:AF28)+C28*SUM('Escapement Age'!AD28:AF28)</f>
        <v>0</v>
      </c>
      <c r="R21" s="25">
        <v>2005</v>
      </c>
      <c r="S21" s="24">
        <f>B29*SUM('Escapement Age'!AG29)+C29*SUM('Escapement Age'!AG29)</f>
        <v>0</v>
      </c>
      <c r="U21" s="21"/>
      <c r="V21" s="21"/>
      <c r="X21" s="18"/>
      <c r="Y21" s="18"/>
      <c r="Z21" s="18"/>
    </row>
    <row r="22" spans="1:30" x14ac:dyDescent="0.3">
      <c r="A22" s="17">
        <v>1998</v>
      </c>
      <c r="B22" s="13">
        <f>D22-C22</f>
        <v>35267.524024574981</v>
      </c>
      <c r="C22" s="11">
        <f>'Summary Data'!H22</f>
        <v>8934</v>
      </c>
      <c r="D22" s="13">
        <f>SUM(I19,K18,M17,O16,Q15,S14)</f>
        <v>44201.524024574981</v>
      </c>
      <c r="E22" s="11">
        <f t="shared" si="0"/>
        <v>81474.62912718326</v>
      </c>
      <c r="F22" s="119">
        <f t="shared" si="2"/>
        <v>2.3101885199088663</v>
      </c>
      <c r="G22" s="40">
        <f t="shared" si="3"/>
        <v>0.83732913155391731</v>
      </c>
      <c r="H22" s="25">
        <v>2001</v>
      </c>
      <c r="I22" s="24">
        <f>B25*SUM('Escapement Age'!S25:T25)+C25*'Escapement Age'!S25</f>
        <v>137.02822730951218</v>
      </c>
      <c r="J22" s="25">
        <v>2002</v>
      </c>
      <c r="K22" s="24">
        <f>B26*SUM('Escapement Age'!U26:W26)+C26*SUM('Escapement Age'!U26:V26)</f>
        <v>10737.668081643276</v>
      </c>
      <c r="L22" s="25">
        <v>2003</v>
      </c>
      <c r="M22" s="24">
        <f>B27*SUM('Escapement Age'!X27:Z27)+C27*SUM('Escapement Age'!X27:Y27)</f>
        <v>64699.461123763052</v>
      </c>
      <c r="N22" s="25">
        <v>2004</v>
      </c>
      <c r="O22" s="24">
        <f>B28*SUM('Escapement Age'!AA28:AC28)+'Run Reconstruction 4'!C28*SUM('Escapement Age'!AA28:AC28)</f>
        <v>5838.8078036837833</v>
      </c>
      <c r="P22" s="25">
        <v>2005</v>
      </c>
      <c r="Q22" s="24">
        <f>B29*SUM('Escapement Age'!AD29:AF29)+C29*SUM('Escapement Age'!AD29:AF29)</f>
        <v>61.663890783627785</v>
      </c>
      <c r="R22" s="25">
        <v>2006</v>
      </c>
      <c r="S22" s="24">
        <f>B30*SUM('Escapement Age'!AG30)+C30*SUM('Escapement Age'!AG30)</f>
        <v>0</v>
      </c>
      <c r="U22" s="21"/>
      <c r="V22" s="21"/>
      <c r="X22" s="18"/>
      <c r="Y22" s="18"/>
      <c r="Z22" s="18"/>
    </row>
    <row r="23" spans="1:30" x14ac:dyDescent="0.3">
      <c r="A23" s="17">
        <v>1999</v>
      </c>
      <c r="B23" s="11">
        <f>'Summary Data'!C23</f>
        <v>57753.571103648006</v>
      </c>
      <c r="C23" s="11">
        <f>'Summary Data'!H23</f>
        <v>12694</v>
      </c>
      <c r="D23" s="11">
        <f t="shared" si="1"/>
        <v>70447.571103648006</v>
      </c>
      <c r="E23" s="11">
        <f t="shared" si="0"/>
        <v>62003.178240850131</v>
      </c>
      <c r="F23" s="119">
        <f t="shared" si="2"/>
        <v>1.0735817206796707</v>
      </c>
      <c r="G23" s="40">
        <f t="shared" si="3"/>
        <v>7.1000460897775952E-2</v>
      </c>
      <c r="H23" s="25">
        <v>2002</v>
      </c>
      <c r="I23" s="24">
        <f>B26*SUM('Escapement Age'!S26:T26)+C26*'Escapement Age'!S26</f>
        <v>44.71150086030719</v>
      </c>
      <c r="J23" s="25">
        <v>2003</v>
      </c>
      <c r="K23" s="24">
        <f>B27*SUM('Escapement Age'!U27:W27)+C27*SUM('Escapement Age'!U27:V27)</f>
        <v>4370.6275066781272</v>
      </c>
      <c r="L23" s="25">
        <v>2004</v>
      </c>
      <c r="M23" s="24">
        <f>B28*SUM('Escapement Age'!X28:Z28)+C28*SUM('Escapement Age'!X28:Y28)</f>
        <v>51452.28210034073</v>
      </c>
      <c r="N23" s="25">
        <v>2005</v>
      </c>
      <c r="O23" s="24">
        <f>B29*SUM('Escapement Age'!AA29:AC29)+'Run Reconstruction 4'!C29*SUM('Escapement Age'!AA29:AC29)</f>
        <v>6135.5571329709655</v>
      </c>
      <c r="P23" s="25">
        <v>2006</v>
      </c>
      <c r="Q23" s="24">
        <f>B30*SUM('Escapement Age'!AD30:AF30)+C30*SUM('Escapement Age'!AD30:AF30)</f>
        <v>0</v>
      </c>
      <c r="R23" s="25">
        <v>2007</v>
      </c>
      <c r="S23" s="24">
        <f>B31*SUM('Escapement Age'!AG31)+C31*SUM('Escapement Age'!AG31)</f>
        <v>0</v>
      </c>
      <c r="U23" s="21">
        <f t="shared" ref="U23:U37" si="4">B23/1000</f>
        <v>57.753571103648007</v>
      </c>
      <c r="V23" s="21">
        <f t="shared" ref="V23:V37" si="5">E23/1000</f>
        <v>62.003178240850133</v>
      </c>
      <c r="X23" s="18"/>
      <c r="Y23" s="18"/>
      <c r="Z23" s="18"/>
    </row>
    <row r="24" spans="1:30" ht="15" thickBot="1" x14ac:dyDescent="0.35">
      <c r="A24" s="17">
        <v>2000</v>
      </c>
      <c r="B24" s="11">
        <f>'Summary Data'!C24</f>
        <v>3032.1982934523489</v>
      </c>
      <c r="C24" s="11">
        <f>'Summary Data'!H24</f>
        <v>809</v>
      </c>
      <c r="D24" s="11">
        <f t="shared" si="1"/>
        <v>3841.1982934523489</v>
      </c>
      <c r="E24" s="11">
        <f t="shared" si="0"/>
        <v>90543.46945646884</v>
      </c>
      <c r="F24" s="119">
        <f t="shared" si="2"/>
        <v>29.860668958222846</v>
      </c>
      <c r="G24" s="40">
        <f t="shared" si="3"/>
        <v>3.3965421950155843</v>
      </c>
      <c r="H24" s="25">
        <v>2003</v>
      </c>
      <c r="I24" s="24">
        <f>B27*SUM('Escapement Age'!S27:T27)+C27*'Escapement Age'!S27</f>
        <v>34.998883189767149</v>
      </c>
      <c r="J24" s="25">
        <v>2004</v>
      </c>
      <c r="K24" s="24">
        <f>B28*SUM('Escapement Age'!U28:W28)+C28*SUM('Escapement Age'!U28:V28)</f>
        <v>31827.453106064524</v>
      </c>
      <c r="L24" s="25">
        <v>2005</v>
      </c>
      <c r="M24" s="24">
        <f>B29*SUM('Escapement Age'!X29:Z29)+C29*SUM('Escapement Age'!X29:Y29)</f>
        <v>46124.590306153594</v>
      </c>
      <c r="N24" s="25">
        <v>2006</v>
      </c>
      <c r="O24" s="24">
        <f>B30*SUM('Escapement Age'!AA30:AC30)+'Run Reconstruction 4'!C30*SUM('Escapement Age'!AA30:AC30)</f>
        <v>12377.08793478919</v>
      </c>
      <c r="P24" s="25">
        <v>2007</v>
      </c>
      <c r="Q24" s="24">
        <f>B31*SUM('Escapement Age'!AD31:AF31)+C31*SUM('Escapement Age'!AD31:AF31)</f>
        <v>179.33922627177168</v>
      </c>
      <c r="R24" s="25">
        <v>2008</v>
      </c>
      <c r="S24" s="24">
        <f>B32*SUM('Escapement Age'!AG32)+C32*SUM('Escapement Age'!AG32)</f>
        <v>0</v>
      </c>
      <c r="U24" s="21">
        <f t="shared" si="4"/>
        <v>3.0321982934523488</v>
      </c>
      <c r="V24" s="21">
        <f t="shared" si="5"/>
        <v>90.543469456468841</v>
      </c>
      <c r="X24" s="18"/>
      <c r="Y24" s="18"/>
      <c r="Z24" s="48"/>
      <c r="AA24" s="48" t="s">
        <v>68</v>
      </c>
      <c r="AB24" s="52"/>
      <c r="AC24" s="48"/>
    </row>
    <row r="25" spans="1:30" x14ac:dyDescent="0.3">
      <c r="A25" s="17">
        <v>2001</v>
      </c>
      <c r="B25" s="11">
        <f>'Summary Data'!C25</f>
        <v>3666.9945177828154</v>
      </c>
      <c r="C25" s="11">
        <f>'Summary Data'!H25</f>
        <v>1454</v>
      </c>
      <c r="D25" s="11">
        <f t="shared" si="1"/>
        <v>5120.9945177828158</v>
      </c>
      <c r="E25" s="11">
        <f t="shared" si="0"/>
        <v>74923.083177855151</v>
      </c>
      <c r="F25" s="119">
        <f t="shared" si="2"/>
        <v>20.431741256912513</v>
      </c>
      <c r="G25" s="40">
        <f t="shared" si="3"/>
        <v>3.0170896355898207</v>
      </c>
      <c r="H25" s="25">
        <v>2004</v>
      </c>
      <c r="I25" s="24">
        <f>B28*SUM('Escapement Age'!S28:T28)+C28*'Escapement Age'!S28</f>
        <v>848.70794385087186</v>
      </c>
      <c r="J25" s="25">
        <v>2005</v>
      </c>
      <c r="K25" s="24">
        <f>B29*SUM('Escapement Age'!U29:W29)+C29*SUM('Escapement Age'!U29:V29)</f>
        <v>18474.486094570457</v>
      </c>
      <c r="L25" s="25">
        <v>2006</v>
      </c>
      <c r="M25" s="24">
        <f>B30*SUM('Escapement Age'!X30:Z30)+C30*SUM('Escapement Age'!X30:Y30)</f>
        <v>44609.087764969365</v>
      </c>
      <c r="N25" s="25">
        <v>2007</v>
      </c>
      <c r="O25" s="24">
        <f>B31*SUM('Escapement Age'!AA31:AC31)+'Run Reconstruction 4'!C31*SUM('Escapement Age'!AA31:AC31)</f>
        <v>10939.692802578073</v>
      </c>
      <c r="P25" s="25">
        <v>2008</v>
      </c>
      <c r="Q25" s="24">
        <f>B32*SUM('Escapement Age'!AD32:AF32)+C32*SUM('Escapement Age'!AD32:AF32)</f>
        <v>51.108571886382904</v>
      </c>
      <c r="R25" s="25">
        <v>2009</v>
      </c>
      <c r="S25" s="24">
        <f>B33*SUM('Escapement Age'!AG33)+C33*SUM('Escapement Age'!AG33)</f>
        <v>0</v>
      </c>
      <c r="U25" s="21">
        <f t="shared" si="4"/>
        <v>3.6669945177828152</v>
      </c>
      <c r="V25" s="21">
        <f t="shared" si="5"/>
        <v>74.923083177855148</v>
      </c>
      <c r="X25" s="18"/>
      <c r="Y25" s="18" t="s">
        <v>79</v>
      </c>
      <c r="Z25" s="49" t="s">
        <v>69</v>
      </c>
      <c r="AA25" s="56">
        <f t="array" ref="AA25:AB29">LINEST(G23:G37,B23:B37,1,1)</f>
        <v>-4.5026493755728251E-5</v>
      </c>
      <c r="AB25" s="54">
        <v>2.0777104817795129</v>
      </c>
      <c r="AC25" s="48" t="s">
        <v>70</v>
      </c>
      <c r="AD25" s="12" t="s">
        <v>78</v>
      </c>
    </row>
    <row r="26" spans="1:30" x14ac:dyDescent="0.3">
      <c r="A26" s="17">
        <v>2002</v>
      </c>
      <c r="B26" s="11">
        <f>'Summary Data'!C26</f>
        <v>23987.72021155481</v>
      </c>
      <c r="C26" s="11">
        <f>'Summary Data'!H26</f>
        <v>2686</v>
      </c>
      <c r="D26" s="11">
        <f t="shared" si="1"/>
        <v>26673.72021155481</v>
      </c>
      <c r="E26" s="11">
        <f t="shared" si="0"/>
        <v>142828.13952400893</v>
      </c>
      <c r="F26" s="119">
        <f t="shared" si="2"/>
        <v>5.954219003071791</v>
      </c>
      <c r="G26" s="40">
        <f t="shared" si="3"/>
        <v>1.7841000444283426</v>
      </c>
      <c r="H26" s="25">
        <v>2005</v>
      </c>
      <c r="I26" s="24">
        <f>B29*SUM('Escapement Age'!S29:T29)+C29*'Escapement Age'!S29</f>
        <v>1307.2713404313142</v>
      </c>
      <c r="J26" s="25">
        <v>2006</v>
      </c>
      <c r="K26" s="24">
        <f>B30*SUM('Escapement Age'!U30:W30)+C30*SUM('Escapement Age'!U30:V30)</f>
        <v>72199.679619603601</v>
      </c>
      <c r="L26" s="25">
        <v>2007</v>
      </c>
      <c r="M26" s="24">
        <f>B31*SUM('Escapement Age'!X31:Z31)+C31*SUM('Escapement Age'!X31:Y31)</f>
        <v>66893.531399370841</v>
      </c>
      <c r="N26" s="25">
        <v>2008</v>
      </c>
      <c r="O26" s="24">
        <f>B32*SUM('Escapement Age'!AA32:AC32)+'Run Reconstruction 4'!C32*SUM('Escapement Age'!AA32:AC32)</f>
        <v>2427.657164603188</v>
      </c>
      <c r="P26" s="25">
        <v>2009</v>
      </c>
      <c r="Q26" s="24">
        <f>B33*SUM('Escapement Age'!AD33:AF33)+C33*SUM('Escapement Age'!AD33:AF33)</f>
        <v>0</v>
      </c>
      <c r="R26" s="25">
        <v>2010</v>
      </c>
      <c r="S26" s="24">
        <f>B34*SUM('Escapement Age'!AG34)+C34*SUM('Escapement Age'!AG34)</f>
        <v>0</v>
      </c>
      <c r="U26" s="21">
        <f t="shared" si="4"/>
        <v>23.987720211554809</v>
      </c>
      <c r="V26" s="21">
        <f t="shared" si="5"/>
        <v>142.82813952400895</v>
      </c>
      <c r="X26" s="18"/>
      <c r="Y26" s="18"/>
      <c r="Z26" s="49" t="s">
        <v>71</v>
      </c>
      <c r="AA26" s="51">
        <v>8.0486609398453173E-6</v>
      </c>
      <c r="AB26" s="58">
        <v>0.41325905335415059</v>
      </c>
      <c r="AC26" s="48" t="s">
        <v>71</v>
      </c>
    </row>
    <row r="27" spans="1:30" x14ac:dyDescent="0.3">
      <c r="A27" s="17">
        <v>2003</v>
      </c>
      <c r="B27" s="11">
        <f>'Summary Data'!C27</f>
        <v>69892.769729965003</v>
      </c>
      <c r="C27" s="11">
        <f>'Summary Data'!H27</f>
        <v>12038</v>
      </c>
      <c r="D27" s="11">
        <f t="shared" si="1"/>
        <v>81930.769729965003</v>
      </c>
      <c r="E27" s="11">
        <f t="shared" si="0"/>
        <v>12287.441047702092</v>
      </c>
      <c r="F27" s="119">
        <f t="shared" si="2"/>
        <v>0.17580417967660136</v>
      </c>
      <c r="G27" s="40">
        <f t="shared" si="3"/>
        <v>-1.738384518833928</v>
      </c>
      <c r="H27" s="25">
        <v>2006</v>
      </c>
      <c r="I27" s="24">
        <f>B30*SUM('Escapement Age'!S30:T30)+C30*'Escapement Age'!S30</f>
        <v>0</v>
      </c>
      <c r="J27" s="25">
        <v>2007</v>
      </c>
      <c r="K27" s="24">
        <f>B31*SUM('Escapement Age'!U31:W31)+C31*SUM('Escapement Age'!U31:V31)</f>
        <v>4662.819883066064</v>
      </c>
      <c r="L27" s="25">
        <v>2008</v>
      </c>
      <c r="M27" s="24">
        <f>B32*SUM('Escapement Age'!X32:Z32)+C32*SUM('Escapement Age'!X32:Y32)</f>
        <v>7206.308635979989</v>
      </c>
      <c r="N27" s="25">
        <v>2009</v>
      </c>
      <c r="O27" s="24">
        <f>B33*SUM('Escapement Age'!AA33:AC33)+'Run Reconstruction 4'!C33*SUM('Escapement Age'!AA33:AC33)</f>
        <v>418.31252865603904</v>
      </c>
      <c r="P27" s="25">
        <v>2010</v>
      </c>
      <c r="Q27" s="24">
        <f>B34*SUM('Escapement Age'!AD34:AF34)+C34*SUM('Escapement Age'!AD34:AF34)</f>
        <v>0</v>
      </c>
      <c r="R27" s="25">
        <v>2011</v>
      </c>
      <c r="S27" s="24">
        <f>B35*SUM('Escapement Age'!AG35)+C35*SUM('Escapement Age'!AG35)</f>
        <v>0</v>
      </c>
      <c r="U27" s="21">
        <f t="shared" si="4"/>
        <v>69.892769729964996</v>
      </c>
      <c r="V27" s="21">
        <f t="shared" si="5"/>
        <v>12.287441047702092</v>
      </c>
      <c r="X27" s="18"/>
      <c r="Y27" s="18"/>
      <c r="Z27" s="49" t="s">
        <v>72</v>
      </c>
      <c r="AA27" s="55">
        <v>0.70651985277485618</v>
      </c>
      <c r="AB27" s="58">
        <v>0.93609123641707503</v>
      </c>
      <c r="AC27" s="48" t="s">
        <v>73</v>
      </c>
      <c r="AD27" s="12" t="s">
        <v>80</v>
      </c>
    </row>
    <row r="28" spans="1:30" x14ac:dyDescent="0.3">
      <c r="A28" s="17">
        <v>2004</v>
      </c>
      <c r="B28" s="11">
        <f>'Summary Data'!C28</f>
        <v>77262.733888424016</v>
      </c>
      <c r="C28" s="11">
        <f>'Summary Data'!H28</f>
        <v>12938</v>
      </c>
      <c r="D28" s="11">
        <f t="shared" si="1"/>
        <v>90200.733888424016</v>
      </c>
      <c r="E28" s="11">
        <f t="shared" si="0"/>
        <v>17135.228086591396</v>
      </c>
      <c r="F28" s="119">
        <f t="shared" si="2"/>
        <v>0.22177869231674577</v>
      </c>
      <c r="G28" s="40">
        <f t="shared" si="3"/>
        <v>-1.506075275782748</v>
      </c>
      <c r="H28" s="25">
        <v>2007</v>
      </c>
      <c r="I28" s="24">
        <f>B31*SUM('Escapement Age'!S31:T31)+C31*'Escapement Age'!S31</f>
        <v>0</v>
      </c>
      <c r="J28" s="25">
        <v>2008</v>
      </c>
      <c r="K28" s="24">
        <f>B32*SUM('Escapement Age'!U32:W32)+C32*SUM('Escapement Age'!U32:V32)</f>
        <v>1765.7622842282342</v>
      </c>
      <c r="L28" s="25">
        <v>2009</v>
      </c>
      <c r="M28" s="24">
        <f>B33*SUM('Escapement Age'!X33:Z33)+C33*SUM('Escapement Age'!X33:Y33)</f>
        <v>11873.640236467567</v>
      </c>
      <c r="N28" s="25">
        <v>2010</v>
      </c>
      <c r="O28" s="24">
        <f>B34*SUM('Escapement Age'!AA34:AC34)+'Run Reconstruction 4'!C34*SUM('Escapement Age'!AA34:AC34)</f>
        <v>3495.8255658955941</v>
      </c>
      <c r="P28" s="25">
        <v>2011</v>
      </c>
      <c r="Q28" s="24">
        <f>B35*SUM('Escapement Age'!AD35:AF35)+C35*SUM('Escapement Age'!AD35:AF35)</f>
        <v>0</v>
      </c>
      <c r="R28" s="25">
        <v>2012</v>
      </c>
      <c r="S28" s="24">
        <f>B36*SUM('Escapement Age'!AG36)+C36*SUM('Escapement Age'!AG36)</f>
        <v>0</v>
      </c>
      <c r="U28" s="21">
        <f t="shared" si="4"/>
        <v>77.262733888424023</v>
      </c>
      <c r="V28" s="21">
        <f t="shared" si="5"/>
        <v>17.135228086591397</v>
      </c>
      <c r="Z28" s="49" t="s">
        <v>74</v>
      </c>
      <c r="AA28" s="55">
        <v>31.296011580050852</v>
      </c>
      <c r="AB28" s="53">
        <v>13</v>
      </c>
      <c r="AC28" s="48" t="s">
        <v>75</v>
      </c>
    </row>
    <row r="29" spans="1:30" ht="15" thickBot="1" x14ac:dyDescent="0.35">
      <c r="A29" s="17">
        <v>2005</v>
      </c>
      <c r="B29" s="11">
        <f>'Summary Data'!C29</f>
        <v>65653.382797031678</v>
      </c>
      <c r="C29" s="11">
        <f>'Summary Data'!H29</f>
        <v>7295</v>
      </c>
      <c r="D29" s="11">
        <f t="shared" si="1"/>
        <v>72948.382797031678</v>
      </c>
      <c r="E29" s="11">
        <f t="shared" si="0"/>
        <v>10064.964505566293</v>
      </c>
      <c r="F29" s="119">
        <f t="shared" si="2"/>
        <v>0.15330458350763534</v>
      </c>
      <c r="G29" s="40">
        <f t="shared" si="3"/>
        <v>-1.8753285946104632</v>
      </c>
      <c r="H29" s="25">
        <v>2008</v>
      </c>
      <c r="I29" s="24">
        <f>B32*SUM('Escapement Age'!S32:T32)+C32*'Escapement Age'!S32</f>
        <v>22.314818093967506</v>
      </c>
      <c r="J29" s="25">
        <v>2009</v>
      </c>
      <c r="K29" s="24">
        <f>B33*SUM('Escapement Age'!U33:W33)+C33*SUM('Escapement Age'!U33:V33)</f>
        <v>1619.3294097783412</v>
      </c>
      <c r="L29" s="25">
        <v>2010</v>
      </c>
      <c r="M29" s="24">
        <f>B34*SUM('Escapement Age'!X34:Z34)+C34*SUM('Escapement Age'!X34:Y34)</f>
        <v>4827.568638617724</v>
      </c>
      <c r="N29" s="25">
        <v>2011</v>
      </c>
      <c r="O29" s="24">
        <f>B35*SUM('Escapement Age'!AA35:AC35)+'Run Reconstruction 4'!C35*SUM('Escapement Age'!AA35:AC35)</f>
        <v>3595.7516390762598</v>
      </c>
      <c r="P29" s="25">
        <v>2012</v>
      </c>
      <c r="Q29" s="24">
        <f>B36*SUM('Escapement Age'!AD36:AF36)+C36*SUM('Escapement Age'!AD36:AF36)</f>
        <v>0</v>
      </c>
      <c r="R29" s="25">
        <v>2013</v>
      </c>
      <c r="S29" s="24">
        <f>B37*SUM('Escapement Age'!AG37)+C37*SUM('Escapement Age'!AG37)</f>
        <v>0</v>
      </c>
      <c r="U29" s="21">
        <f t="shared" si="4"/>
        <v>65.653382797031682</v>
      </c>
      <c r="V29" s="21">
        <f t="shared" si="5"/>
        <v>10.064964505566293</v>
      </c>
      <c r="Z29" s="49" t="s">
        <v>76</v>
      </c>
      <c r="AA29" s="50">
        <v>27.423656010673902</v>
      </c>
      <c r="AB29" s="57">
        <v>11.391468437659029</v>
      </c>
      <c r="AC29" s="48" t="s">
        <v>77</v>
      </c>
    </row>
    <row r="30" spans="1:30" x14ac:dyDescent="0.3">
      <c r="A30" s="17">
        <v>2006</v>
      </c>
      <c r="B30" s="11">
        <f>'Summary Data'!C30</f>
        <v>103952.85531936215</v>
      </c>
      <c r="C30" s="11">
        <f>'Summary Data'!H30</f>
        <v>25233</v>
      </c>
      <c r="D30" s="11">
        <f t="shared" si="1"/>
        <v>129185.85531936215</v>
      </c>
      <c r="E30" s="11">
        <f t="shared" si="0"/>
        <v>29816.498355008753</v>
      </c>
      <c r="F30" s="119">
        <f t="shared" si="2"/>
        <v>0.28682712238549896</v>
      </c>
      <c r="G30" s="40">
        <f t="shared" si="3"/>
        <v>-1.2488756057409411</v>
      </c>
      <c r="H30" s="25">
        <v>2009</v>
      </c>
      <c r="I30" s="24">
        <f>B33*SUM('Escapement Age'!S33:T33)+C33*'Escapement Age'!S33</f>
        <v>553.68989498421456</v>
      </c>
      <c r="J30" s="25">
        <v>2010</v>
      </c>
      <c r="K30" s="24">
        <f>B34*SUM('Escapement Age'!U34:W34)+C34*SUM('Escapement Age'!U34:V34)</f>
        <v>11835.86354555519</v>
      </c>
      <c r="L30" s="25">
        <v>2011</v>
      </c>
      <c r="M30" s="24">
        <f>B35*SUM('Escapement Age'!X35:Z35)+C35*SUM('Escapement Age'!X35:Y35)</f>
        <v>15461.73204802792</v>
      </c>
      <c r="N30" s="25">
        <v>2012</v>
      </c>
      <c r="O30" s="24">
        <f>B36*SUM('Escapement Age'!AA36:AC36)+'Run Reconstruction 4'!C36*SUM('Escapement Age'!AA36:AC36)</f>
        <v>1965.2128664414308</v>
      </c>
      <c r="P30" s="25">
        <v>2013</v>
      </c>
      <c r="Q30" s="24">
        <f>B37*SUM('Escapement Age'!AD37:AF37)+C37*SUM('Escapement Age'!AD37:AF37)</f>
        <v>0</v>
      </c>
      <c r="R30" s="25">
        <v>2014</v>
      </c>
      <c r="S30" s="24">
        <f>B38*SUM('Escapement Age'!AG38)+C38*SUM('Escapement Age'!AG38)</f>
        <v>0</v>
      </c>
      <c r="U30" s="21">
        <f t="shared" si="4"/>
        <v>103.95285531936214</v>
      </c>
      <c r="V30" s="21">
        <f t="shared" si="5"/>
        <v>29.816498355008754</v>
      </c>
      <c r="Z30" s="52"/>
      <c r="AA30" s="47"/>
      <c r="AB30" s="52"/>
      <c r="AC30" s="52"/>
    </row>
    <row r="31" spans="1:30" x14ac:dyDescent="0.3">
      <c r="A31" s="17">
        <v>2007</v>
      </c>
      <c r="B31" s="11">
        <f>'Summary Data'!C31</f>
        <v>66938.383311286743</v>
      </c>
      <c r="C31" s="11">
        <f>'Summary Data'!H31</f>
        <v>15737</v>
      </c>
      <c r="D31" s="11">
        <f t="shared" si="1"/>
        <v>82675.383311286743</v>
      </c>
      <c r="E31" s="11">
        <f t="shared" si="0"/>
        <v>29874.618392283341</v>
      </c>
      <c r="F31" s="119">
        <f t="shared" si="2"/>
        <v>0.44630026771569886</v>
      </c>
      <c r="G31" s="40">
        <f t="shared" si="3"/>
        <v>-0.80676330749116876</v>
      </c>
      <c r="H31" s="25">
        <v>2010</v>
      </c>
      <c r="I31" s="24">
        <f>B34*SUM('Escapement Age'!S34:T34)+C34*'Escapement Age'!S34</f>
        <v>0</v>
      </c>
      <c r="J31" s="25">
        <v>2011</v>
      </c>
      <c r="K31" s="24">
        <f>B35*SUM('Escapement Age'!U35:W35)+C35*SUM('Escapement Age'!U35:V35)</f>
        <v>3348.4318010195798</v>
      </c>
      <c r="L31" s="25">
        <v>2012</v>
      </c>
      <c r="M31" s="24">
        <f>B36*SUM('Escapement Age'!X36:Z36)+C36*SUM('Escapement Age'!X36:Y36)</f>
        <v>16949.960973057343</v>
      </c>
      <c r="N31" s="25">
        <v>2013</v>
      </c>
      <c r="O31" s="24">
        <f>B37*SUM('Escapement Age'!AA37:AC37)+'Run Reconstruction 4'!C37*SUM('Escapement Age'!AA37:AC37)</f>
        <v>9480.150242337264</v>
      </c>
      <c r="P31" s="25">
        <v>2014</v>
      </c>
      <c r="Q31" s="24">
        <f>B38*SUM('Escapement Age'!AD38:AF38)+C38*SUM('Escapement Age'!AD38:AF38)</f>
        <v>96.075375869154399</v>
      </c>
      <c r="R31" s="25">
        <v>2015</v>
      </c>
      <c r="S31" s="24">
        <f>B39*SUM('Escapement Age'!AG39)+C39*SUM('Escapement Age'!AG39)</f>
        <v>0</v>
      </c>
      <c r="U31" s="21">
        <f t="shared" si="4"/>
        <v>66.938383311286742</v>
      </c>
      <c r="V31" s="21">
        <f t="shared" si="5"/>
        <v>29.874618392283342</v>
      </c>
      <c r="AA31" s="15" t="s">
        <v>163</v>
      </c>
      <c r="AB31" s="15" t="s">
        <v>141</v>
      </c>
      <c r="AC31" s="15"/>
    </row>
    <row r="32" spans="1:30" x14ac:dyDescent="0.3">
      <c r="A32" s="17">
        <v>2008</v>
      </c>
      <c r="B32" s="11">
        <f>'Summary Data'!C32</f>
        <v>10063.982960379346</v>
      </c>
      <c r="C32" s="11">
        <f>'Summary Data'!H32</f>
        <v>1461</v>
      </c>
      <c r="D32" s="11">
        <f t="shared" si="1"/>
        <v>11524.982960379346</v>
      </c>
      <c r="E32" s="11">
        <f t="shared" si="0"/>
        <v>67741.006921964014</v>
      </c>
      <c r="F32" s="119">
        <f t="shared" si="2"/>
        <v>6.7310335469219256</v>
      </c>
      <c r="G32" s="40">
        <f t="shared" si="3"/>
        <v>1.9067287049593928</v>
      </c>
      <c r="H32" s="25">
        <v>2011</v>
      </c>
      <c r="I32" s="24">
        <f>B35*SUM('Escapement Age'!S35:T35)+C35*'Escapement Age'!S35</f>
        <v>2437.5422039992668</v>
      </c>
      <c r="J32" s="25">
        <v>2012</v>
      </c>
      <c r="K32" s="24">
        <f>B36*SUM('Escapement Age'!U36:W36)+C36*SUM('Escapement Age'!U36:V36)</f>
        <v>23899.734135707517</v>
      </c>
      <c r="L32" s="25">
        <v>2013</v>
      </c>
      <c r="M32" s="24">
        <f>B37*SUM('Escapement Age'!X37:Z37)+C37*SUM('Escapement Age'!X37:Y37)</f>
        <v>36407.811037061198</v>
      </c>
      <c r="N32" s="25">
        <v>2014</v>
      </c>
      <c r="O32" s="24">
        <f>B38*SUM('Escapement Age'!AA38:AC38)+'Run Reconstruction 4'!C38*SUM('Escapement Age'!AA38:AC38)</f>
        <v>4995.9195451960277</v>
      </c>
      <c r="P32" s="25">
        <v>2015</v>
      </c>
      <c r="Q32" s="24">
        <f>B39*SUM('Escapement Age'!AD39:AF39)+C39*SUM('Escapement Age'!AD39:AF39)</f>
        <v>0</v>
      </c>
      <c r="R32" s="25">
        <v>2016</v>
      </c>
      <c r="S32" s="24">
        <f>B40*SUM('Escapement Age'!AG40)+C40*SUM('Escapement Age'!AG40)</f>
        <v>0</v>
      </c>
      <c r="U32" s="21">
        <f t="shared" si="4"/>
        <v>10.063982960379345</v>
      </c>
      <c r="V32" s="21">
        <f t="shared" si="5"/>
        <v>67.741006921964015</v>
      </c>
      <c r="Z32" s="167" t="s">
        <v>87</v>
      </c>
      <c r="AA32" s="62">
        <f>AB25</f>
        <v>2.0777104817795129</v>
      </c>
      <c r="AB32" s="62"/>
      <c r="AC32" s="141"/>
    </row>
    <row r="33" spans="1:31" x14ac:dyDescent="0.3">
      <c r="A33" s="17">
        <v>2009</v>
      </c>
      <c r="B33" s="11">
        <f>'Summary Data'!C33</f>
        <v>12568.76061614167</v>
      </c>
      <c r="C33" s="11">
        <f>'Summary Data'!H33</f>
        <v>2040</v>
      </c>
      <c r="D33" s="11">
        <f t="shared" si="1"/>
        <v>14608.76061614167</v>
      </c>
      <c r="E33" s="11">
        <f t="shared" si="0"/>
        <v>24216.492181962782</v>
      </c>
      <c r="F33" s="119">
        <f t="shared" si="2"/>
        <v>1.9267207739530254</v>
      </c>
      <c r="G33" s="40">
        <f t="shared" si="3"/>
        <v>0.65581947698846821</v>
      </c>
      <c r="H33" s="25">
        <v>2012</v>
      </c>
      <c r="I33" s="24">
        <f>B36*SUM('Escapement Age'!S36:T36)+C36*'Escapement Age'!S36</f>
        <v>3541.8578316145727</v>
      </c>
      <c r="J33" s="25">
        <v>2013</v>
      </c>
      <c r="K33" s="24">
        <f>B37*SUM('Escapement Age'!U37:W37)+C37*SUM('Escapement Age'!U37:V37)</f>
        <v>10109.023225231022</v>
      </c>
      <c r="L33" s="25">
        <v>2014</v>
      </c>
      <c r="M33" s="24">
        <f>B38*SUM('Escapement Age'!X38:Z38)+C38*SUM('Escapement Age'!X38:Y38)</f>
        <v>10376.140593868673</v>
      </c>
      <c r="N33" s="25">
        <v>2015</v>
      </c>
      <c r="O33" s="24">
        <f>B39*SUM('Escapement Age'!AA39:AC39)+'Run Reconstruction 4'!C39*SUM('Escapement Age'!AA39:AC39)</f>
        <v>189.47053124851311</v>
      </c>
      <c r="P33" s="25">
        <v>2016</v>
      </c>
      <c r="Q33" s="24">
        <f>B40*SUM('Escapement Age'!AD40:AF40)+C40*SUM('Escapement Age'!AD40:AF40)</f>
        <v>0</v>
      </c>
      <c r="R33" s="25">
        <v>2017</v>
      </c>
      <c r="S33" s="24">
        <f>B41*SUM('Escapement Age'!AG41)+C41*SUM('Escapement Age'!AG41)</f>
        <v>0</v>
      </c>
      <c r="U33" s="21">
        <f t="shared" si="4"/>
        <v>12.56876061614167</v>
      </c>
      <c r="V33" s="21">
        <f t="shared" si="5"/>
        <v>24.216492181962781</v>
      </c>
      <c r="Z33" s="167" t="s">
        <v>79</v>
      </c>
      <c r="AA33" s="139">
        <f>-AA25</f>
        <v>4.5026493755728251E-5</v>
      </c>
      <c r="AC33" s="169"/>
    </row>
    <row r="34" spans="1:31" x14ac:dyDescent="0.3">
      <c r="A34" s="17">
        <v>2010</v>
      </c>
      <c r="B34" s="11">
        <f>'Summary Data'!C34</f>
        <v>17156.230945944797</v>
      </c>
      <c r="C34" s="11">
        <f>'Summary Data'!H34</f>
        <v>3028</v>
      </c>
      <c r="D34" s="11">
        <f t="shared" si="1"/>
        <v>20184.230945944797</v>
      </c>
      <c r="E34" s="11">
        <f t="shared" si="0"/>
        <v>17254.524568772544</v>
      </c>
      <c r="F34" s="119">
        <f t="shared" si="2"/>
        <v>1.0057293249978649</v>
      </c>
      <c r="G34" s="40">
        <f t="shared" si="3"/>
        <v>5.712974835934621E-3</v>
      </c>
      <c r="H34" s="25">
        <v>2013</v>
      </c>
      <c r="I34" s="24">
        <f>B37*SUM('Escapement Age'!S37:T37)+C37*'Escapement Age'!S37</f>
        <v>1623.2371026370881</v>
      </c>
      <c r="J34" s="25">
        <v>2014</v>
      </c>
      <c r="K34" s="24">
        <f>B38*SUM('Escapement Age'!U38:W38)+C38*SUM('Escapement Age'!U38:V38)</f>
        <v>6179.8896040463187</v>
      </c>
      <c r="L34" s="25">
        <v>2015</v>
      </c>
      <c r="M34" s="24">
        <f>B39*SUM('Escapement Age'!X39:Z39)+C39*SUM('Escapement Age'!X39:Y39)</f>
        <v>8715.6444374316034</v>
      </c>
      <c r="N34" s="25">
        <v>2016</v>
      </c>
      <c r="O34" s="24">
        <f>B40*SUM('Escapement Age'!AA40:AC40)+'Run Reconstruction 4'!C40*SUM('Escapement Age'!AA40:AC40)</f>
        <v>735.7534246575342</v>
      </c>
      <c r="P34" s="25">
        <v>2017</v>
      </c>
      <c r="Q34" s="24">
        <f>B41*SUM('Escapement Age'!AD41:AF41)+C41*SUM('Escapement Age'!AD41:AF41)</f>
        <v>0</v>
      </c>
      <c r="R34" s="25">
        <v>2018</v>
      </c>
      <c r="S34" s="24">
        <f>B42*SUM('Escapement Age'!AG42)+C42*SUM('Escapement Age'!AG42)</f>
        <v>0</v>
      </c>
      <c r="U34" s="21">
        <f t="shared" si="4"/>
        <v>17.156230945944795</v>
      </c>
      <c r="V34" s="21">
        <f t="shared" si="5"/>
        <v>17.254524568772545</v>
      </c>
      <c r="Z34" s="167" t="s">
        <v>80</v>
      </c>
      <c r="AA34" s="62">
        <f>AB27</f>
        <v>0.93609123641707503</v>
      </c>
      <c r="AB34" s="62"/>
      <c r="AC34" s="141"/>
    </row>
    <row r="35" spans="1:31" x14ac:dyDescent="0.3">
      <c r="A35" s="17">
        <v>2011</v>
      </c>
      <c r="B35" s="11">
        <f>'Summary Data'!C35</f>
        <v>22719.73299576675</v>
      </c>
      <c r="C35" s="11">
        <f>'Summary Data'!H35</f>
        <v>2656</v>
      </c>
      <c r="D35" s="11">
        <f t="shared" si="1"/>
        <v>25375.73299576675</v>
      </c>
      <c r="E35" s="11">
        <f t="shared" si="0"/>
        <v>25591.964130734821</v>
      </c>
      <c r="F35" s="119">
        <f t="shared" si="2"/>
        <v>1.1264201095806556</v>
      </c>
      <c r="G35" s="40">
        <f t="shared" si="3"/>
        <v>0.11904455922805954</v>
      </c>
      <c r="H35" s="25">
        <v>2014</v>
      </c>
      <c r="I35" s="24">
        <f>B38*SUM('Escapement Age'!S38:T38)+C38*'Escapement Age'!S38</f>
        <v>2837.3511744136345</v>
      </c>
      <c r="J35" s="25">
        <v>2015</v>
      </c>
      <c r="K35" s="24">
        <f>B39*SUM('Escapement Age'!U39:W39)+C39*SUM('Escapement Age'!U39:V39)</f>
        <v>6627.1179251323401</v>
      </c>
      <c r="L35" s="25">
        <v>2016</v>
      </c>
      <c r="M35" s="24">
        <f>B40*SUM('Escapement Age'!X40:Z40)+C40*SUM('Escapement Age'!X40:Y40)</f>
        <v>9722.455968688846</v>
      </c>
      <c r="N35" s="25">
        <v>2017</v>
      </c>
      <c r="O35" s="24">
        <f>B41*SUM('Escapement Age'!AA41:AC41)+'Run Reconstruction 4'!C41*SUM('Escapement Age'!AA41:AC41)</f>
        <v>6405.0390625</v>
      </c>
      <c r="P35" s="25">
        <v>2018</v>
      </c>
      <c r="Q35" s="24">
        <f>B42*SUM('Escapement Age'!AD42:AF42)+C42*SUM('Escapement Age'!AD42:AF42)</f>
        <v>0</v>
      </c>
      <c r="R35" s="25">
        <v>2019</v>
      </c>
      <c r="S35" s="26">
        <v>0</v>
      </c>
      <c r="U35" s="21">
        <f t="shared" si="4"/>
        <v>22.719732995766751</v>
      </c>
      <c r="V35" s="21">
        <f t="shared" si="5"/>
        <v>25.591964130734819</v>
      </c>
      <c r="Z35" s="167" t="s">
        <v>81</v>
      </c>
      <c r="AA35" s="62">
        <f>AA32+AA34^2/2</f>
        <v>2.5158438832279368</v>
      </c>
      <c r="AB35" s="62"/>
      <c r="AC35" s="62"/>
    </row>
    <row r="36" spans="1:31" x14ac:dyDescent="0.3">
      <c r="A36" s="17">
        <v>2012</v>
      </c>
      <c r="B36" s="11">
        <f>'Summary Data'!C36</f>
        <v>40943.876533464463</v>
      </c>
      <c r="C36" s="11">
        <f>'Summary Data'!H36</f>
        <v>6385</v>
      </c>
      <c r="D36" s="11">
        <f t="shared" si="1"/>
        <v>47328.876533464463</v>
      </c>
      <c r="E36" s="11">
        <f t="shared" si="0"/>
        <v>39575.911583536224</v>
      </c>
      <c r="F36" s="119">
        <f t="shared" si="2"/>
        <v>0.96658926643621135</v>
      </c>
      <c r="G36" s="40">
        <f t="shared" si="3"/>
        <v>-3.3981624085310476E-2</v>
      </c>
      <c r="H36" s="25">
        <v>2015</v>
      </c>
      <c r="I36" s="24">
        <f>B39*SUM('Escapement Age'!S39:T39)+C39*'Escapement Age'!S39</f>
        <v>1537.7442723025902</v>
      </c>
      <c r="J36" s="25">
        <v>2016</v>
      </c>
      <c r="K36" s="24">
        <f>B40*SUM('Escapement Age'!U40:W40)+C40*SUM('Escapement Age'!U40:V40)</f>
        <v>15557.215264187869</v>
      </c>
      <c r="L36" s="25">
        <v>2017</v>
      </c>
      <c r="M36" s="24">
        <f>B41*SUM('Escapement Age'!X41:Z41)+C41*SUM('Escapement Age'!X41:Y41)</f>
        <v>21309.072265625</v>
      </c>
      <c r="N36" s="25">
        <v>2018</v>
      </c>
      <c r="O36" s="24">
        <f>B42*SUM('Escapement Age'!AA42:AC42)+'Run Reconstruction 4'!C42*SUM('Escapement Age'!AA42:AC42)</f>
        <v>1171.8797814207651</v>
      </c>
      <c r="P36" s="25">
        <v>2019</v>
      </c>
      <c r="Q36" s="26">
        <v>0</v>
      </c>
      <c r="R36" s="25">
        <v>2020</v>
      </c>
      <c r="S36" s="26">
        <v>0</v>
      </c>
      <c r="U36" s="21">
        <f t="shared" si="4"/>
        <v>40.943876533464461</v>
      </c>
      <c r="V36" s="21">
        <f t="shared" si="5"/>
        <v>39.575911583536225</v>
      </c>
      <c r="W36" s="43"/>
      <c r="X36" s="19"/>
      <c r="Y36" s="19"/>
      <c r="Z36" s="170" t="s">
        <v>82</v>
      </c>
      <c r="AA36" s="11">
        <f>1/AA33</f>
        <v>22209.146584343587</v>
      </c>
      <c r="AB36" s="11"/>
      <c r="AC36" s="11"/>
    </row>
    <row r="37" spans="1:31" x14ac:dyDescent="0.3">
      <c r="A37" s="17">
        <v>2013</v>
      </c>
      <c r="B37" s="11">
        <f>'Summary Data'!C37</f>
        <v>49124.280737701352</v>
      </c>
      <c r="C37" s="11">
        <f>'Summary Data'!H37</f>
        <v>8866</v>
      </c>
      <c r="D37" s="11">
        <f t="shared" si="1"/>
        <v>57990.280737701352</v>
      </c>
      <c r="E37" s="11">
        <f t="shared" si="0"/>
        <v>24156.272795698813</v>
      </c>
      <c r="F37" s="119">
        <f t="shared" si="2"/>
        <v>0.49173794370000062</v>
      </c>
      <c r="G37" s="40">
        <f t="shared" si="3"/>
        <v>-0.70980933914620647</v>
      </c>
      <c r="H37" s="25">
        <v>2016</v>
      </c>
      <c r="I37" s="24">
        <f>B40*SUM('Escapement Age'!S40:T40)+C40*'Escapement Age'!S40</f>
        <v>623.94520547945206</v>
      </c>
      <c r="J37" s="25">
        <v>2017</v>
      </c>
      <c r="K37" s="24">
        <f>B41*SUM('Escapement Age'!U41:W41)+C41*SUM('Escapement Age'!U41:V41)</f>
        <v>4928.826171875</v>
      </c>
      <c r="L37" s="25">
        <v>2018</v>
      </c>
      <c r="M37" s="24">
        <f>B42*SUM('Escapement Age'!X42:Z42)+C42*SUM('Escapement Age'!X42:Y42)</f>
        <v>13867.24408014572</v>
      </c>
      <c r="N37" s="25">
        <v>2019</v>
      </c>
      <c r="O37" s="26">
        <f>O77</f>
        <v>4736.2573381986413</v>
      </c>
      <c r="P37" s="25">
        <v>2020</v>
      </c>
      <c r="Q37" s="26">
        <v>0</v>
      </c>
      <c r="R37" s="25">
        <v>2021</v>
      </c>
      <c r="S37" s="26">
        <v>0</v>
      </c>
      <c r="U37" s="21">
        <f t="shared" si="4"/>
        <v>49.124280737701355</v>
      </c>
      <c r="V37" s="21">
        <f t="shared" si="5"/>
        <v>24.156272795698811</v>
      </c>
      <c r="W37" s="43"/>
      <c r="X37" s="19"/>
      <c r="Y37" s="19"/>
      <c r="Z37" s="170" t="s">
        <v>83</v>
      </c>
      <c r="AA37" s="11">
        <f>AA35/AA33</f>
        <v>55874.745585933444</v>
      </c>
      <c r="AB37" s="11"/>
      <c r="AC37" s="11"/>
    </row>
    <row r="38" spans="1:31" x14ac:dyDescent="0.3">
      <c r="A38" s="17">
        <v>2014</v>
      </c>
      <c r="B38" s="11">
        <f>'Summary Data'!C38</f>
        <v>19936.125357064222</v>
      </c>
      <c r="C38" s="11">
        <f>'Summary Data'!H38</f>
        <v>5716</v>
      </c>
      <c r="D38" s="11">
        <f t="shared" si="1"/>
        <v>25652.125357064222</v>
      </c>
      <c r="E38" s="11">
        <f t="shared" si="0"/>
        <v>113959.32105959699</v>
      </c>
      <c r="F38" s="41" t="s">
        <v>60</v>
      </c>
      <c r="H38" s="25">
        <v>2017</v>
      </c>
      <c r="I38" s="24">
        <f>B41*SUM('Escapement Age'!S41:T41)+C41*'Escapement Age'!S41</f>
        <v>26654.27734375</v>
      </c>
      <c r="J38" s="25">
        <v>2018</v>
      </c>
      <c r="K38" s="24">
        <f>B42*SUM('Escapement Age'!U42:W42)+C42*SUM('Escapement Age'!U42:V42)</f>
        <v>87305.043715846987</v>
      </c>
      <c r="L38" s="25">
        <v>2019</v>
      </c>
      <c r="M38" s="24"/>
      <c r="N38" s="25">
        <v>2020</v>
      </c>
      <c r="O38" s="24"/>
      <c r="P38" s="25">
        <v>2021</v>
      </c>
      <c r="Q38" s="24"/>
      <c r="R38" s="25">
        <v>2022</v>
      </c>
      <c r="S38" s="24"/>
      <c r="U38" s="19"/>
      <c r="V38" s="43"/>
      <c r="W38" s="43"/>
      <c r="X38" s="19"/>
      <c r="Z38" s="167" t="s">
        <v>84</v>
      </c>
      <c r="AA38" s="11">
        <f>AA37*(0.5-0.07*AA35)</f>
        <v>18097.323209316575</v>
      </c>
      <c r="AB38" s="11"/>
      <c r="AC38" s="11"/>
    </row>
    <row r="39" spans="1:31" x14ac:dyDescent="0.3">
      <c r="A39" s="17">
        <v>2015</v>
      </c>
      <c r="B39" s="11">
        <f>'Summary Data'!C39</f>
        <v>13982.744429542156</v>
      </c>
      <c r="C39" s="11">
        <f>'Summary Data'!H39</f>
        <v>4538</v>
      </c>
      <c r="D39" s="11">
        <f t="shared" si="1"/>
        <v>18520.744429542156</v>
      </c>
      <c r="E39" s="11">
        <f t="shared" si="0"/>
        <v>3361.1111111111109</v>
      </c>
      <c r="F39" s="41" t="s">
        <v>60</v>
      </c>
      <c r="H39" s="25">
        <v>2018</v>
      </c>
      <c r="I39" s="24">
        <f>B42*SUM('Escapement Age'!S42:T42)+C42*'Escapement Age'!S42</f>
        <v>3361.1111111111109</v>
      </c>
      <c r="J39" s="25">
        <v>2019</v>
      </c>
      <c r="K39" s="24"/>
      <c r="L39" s="25">
        <v>2020</v>
      </c>
      <c r="M39" s="24"/>
      <c r="N39" s="25">
        <v>2021</v>
      </c>
      <c r="O39" s="24"/>
      <c r="P39" s="25">
        <v>2022</v>
      </c>
      <c r="Q39" s="24"/>
      <c r="R39" s="25">
        <v>2023</v>
      </c>
      <c r="S39" s="24"/>
      <c r="U39" s="19"/>
      <c r="V39" s="43"/>
      <c r="W39" s="43"/>
      <c r="X39" s="19"/>
      <c r="Z39" s="167" t="s">
        <v>85</v>
      </c>
      <c r="AA39" s="18">
        <f>AA35*(0.5-0.07*AA35)</f>
        <v>0.81485901047968867</v>
      </c>
      <c r="AB39" s="18"/>
      <c r="AC39" s="18"/>
    </row>
    <row r="40" spans="1:31" x14ac:dyDescent="0.3">
      <c r="A40" s="17">
        <v>2016</v>
      </c>
      <c r="B40" s="11">
        <f>'Summary Data'!C40</f>
        <v>22774</v>
      </c>
      <c r="C40" s="11">
        <f>'Summary Data'!H40</f>
        <v>4081</v>
      </c>
      <c r="D40" s="11">
        <f t="shared" ref="D40" si="6">SUM(B40:C40)</f>
        <v>26855</v>
      </c>
      <c r="H40" s="25"/>
      <c r="I40" s="27"/>
      <c r="J40" s="25"/>
      <c r="K40" s="24"/>
      <c r="L40" s="25"/>
      <c r="M40" s="24"/>
      <c r="N40" s="25"/>
      <c r="O40" s="24"/>
      <c r="P40" s="25"/>
      <c r="Q40" s="24"/>
      <c r="R40" s="25"/>
      <c r="S40" s="24"/>
      <c r="U40" s="19"/>
      <c r="V40" s="43"/>
      <c r="W40" s="43"/>
      <c r="X40" s="19"/>
      <c r="Z40" s="167" t="s">
        <v>88</v>
      </c>
      <c r="AA40" s="11">
        <f>AA38*EXP(AA35-AA33*AA38)-AA38</f>
        <v>81064.085262221415</v>
      </c>
      <c r="AB40" s="11"/>
      <c r="AC40" s="11"/>
    </row>
    <row r="41" spans="1:31" x14ac:dyDescent="0.3">
      <c r="A41" s="17">
        <v>2017</v>
      </c>
      <c r="B41" s="11">
        <f>'Summary Data'!C41</f>
        <v>55702</v>
      </c>
      <c r="C41" s="11">
        <f>'Summary Data'!H41</f>
        <v>7363</v>
      </c>
      <c r="D41" s="11">
        <f t="shared" ref="D41:D42" si="7">SUM(B41:C41)</f>
        <v>63065</v>
      </c>
      <c r="H41" s="25"/>
      <c r="I41" s="27"/>
      <c r="J41" s="25"/>
      <c r="K41" s="24"/>
      <c r="L41" s="25"/>
      <c r="M41" s="24"/>
      <c r="N41" s="25"/>
      <c r="O41" s="24"/>
      <c r="P41" s="25"/>
      <c r="Q41" s="24"/>
      <c r="R41" s="25"/>
      <c r="S41" s="24"/>
      <c r="U41" s="19"/>
      <c r="V41" s="43"/>
      <c r="W41" s="43"/>
      <c r="Z41" s="167" t="s">
        <v>86</v>
      </c>
      <c r="AA41" s="11">
        <f>MAX(U23:U37)/MIN(U23:U37)</f>
        <v>34.283000403975976</v>
      </c>
      <c r="AC41" s="11"/>
    </row>
    <row r="42" spans="1:31" x14ac:dyDescent="0.3">
      <c r="A42" s="17">
        <v>2018</v>
      </c>
      <c r="B42" s="11">
        <f>'Summary Data'!C42</f>
        <v>73810</v>
      </c>
      <c r="C42" s="11">
        <f>'Summary Data'!H42</f>
        <v>33417</v>
      </c>
      <c r="D42" s="11">
        <f t="shared" si="7"/>
        <v>107227</v>
      </c>
      <c r="H42" s="25"/>
      <c r="I42" s="27"/>
      <c r="J42" s="25"/>
      <c r="K42" s="24"/>
      <c r="L42" s="25"/>
      <c r="M42" s="24"/>
      <c r="N42" s="25"/>
      <c r="O42" s="24"/>
      <c r="P42" s="25"/>
      <c r="Q42" s="24"/>
      <c r="R42" s="25"/>
      <c r="S42" s="24"/>
      <c r="U42" s="19"/>
      <c r="Z42" s="167" t="s">
        <v>161</v>
      </c>
      <c r="AA42" s="11">
        <v>11364.949328491422</v>
      </c>
      <c r="AB42" s="11"/>
      <c r="AC42" s="11"/>
    </row>
    <row r="43" spans="1:31" x14ac:dyDescent="0.3">
      <c r="A43" s="17"/>
      <c r="F43" s="142"/>
      <c r="I43" s="18"/>
      <c r="J43" s="22"/>
      <c r="L43" s="22"/>
      <c r="N43" s="22"/>
      <c r="P43" s="22"/>
      <c r="R43" s="22"/>
      <c r="U43" s="19"/>
      <c r="Z43" s="167" t="s">
        <v>162</v>
      </c>
      <c r="AA43" s="11">
        <v>26502.945001192333</v>
      </c>
      <c r="AB43" s="11"/>
      <c r="AC43" s="11"/>
      <c r="AE43" s="3"/>
    </row>
    <row r="44" spans="1:31" x14ac:dyDescent="0.3">
      <c r="A44" s="16"/>
      <c r="H44" s="46" t="s">
        <v>65</v>
      </c>
      <c r="I44" s="46"/>
      <c r="J44" s="45"/>
      <c r="K44" s="46"/>
      <c r="L44" s="45"/>
      <c r="M44" s="46"/>
      <c r="N44" s="45"/>
      <c r="O44" s="46"/>
      <c r="P44" s="46"/>
      <c r="T44" s="16"/>
      <c r="Z44" s="60"/>
      <c r="AA44" s="11"/>
      <c r="AC44" s="3"/>
      <c r="AE44" s="3"/>
    </row>
    <row r="45" spans="1:31" x14ac:dyDescent="0.3">
      <c r="H45" s="46" t="s">
        <v>0</v>
      </c>
      <c r="I45" s="44" t="str">
        <f t="shared" ref="I45:K60" si="8">I5</f>
        <v>age 3</v>
      </c>
      <c r="J45" s="44"/>
      <c r="K45" s="44" t="str">
        <f t="shared" ref="K45:M60" si="9">K5</f>
        <v>age 4</v>
      </c>
      <c r="L45" s="44"/>
      <c r="M45" s="44" t="str">
        <f t="shared" ref="M45:O60" si="10">M5</f>
        <v>age 5</v>
      </c>
      <c r="N45" s="44"/>
      <c r="O45" s="44" t="str">
        <f t="shared" ref="O45:Q60" si="11">O5</f>
        <v>age 6</v>
      </c>
      <c r="P45" s="44"/>
      <c r="Q45" s="44" t="str">
        <f t="shared" ref="Q45:R60" si="12">Q5</f>
        <v>age 7</v>
      </c>
      <c r="R45" s="44"/>
      <c r="S45" s="44" t="str">
        <f t="shared" ref="S45:S68" si="13">S5</f>
        <v>age 8</v>
      </c>
      <c r="T45" s="46" t="s">
        <v>12</v>
      </c>
      <c r="Z45" s="147" t="s">
        <v>150</v>
      </c>
      <c r="AC45" s="60"/>
      <c r="AE45" s="3"/>
    </row>
    <row r="46" spans="1:31" x14ac:dyDescent="0.3">
      <c r="H46" s="15">
        <f t="shared" ref="H46:R61" si="14">H6</f>
        <v>1985</v>
      </c>
      <c r="I46" s="11">
        <f t="shared" si="8"/>
        <v>75.455570010196638</v>
      </c>
      <c r="J46" s="15">
        <f t="shared" si="8"/>
        <v>1986</v>
      </c>
      <c r="K46" s="11">
        <f t="shared" si="9"/>
        <v>1807.8225981792191</v>
      </c>
      <c r="L46" s="15">
        <f t="shared" si="9"/>
        <v>1987</v>
      </c>
      <c r="M46" s="11">
        <f t="shared" si="10"/>
        <v>4612.102372369638</v>
      </c>
      <c r="N46" s="15">
        <f t="shared" si="10"/>
        <v>1988</v>
      </c>
      <c r="O46" s="11">
        <f t="shared" si="11"/>
        <v>339.78668492119061</v>
      </c>
      <c r="P46" s="15">
        <f t="shared" si="11"/>
        <v>1989</v>
      </c>
      <c r="Q46" s="11">
        <f t="shared" si="12"/>
        <v>20.500583322578365</v>
      </c>
      <c r="R46" s="15">
        <f t="shared" si="12"/>
        <v>1990</v>
      </c>
      <c r="S46" s="11">
        <f t="shared" si="13"/>
        <v>0</v>
      </c>
      <c r="T46" s="11">
        <f t="shared" ref="T46:T54" si="15">E6</f>
        <v>6855.6678088028229</v>
      </c>
      <c r="AA46"/>
      <c r="AB46"/>
      <c r="AC46" s="60"/>
      <c r="AE46" s="1"/>
    </row>
    <row r="47" spans="1:31" x14ac:dyDescent="0.3">
      <c r="H47" s="15">
        <f t="shared" si="14"/>
        <v>1986</v>
      </c>
      <c r="I47" s="11">
        <f t="shared" si="8"/>
        <v>68.625317817510279</v>
      </c>
      <c r="J47" s="15">
        <f t="shared" si="8"/>
        <v>1987</v>
      </c>
      <c r="K47" s="11">
        <f t="shared" si="9"/>
        <v>5948.6908477009374</v>
      </c>
      <c r="L47" s="15">
        <f t="shared" si="9"/>
        <v>1988</v>
      </c>
      <c r="M47" s="11">
        <f t="shared" si="10"/>
        <v>2786.2508163537632</v>
      </c>
      <c r="N47" s="15">
        <f t="shared" si="10"/>
        <v>1989</v>
      </c>
      <c r="O47" s="11">
        <f t="shared" si="11"/>
        <v>4018.1143312253589</v>
      </c>
      <c r="P47" s="15">
        <f t="shared" si="11"/>
        <v>1990</v>
      </c>
      <c r="Q47" s="11">
        <f t="shared" si="12"/>
        <v>0</v>
      </c>
      <c r="R47" s="15">
        <f t="shared" si="12"/>
        <v>1991</v>
      </c>
      <c r="S47" s="11">
        <f t="shared" si="13"/>
        <v>21.60702630259123</v>
      </c>
      <c r="T47" s="11">
        <f t="shared" si="15"/>
        <v>12843.28833940016</v>
      </c>
      <c r="AA47"/>
      <c r="AB47"/>
      <c r="AC47" s="60"/>
      <c r="AE47" s="1"/>
    </row>
    <row r="48" spans="1:31" x14ac:dyDescent="0.3">
      <c r="H48" s="15">
        <f t="shared" si="14"/>
        <v>1987</v>
      </c>
      <c r="I48" s="11">
        <f t="shared" si="8"/>
        <v>94.201613399815997</v>
      </c>
      <c r="J48" s="15">
        <f t="shared" si="8"/>
        <v>1988</v>
      </c>
      <c r="K48" s="11">
        <f t="shared" si="9"/>
        <v>465.99316789191863</v>
      </c>
      <c r="L48" s="15">
        <f t="shared" si="9"/>
        <v>1989</v>
      </c>
      <c r="M48" s="11">
        <f t="shared" si="10"/>
        <v>27202.666648355324</v>
      </c>
      <c r="N48" s="15">
        <f t="shared" si="10"/>
        <v>1990</v>
      </c>
      <c r="O48" s="11">
        <f t="shared" si="11"/>
        <v>21080.475644975904</v>
      </c>
      <c r="P48" s="15">
        <f t="shared" si="11"/>
        <v>1991</v>
      </c>
      <c r="Q48" s="11">
        <f t="shared" si="12"/>
        <v>1231.6004992477001</v>
      </c>
      <c r="R48" s="15">
        <f t="shared" si="12"/>
        <v>1992</v>
      </c>
      <c r="S48" s="11">
        <f t="shared" si="13"/>
        <v>0</v>
      </c>
      <c r="T48" s="11">
        <f t="shared" si="15"/>
        <v>50074.937573870666</v>
      </c>
      <c r="Z48"/>
      <c r="AA48"/>
      <c r="AB48"/>
      <c r="AC48" s="60"/>
      <c r="AE48" s="1"/>
    </row>
    <row r="49" spans="8:32" x14ac:dyDescent="0.3">
      <c r="H49" s="15">
        <f t="shared" si="14"/>
        <v>1988</v>
      </c>
      <c r="I49" s="11">
        <f t="shared" si="8"/>
        <v>0</v>
      </c>
      <c r="J49" s="15">
        <f t="shared" si="8"/>
        <v>1989</v>
      </c>
      <c r="K49" s="11">
        <f t="shared" si="9"/>
        <v>2775.6397293548494</v>
      </c>
      <c r="L49" s="15">
        <f t="shared" si="9"/>
        <v>1990</v>
      </c>
      <c r="M49" s="11">
        <f t="shared" si="10"/>
        <v>53395.456274400043</v>
      </c>
      <c r="N49" s="15">
        <f t="shared" si="10"/>
        <v>1991</v>
      </c>
      <c r="O49" s="11">
        <f t="shared" si="11"/>
        <v>39778.535423070454</v>
      </c>
      <c r="P49" s="15">
        <f t="shared" si="11"/>
        <v>1992</v>
      </c>
      <c r="Q49" s="11">
        <f t="shared" si="12"/>
        <v>204.13948039306837</v>
      </c>
      <c r="R49" s="15">
        <f t="shared" si="12"/>
        <v>1993</v>
      </c>
      <c r="S49" s="11">
        <f t="shared" si="13"/>
        <v>0</v>
      </c>
      <c r="T49" s="11">
        <f t="shared" si="15"/>
        <v>96153.770907218423</v>
      </c>
    </row>
    <row r="50" spans="8:32" x14ac:dyDescent="0.3">
      <c r="H50" s="15">
        <f t="shared" si="14"/>
        <v>1989</v>
      </c>
      <c r="I50" s="11">
        <f t="shared" si="8"/>
        <v>151.14530093131512</v>
      </c>
      <c r="J50" s="15">
        <f t="shared" si="8"/>
        <v>1990</v>
      </c>
      <c r="K50" s="11">
        <f t="shared" si="9"/>
        <v>4221.5121922079315</v>
      </c>
      <c r="L50" s="15">
        <f t="shared" si="9"/>
        <v>1991</v>
      </c>
      <c r="M50" s="11">
        <f t="shared" si="10"/>
        <v>3238.2930564997951</v>
      </c>
      <c r="N50" s="15">
        <f t="shared" si="10"/>
        <v>1992</v>
      </c>
      <c r="O50" s="11">
        <f t="shared" si="11"/>
        <v>3038.5376504660567</v>
      </c>
      <c r="P50" s="15">
        <f t="shared" si="11"/>
        <v>1993</v>
      </c>
      <c r="Q50" s="11">
        <f t="shared" si="12"/>
        <v>266.23566969451633</v>
      </c>
      <c r="R50" s="15">
        <f t="shared" si="12"/>
        <v>1994</v>
      </c>
      <c r="S50" s="11">
        <f t="shared" si="13"/>
        <v>0</v>
      </c>
      <c r="T50" s="11">
        <f t="shared" si="15"/>
        <v>10915.723869799616</v>
      </c>
    </row>
    <row r="51" spans="8:32" x14ac:dyDescent="0.3">
      <c r="H51" s="15">
        <f t="shared" si="14"/>
        <v>1990</v>
      </c>
      <c r="I51" s="11">
        <f t="shared" si="8"/>
        <v>466.48969982479201</v>
      </c>
      <c r="J51" s="15">
        <f t="shared" si="8"/>
        <v>1991</v>
      </c>
      <c r="K51" s="11">
        <f t="shared" si="9"/>
        <v>4196.3247108634368</v>
      </c>
      <c r="L51" s="15">
        <f t="shared" si="9"/>
        <v>1992</v>
      </c>
      <c r="M51" s="11">
        <f t="shared" si="10"/>
        <v>4694.5996153056331</v>
      </c>
      <c r="N51" s="15">
        <f t="shared" si="10"/>
        <v>1993</v>
      </c>
      <c r="O51" s="11">
        <f t="shared" si="11"/>
        <v>4150.8561229645047</v>
      </c>
      <c r="P51" s="15">
        <f t="shared" si="11"/>
        <v>1994</v>
      </c>
      <c r="Q51" s="11">
        <f t="shared" si="12"/>
        <v>745.70127149555219</v>
      </c>
      <c r="R51" s="15">
        <f t="shared" si="12"/>
        <v>1995</v>
      </c>
      <c r="S51" s="11">
        <f t="shared" si="13"/>
        <v>0</v>
      </c>
      <c r="T51" s="11">
        <f t="shared" si="15"/>
        <v>14253.97142045392</v>
      </c>
    </row>
    <row r="52" spans="8:32" x14ac:dyDescent="0.3">
      <c r="H52" s="15">
        <f t="shared" si="14"/>
        <v>1991</v>
      </c>
      <c r="I52" s="11">
        <f t="shared" si="8"/>
        <v>101.13290929073392</v>
      </c>
      <c r="J52" s="15">
        <f t="shared" si="8"/>
        <v>1992</v>
      </c>
      <c r="K52" s="11">
        <f t="shared" si="9"/>
        <v>1736.5724933840031</v>
      </c>
      <c r="L52" s="15">
        <f t="shared" si="9"/>
        <v>1993</v>
      </c>
      <c r="M52" s="11">
        <f t="shared" si="10"/>
        <v>14049.982387060612</v>
      </c>
      <c r="N52" s="15">
        <f t="shared" si="10"/>
        <v>1994</v>
      </c>
      <c r="O52" s="11">
        <f t="shared" si="11"/>
        <v>16618.485479043735</v>
      </c>
      <c r="P52" s="15">
        <f t="shared" si="11"/>
        <v>1995</v>
      </c>
      <c r="Q52" s="11">
        <f t="shared" si="12"/>
        <v>104.44825482566539</v>
      </c>
      <c r="R52" s="15">
        <f t="shared" si="12"/>
        <v>1996</v>
      </c>
      <c r="S52" s="11">
        <f t="shared" si="13"/>
        <v>0</v>
      </c>
      <c r="T52" s="11">
        <f t="shared" si="15"/>
        <v>32610.62152360475</v>
      </c>
    </row>
    <row r="53" spans="8:32" x14ac:dyDescent="0.3">
      <c r="H53" s="15">
        <f t="shared" si="14"/>
        <v>1992</v>
      </c>
      <c r="I53" s="11">
        <f t="shared" si="8"/>
        <v>738.66910467995558</v>
      </c>
      <c r="J53" s="15">
        <f t="shared" si="8"/>
        <v>1993</v>
      </c>
      <c r="K53" s="11">
        <f t="shared" si="9"/>
        <v>9320.6458769037836</v>
      </c>
      <c r="L53" s="15">
        <f t="shared" si="9"/>
        <v>1994</v>
      </c>
      <c r="M53" s="11">
        <f t="shared" si="10"/>
        <v>15444.282198360985</v>
      </c>
      <c r="N53" s="15">
        <f t="shared" si="10"/>
        <v>1995</v>
      </c>
      <c r="O53" s="11">
        <f t="shared" si="11"/>
        <v>2054.1490115714191</v>
      </c>
      <c r="P53" s="15">
        <f t="shared" si="11"/>
        <v>1996</v>
      </c>
      <c r="Q53" s="11">
        <f t="shared" si="12"/>
        <v>15.68515108196841</v>
      </c>
      <c r="R53" s="15">
        <f t="shared" si="12"/>
        <v>1997</v>
      </c>
      <c r="S53" s="11">
        <f t="shared" si="13"/>
        <v>0</v>
      </c>
      <c r="T53" s="11">
        <f t="shared" si="15"/>
        <v>27573.431342598109</v>
      </c>
    </row>
    <row r="54" spans="8:32" x14ac:dyDescent="0.3">
      <c r="H54" s="15">
        <f t="shared" si="14"/>
        <v>1993</v>
      </c>
      <c r="I54" s="11">
        <f t="shared" si="8"/>
        <v>268.78462484819488</v>
      </c>
      <c r="J54" s="15">
        <f t="shared" si="8"/>
        <v>1994</v>
      </c>
      <c r="K54" s="11">
        <f t="shared" si="9"/>
        <v>12580.691294616545</v>
      </c>
      <c r="L54" s="15">
        <f t="shared" si="9"/>
        <v>1995</v>
      </c>
      <c r="M54" s="11">
        <f t="shared" si="10"/>
        <v>28879.942459296479</v>
      </c>
      <c r="N54" s="15">
        <f t="shared" si="10"/>
        <v>1996</v>
      </c>
      <c r="O54" s="11">
        <f t="shared" si="11"/>
        <v>3058.60446098384</v>
      </c>
      <c r="P54" s="15">
        <f t="shared" si="11"/>
        <v>1997</v>
      </c>
      <c r="Q54" s="11">
        <f t="shared" si="12"/>
        <v>0</v>
      </c>
      <c r="R54" s="15">
        <f t="shared" si="12"/>
        <v>1998</v>
      </c>
      <c r="S54" s="11">
        <f t="shared" si="13"/>
        <v>0</v>
      </c>
      <c r="T54" s="11">
        <f t="shared" si="15"/>
        <v>44788.022839745063</v>
      </c>
    </row>
    <row r="55" spans="8:32" x14ac:dyDescent="0.3">
      <c r="H55" s="15">
        <f t="shared" si="14"/>
        <v>1994</v>
      </c>
      <c r="I55" s="11">
        <f t="shared" si="8"/>
        <v>384.19488186101904</v>
      </c>
      <c r="J55" s="15">
        <f t="shared" si="8"/>
        <v>1995</v>
      </c>
      <c r="K55" s="11">
        <f t="shared" si="9"/>
        <v>5419.2377886806571</v>
      </c>
      <c r="L55" s="15">
        <f t="shared" si="9"/>
        <v>1996</v>
      </c>
      <c r="M55" s="11">
        <f t="shared" si="10"/>
        <v>14775.412319214242</v>
      </c>
      <c r="N55" s="15">
        <f t="shared" si="10"/>
        <v>1997</v>
      </c>
      <c r="O55" s="11">
        <f t="shared" si="11"/>
        <v>15148.316879979462</v>
      </c>
      <c r="P55" s="15">
        <f t="shared" si="11"/>
        <v>1998</v>
      </c>
      <c r="Q55" s="13">
        <f>SUM(I55,K55,M55,O55,S55)*(1/(1-Q112)-1)</f>
        <v>176.56229026491098</v>
      </c>
      <c r="R55" s="15">
        <f t="shared" si="12"/>
        <v>1999</v>
      </c>
      <c r="S55" s="11">
        <f t="shared" si="13"/>
        <v>0</v>
      </c>
      <c r="T55" s="13"/>
    </row>
    <row r="56" spans="8:32" x14ac:dyDescent="0.3">
      <c r="H56" s="15">
        <f t="shared" si="14"/>
        <v>1995</v>
      </c>
      <c r="I56" s="11">
        <f t="shared" si="8"/>
        <v>3173.9954494901835</v>
      </c>
      <c r="J56" s="15">
        <f t="shared" si="8"/>
        <v>1996</v>
      </c>
      <c r="K56" s="11">
        <f t="shared" si="9"/>
        <v>6196.640353875634</v>
      </c>
      <c r="L56" s="15">
        <f t="shared" si="9"/>
        <v>1997</v>
      </c>
      <c r="M56" s="11">
        <f t="shared" si="10"/>
        <v>17217.029757862118</v>
      </c>
      <c r="N56" s="15">
        <f t="shared" si="10"/>
        <v>1998</v>
      </c>
      <c r="O56" s="13">
        <f>SUM(I56,K56,M56,Q56,S56)*(1/(1-O112)-1)</f>
        <v>6484.342218754693</v>
      </c>
      <c r="P56" s="15">
        <f t="shared" si="11"/>
        <v>1999</v>
      </c>
      <c r="Q56" s="11">
        <f t="shared" si="11"/>
        <v>0</v>
      </c>
      <c r="R56" s="15">
        <f t="shared" si="12"/>
        <v>2000</v>
      </c>
      <c r="S56" s="11">
        <f t="shared" si="13"/>
        <v>0</v>
      </c>
      <c r="T56" s="13"/>
    </row>
    <row r="57" spans="8:32" x14ac:dyDescent="0.3">
      <c r="H57" s="15">
        <f t="shared" si="14"/>
        <v>1996</v>
      </c>
      <c r="I57" s="11">
        <f t="shared" si="8"/>
        <v>584.58164386895123</v>
      </c>
      <c r="J57" s="15">
        <f t="shared" si="8"/>
        <v>1997</v>
      </c>
      <c r="K57" s="11">
        <f t="shared" si="9"/>
        <v>4583.23677724154</v>
      </c>
      <c r="L57" s="15">
        <f t="shared" si="9"/>
        <v>1998</v>
      </c>
      <c r="M57" s="13">
        <f>SUM(I57,K57,O57,Q57,S57)*(1/(1-M112)-1)</f>
        <v>17376.264158071965</v>
      </c>
      <c r="N57" s="15">
        <f t="shared" si="10"/>
        <v>1999</v>
      </c>
      <c r="O57" s="11">
        <f t="shared" si="10"/>
        <v>10584.421781522049</v>
      </c>
      <c r="P57" s="15">
        <f t="shared" si="11"/>
        <v>2000</v>
      </c>
      <c r="Q57" s="11">
        <f t="shared" si="11"/>
        <v>0</v>
      </c>
      <c r="R57" s="15">
        <f t="shared" si="12"/>
        <v>2001</v>
      </c>
      <c r="S57" s="11">
        <f t="shared" si="13"/>
        <v>0</v>
      </c>
      <c r="T57" s="13"/>
    </row>
    <row r="58" spans="8:32" x14ac:dyDescent="0.3">
      <c r="H58" s="15">
        <f t="shared" si="14"/>
        <v>1997</v>
      </c>
      <c r="I58" s="11">
        <f t="shared" si="8"/>
        <v>821.33642065830168</v>
      </c>
      <c r="J58" s="15">
        <f t="shared" si="8"/>
        <v>1998</v>
      </c>
      <c r="K58" s="13">
        <f>SUM(I58,M58,O58,Q58,S58)*(1/(1-K112)-1)</f>
        <v>20079.021836292701</v>
      </c>
      <c r="L58" s="15">
        <f t="shared" si="9"/>
        <v>1999</v>
      </c>
      <c r="M58" s="11">
        <f t="shared" si="9"/>
        <v>58639.824191598287</v>
      </c>
      <c r="N58" s="15">
        <f t="shared" si="10"/>
        <v>2000</v>
      </c>
      <c r="O58" s="11">
        <f t="shared" si="10"/>
        <v>234.83308344250167</v>
      </c>
      <c r="P58" s="15">
        <f t="shared" si="11"/>
        <v>2001</v>
      </c>
      <c r="Q58" s="11">
        <f t="shared" si="11"/>
        <v>0</v>
      </c>
      <c r="R58" s="15">
        <f t="shared" si="12"/>
        <v>2002</v>
      </c>
      <c r="S58" s="11">
        <f t="shared" si="13"/>
        <v>0</v>
      </c>
      <c r="T58" s="13"/>
    </row>
    <row r="59" spans="8:32" x14ac:dyDescent="0.3">
      <c r="H59" s="15">
        <f t="shared" si="14"/>
        <v>1998</v>
      </c>
      <c r="I59" s="13">
        <f>SUM(K59,M59,O59,Q59,S59)*(1/(1-I112)-1)</f>
        <v>85.333521190707629</v>
      </c>
      <c r="J59" s="15">
        <f t="shared" si="8"/>
        <v>1999</v>
      </c>
      <c r="K59" s="11">
        <f t="shared" si="8"/>
        <v>1063.7609830675426</v>
      </c>
      <c r="L59" s="15">
        <f t="shared" si="9"/>
        <v>2000</v>
      </c>
      <c r="M59" s="11">
        <f t="shared" si="9"/>
        <v>2465.7473761462679</v>
      </c>
      <c r="N59" s="15">
        <f t="shared" si="10"/>
        <v>2001</v>
      </c>
      <c r="O59" s="11">
        <f t="shared" si="10"/>
        <v>99.840672970582915</v>
      </c>
      <c r="P59" s="15">
        <f t="shared" si="11"/>
        <v>2002</v>
      </c>
      <c r="Q59" s="11">
        <f t="shared" si="11"/>
        <v>37.288518469088736</v>
      </c>
      <c r="R59" s="15">
        <f t="shared" si="12"/>
        <v>2003</v>
      </c>
      <c r="S59" s="11">
        <f t="shared" si="13"/>
        <v>0</v>
      </c>
      <c r="T59" s="13"/>
    </row>
    <row r="60" spans="8:32" x14ac:dyDescent="0.3">
      <c r="H60" s="15">
        <f t="shared" si="14"/>
        <v>1999</v>
      </c>
      <c r="I60" s="11">
        <f t="shared" si="14"/>
        <v>130.8121655801767</v>
      </c>
      <c r="J60" s="15">
        <f t="shared" si="8"/>
        <v>2000</v>
      </c>
      <c r="K60" s="11">
        <f t="shared" si="8"/>
        <v>1038.7975001195587</v>
      </c>
      <c r="L60" s="15">
        <f t="shared" si="9"/>
        <v>2001</v>
      </c>
      <c r="M60" s="11">
        <f t="shared" si="9"/>
        <v>3509.8825125984531</v>
      </c>
      <c r="N60" s="15">
        <f t="shared" si="10"/>
        <v>2002</v>
      </c>
      <c r="O60" s="11">
        <f t="shared" si="10"/>
        <v>2672.3438236180264</v>
      </c>
      <c r="P60" s="15">
        <f t="shared" si="11"/>
        <v>2003</v>
      </c>
      <c r="Q60" s="11">
        <f t="shared" si="11"/>
        <v>82.053850505723574</v>
      </c>
      <c r="R60" s="15">
        <f t="shared" si="12"/>
        <v>2004</v>
      </c>
      <c r="S60" s="11">
        <f t="shared" si="13"/>
        <v>0</v>
      </c>
      <c r="T60" s="11">
        <f t="shared" ref="T60:T76" si="16">E20</f>
        <v>7433.8898524219385</v>
      </c>
      <c r="Z60" s="151" t="s">
        <v>63</v>
      </c>
      <c r="AA60" s="151" t="s">
        <v>148</v>
      </c>
      <c r="AB60" s="151" t="s">
        <v>149</v>
      </c>
      <c r="AC60" s="61"/>
      <c r="AD60" s="163" t="s">
        <v>79</v>
      </c>
      <c r="AE60" s="1"/>
    </row>
    <row r="61" spans="8:32" x14ac:dyDescent="0.3">
      <c r="H61" s="15">
        <f t="shared" si="14"/>
        <v>2000</v>
      </c>
      <c r="I61" s="11">
        <f t="shared" si="14"/>
        <v>80.035035345185264</v>
      </c>
      <c r="J61" s="15">
        <f t="shared" si="14"/>
        <v>2001</v>
      </c>
      <c r="K61" s="11">
        <f t="shared" si="14"/>
        <v>1283.2942828084099</v>
      </c>
      <c r="L61" s="15">
        <f t="shared" si="14"/>
        <v>2002</v>
      </c>
      <c r="M61" s="11">
        <f t="shared" si="14"/>
        <v>13150.417513431961</v>
      </c>
      <c r="N61" s="15">
        <f t="shared" si="14"/>
        <v>2003</v>
      </c>
      <c r="O61" s="11">
        <f t="shared" si="14"/>
        <v>12677.319903134294</v>
      </c>
      <c r="P61" s="15">
        <f t="shared" si="14"/>
        <v>2004</v>
      </c>
      <c r="Q61" s="11">
        <f t="shared" si="14"/>
        <v>0</v>
      </c>
      <c r="R61" s="15">
        <f t="shared" si="14"/>
        <v>2005</v>
      </c>
      <c r="S61" s="11">
        <f t="shared" si="13"/>
        <v>0</v>
      </c>
      <c r="T61" s="11">
        <f t="shared" si="16"/>
        <v>27191.066734719851</v>
      </c>
      <c r="Z61" s="150">
        <v>26502.945001192333</v>
      </c>
      <c r="AA61" s="150">
        <f>Z61*EXP(AA35+Z61*$AD$61)</f>
        <v>99460.94500126841</v>
      </c>
      <c r="AB61" s="150">
        <f>AA61-Z61</f>
        <v>72958.000000076077</v>
      </c>
      <c r="AC61" s="61"/>
      <c r="AD61">
        <f>-1*AA33</f>
        <v>-4.5026493755728251E-5</v>
      </c>
      <c r="AE61" s="1"/>
    </row>
    <row r="62" spans="8:32" x14ac:dyDescent="0.3">
      <c r="H62" s="15">
        <f t="shared" ref="H62:S77" si="17">H22</f>
        <v>2001</v>
      </c>
      <c r="I62" s="11">
        <f t="shared" si="17"/>
        <v>137.02822730951218</v>
      </c>
      <c r="J62" s="15">
        <f t="shared" si="17"/>
        <v>2002</v>
      </c>
      <c r="K62" s="11">
        <f t="shared" si="17"/>
        <v>10737.668081643276</v>
      </c>
      <c r="L62" s="15">
        <f t="shared" si="17"/>
        <v>2003</v>
      </c>
      <c r="M62" s="11">
        <f t="shared" si="17"/>
        <v>64699.461123763052</v>
      </c>
      <c r="N62" s="15">
        <f t="shared" si="17"/>
        <v>2004</v>
      </c>
      <c r="O62" s="11">
        <f t="shared" si="17"/>
        <v>5838.8078036837833</v>
      </c>
      <c r="P62" s="15">
        <f t="shared" si="17"/>
        <v>2005</v>
      </c>
      <c r="Q62" s="11">
        <f t="shared" si="17"/>
        <v>61.663890783627785</v>
      </c>
      <c r="R62" s="15">
        <f t="shared" si="17"/>
        <v>2006</v>
      </c>
      <c r="S62" s="11">
        <f t="shared" si="13"/>
        <v>0</v>
      </c>
      <c r="T62" s="11">
        <f t="shared" si="16"/>
        <v>81474.62912718326</v>
      </c>
      <c r="AC62" s="60"/>
    </row>
    <row r="63" spans="8:32" x14ac:dyDescent="0.3">
      <c r="H63" s="15">
        <f t="shared" si="17"/>
        <v>2002</v>
      </c>
      <c r="I63" s="11">
        <f t="shared" si="17"/>
        <v>44.71150086030719</v>
      </c>
      <c r="J63" s="15">
        <f t="shared" si="17"/>
        <v>2003</v>
      </c>
      <c r="K63" s="11">
        <f t="shared" si="17"/>
        <v>4370.6275066781272</v>
      </c>
      <c r="L63" s="15">
        <f t="shared" si="17"/>
        <v>2004</v>
      </c>
      <c r="M63" s="11">
        <f t="shared" si="17"/>
        <v>51452.28210034073</v>
      </c>
      <c r="N63" s="15">
        <f t="shared" si="17"/>
        <v>2005</v>
      </c>
      <c r="O63" s="11">
        <f t="shared" si="17"/>
        <v>6135.5571329709655</v>
      </c>
      <c r="P63" s="15">
        <f t="shared" si="17"/>
        <v>2006</v>
      </c>
      <c r="Q63" s="11">
        <f t="shared" si="17"/>
        <v>0</v>
      </c>
      <c r="R63" s="15">
        <f t="shared" si="17"/>
        <v>2007</v>
      </c>
      <c r="S63" s="11">
        <f t="shared" si="13"/>
        <v>0</v>
      </c>
      <c r="T63" s="11">
        <f t="shared" si="16"/>
        <v>62003.178240850131</v>
      </c>
      <c r="Z63" s="149" t="s">
        <v>164</v>
      </c>
      <c r="AA63" s="16">
        <f>0.9*AA40</f>
        <v>72957.676735999281</v>
      </c>
      <c r="AC63" s="60"/>
      <c r="AE63" s="147"/>
    </row>
    <row r="64" spans="8:32" x14ac:dyDescent="0.3">
      <c r="H64" s="15">
        <f t="shared" si="17"/>
        <v>2003</v>
      </c>
      <c r="I64" s="11">
        <f t="shared" si="17"/>
        <v>34.998883189767149</v>
      </c>
      <c r="J64" s="15">
        <f t="shared" si="17"/>
        <v>2004</v>
      </c>
      <c r="K64" s="11">
        <f t="shared" si="17"/>
        <v>31827.453106064524</v>
      </c>
      <c r="L64" s="15">
        <f t="shared" si="17"/>
        <v>2005</v>
      </c>
      <c r="M64" s="11">
        <f t="shared" si="17"/>
        <v>46124.590306153594</v>
      </c>
      <c r="N64" s="15">
        <f t="shared" si="17"/>
        <v>2006</v>
      </c>
      <c r="O64" s="11">
        <f t="shared" si="17"/>
        <v>12377.08793478919</v>
      </c>
      <c r="P64" s="15">
        <f t="shared" si="17"/>
        <v>2007</v>
      </c>
      <c r="Q64" s="11">
        <f t="shared" si="17"/>
        <v>179.33922627177168</v>
      </c>
      <c r="R64" s="15">
        <f t="shared" si="17"/>
        <v>2008</v>
      </c>
      <c r="S64" s="11">
        <f t="shared" si="13"/>
        <v>0</v>
      </c>
      <c r="T64" s="11">
        <f t="shared" si="16"/>
        <v>90543.46945646884</v>
      </c>
      <c r="AC64" s="60"/>
      <c r="AE64" s="4"/>
      <c r="AF64" s="4"/>
    </row>
    <row r="65" spans="1:36" x14ac:dyDescent="0.3">
      <c r="H65" s="15">
        <f t="shared" si="17"/>
        <v>2004</v>
      </c>
      <c r="I65" s="11">
        <f t="shared" si="17"/>
        <v>848.70794385087186</v>
      </c>
      <c r="J65" s="15">
        <f t="shared" si="17"/>
        <v>2005</v>
      </c>
      <c r="K65" s="11">
        <f t="shared" si="17"/>
        <v>18474.486094570457</v>
      </c>
      <c r="L65" s="15">
        <f t="shared" si="17"/>
        <v>2006</v>
      </c>
      <c r="M65" s="11">
        <f t="shared" si="17"/>
        <v>44609.087764969365</v>
      </c>
      <c r="N65" s="15">
        <f t="shared" si="17"/>
        <v>2007</v>
      </c>
      <c r="O65" s="11">
        <f t="shared" si="17"/>
        <v>10939.692802578073</v>
      </c>
      <c r="P65" s="15">
        <f t="shared" si="17"/>
        <v>2008</v>
      </c>
      <c r="Q65" s="11">
        <f t="shared" si="17"/>
        <v>51.108571886382904</v>
      </c>
      <c r="R65" s="15">
        <f t="shared" si="17"/>
        <v>2009</v>
      </c>
      <c r="S65" s="11">
        <f t="shared" si="13"/>
        <v>0</v>
      </c>
      <c r="T65" s="11">
        <f t="shared" si="16"/>
        <v>74923.083177855151</v>
      </c>
      <c r="Z65" s="149"/>
      <c r="AE65" s="3"/>
      <c r="AF65" s="11"/>
    </row>
    <row r="66" spans="1:36" s="11" customFormat="1" x14ac:dyDescent="0.3">
      <c r="A66" s="12"/>
      <c r="F66" s="21"/>
      <c r="G66" s="21"/>
      <c r="H66" s="15">
        <f t="shared" si="17"/>
        <v>2005</v>
      </c>
      <c r="I66" s="11">
        <f t="shared" si="17"/>
        <v>1307.2713404313142</v>
      </c>
      <c r="J66" s="15">
        <f t="shared" si="17"/>
        <v>2006</v>
      </c>
      <c r="K66" s="11">
        <f t="shared" si="17"/>
        <v>72199.679619603601</v>
      </c>
      <c r="L66" s="15">
        <f t="shared" si="17"/>
        <v>2007</v>
      </c>
      <c r="M66" s="11">
        <f t="shared" si="17"/>
        <v>66893.531399370841</v>
      </c>
      <c r="N66" s="15">
        <f t="shared" si="17"/>
        <v>2008</v>
      </c>
      <c r="O66" s="11">
        <f t="shared" si="17"/>
        <v>2427.657164603188</v>
      </c>
      <c r="P66" s="15">
        <f t="shared" si="17"/>
        <v>2009</v>
      </c>
      <c r="Q66" s="11">
        <f t="shared" si="17"/>
        <v>0</v>
      </c>
      <c r="R66" s="15">
        <f t="shared" si="17"/>
        <v>2010</v>
      </c>
      <c r="S66" s="11">
        <f t="shared" si="13"/>
        <v>0</v>
      </c>
      <c r="T66" s="11">
        <f t="shared" si="16"/>
        <v>142828.13952400893</v>
      </c>
      <c r="U66" s="12"/>
      <c r="V66" s="17"/>
      <c r="W66" s="17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1:36" s="11" customFormat="1" x14ac:dyDescent="0.3">
      <c r="A67" s="12"/>
      <c r="F67" s="21"/>
      <c r="G67" s="21"/>
      <c r="H67" s="15">
        <f t="shared" si="17"/>
        <v>2006</v>
      </c>
      <c r="I67" s="11">
        <f t="shared" si="17"/>
        <v>0</v>
      </c>
      <c r="J67" s="15">
        <f t="shared" si="17"/>
        <v>2007</v>
      </c>
      <c r="K67" s="11">
        <f t="shared" si="17"/>
        <v>4662.819883066064</v>
      </c>
      <c r="L67" s="15">
        <f t="shared" si="17"/>
        <v>2008</v>
      </c>
      <c r="M67" s="11">
        <f t="shared" si="17"/>
        <v>7206.308635979989</v>
      </c>
      <c r="N67" s="15">
        <f t="shared" si="17"/>
        <v>2009</v>
      </c>
      <c r="O67" s="11">
        <f t="shared" si="17"/>
        <v>418.31252865603904</v>
      </c>
      <c r="P67" s="15">
        <f t="shared" si="17"/>
        <v>2010</v>
      </c>
      <c r="Q67" s="11">
        <f t="shared" si="17"/>
        <v>0</v>
      </c>
      <c r="R67" s="15">
        <f t="shared" si="17"/>
        <v>2011</v>
      </c>
      <c r="S67" s="11">
        <f t="shared" si="13"/>
        <v>0</v>
      </c>
      <c r="T67" s="11">
        <f t="shared" si="16"/>
        <v>12287.441047702092</v>
      </c>
      <c r="U67" s="12"/>
      <c r="V67" s="17"/>
      <c r="W67" s="17"/>
      <c r="X67" s="12"/>
      <c r="Y67" s="12"/>
    </row>
    <row r="68" spans="1:36" s="11" customFormat="1" x14ac:dyDescent="0.3">
      <c r="A68" s="12"/>
      <c r="F68" s="21"/>
      <c r="G68" s="21"/>
      <c r="H68" s="15">
        <f t="shared" si="17"/>
        <v>2007</v>
      </c>
      <c r="I68" s="11">
        <f t="shared" si="17"/>
        <v>0</v>
      </c>
      <c r="J68" s="15">
        <f t="shared" si="17"/>
        <v>2008</v>
      </c>
      <c r="K68" s="11">
        <f t="shared" si="17"/>
        <v>1765.7622842282342</v>
      </c>
      <c r="L68" s="15">
        <f t="shared" si="17"/>
        <v>2009</v>
      </c>
      <c r="M68" s="11">
        <f t="shared" si="17"/>
        <v>11873.640236467567</v>
      </c>
      <c r="N68" s="15">
        <f t="shared" si="17"/>
        <v>2010</v>
      </c>
      <c r="O68" s="11">
        <f t="shared" si="17"/>
        <v>3495.8255658955941</v>
      </c>
      <c r="P68" s="15">
        <f t="shared" si="17"/>
        <v>2011</v>
      </c>
      <c r="Q68" s="11">
        <f t="shared" si="17"/>
        <v>0</v>
      </c>
      <c r="R68" s="15">
        <f t="shared" si="17"/>
        <v>2012</v>
      </c>
      <c r="S68" s="11">
        <f t="shared" si="13"/>
        <v>0</v>
      </c>
      <c r="T68" s="11">
        <f t="shared" si="16"/>
        <v>17135.228086591396</v>
      </c>
      <c r="U68" s="12"/>
      <c r="V68" s="17"/>
      <c r="W68" s="17"/>
      <c r="X68" s="12"/>
      <c r="Y68" s="12"/>
    </row>
    <row r="69" spans="1:36" s="11" customFormat="1" x14ac:dyDescent="0.3">
      <c r="A69" s="12"/>
      <c r="F69" s="21"/>
      <c r="G69" s="21"/>
      <c r="H69" s="15">
        <f t="shared" si="17"/>
        <v>2008</v>
      </c>
      <c r="I69" s="11">
        <f t="shared" si="17"/>
        <v>22.314818093967506</v>
      </c>
      <c r="J69" s="15">
        <f t="shared" si="17"/>
        <v>2009</v>
      </c>
      <c r="K69" s="11">
        <f t="shared" si="17"/>
        <v>1619.3294097783412</v>
      </c>
      <c r="L69" s="15">
        <f t="shared" si="17"/>
        <v>2010</v>
      </c>
      <c r="M69" s="11">
        <f t="shared" si="17"/>
        <v>4827.568638617724</v>
      </c>
      <c r="N69" s="15">
        <f t="shared" si="17"/>
        <v>2011</v>
      </c>
      <c r="O69" s="11">
        <f t="shared" si="17"/>
        <v>3595.7516390762598</v>
      </c>
      <c r="P69" s="15">
        <f t="shared" si="17"/>
        <v>2012</v>
      </c>
      <c r="Q69" s="11">
        <f t="shared" si="17"/>
        <v>0</v>
      </c>
      <c r="R69" s="15">
        <f t="shared" si="17"/>
        <v>2013</v>
      </c>
      <c r="S69" s="11">
        <f t="shared" si="17"/>
        <v>0</v>
      </c>
      <c r="T69" s="11">
        <f t="shared" si="16"/>
        <v>10064.964505566293</v>
      </c>
      <c r="U69" s="12"/>
      <c r="V69" s="17"/>
      <c r="W69" s="17"/>
      <c r="X69" s="12"/>
      <c r="Y69" s="12"/>
    </row>
    <row r="70" spans="1:36" s="11" customFormat="1" x14ac:dyDescent="0.3">
      <c r="A70" s="12"/>
      <c r="F70" s="21"/>
      <c r="G70" s="21"/>
      <c r="H70" s="15">
        <f t="shared" si="17"/>
        <v>2009</v>
      </c>
      <c r="I70" s="11">
        <f t="shared" si="17"/>
        <v>553.68989498421456</v>
      </c>
      <c r="J70" s="15">
        <f t="shared" si="17"/>
        <v>2010</v>
      </c>
      <c r="K70" s="11">
        <f t="shared" si="17"/>
        <v>11835.86354555519</v>
      </c>
      <c r="L70" s="15">
        <f t="shared" si="17"/>
        <v>2011</v>
      </c>
      <c r="M70" s="11">
        <f t="shared" si="17"/>
        <v>15461.73204802792</v>
      </c>
      <c r="N70" s="15">
        <f t="shared" si="17"/>
        <v>2012</v>
      </c>
      <c r="O70" s="11">
        <f t="shared" si="17"/>
        <v>1965.2128664414308</v>
      </c>
      <c r="P70" s="15">
        <f t="shared" si="17"/>
        <v>2013</v>
      </c>
      <c r="Q70" s="11">
        <f t="shared" si="17"/>
        <v>0</v>
      </c>
      <c r="R70" s="15">
        <f t="shared" si="17"/>
        <v>2014</v>
      </c>
      <c r="S70" s="11">
        <f t="shared" si="17"/>
        <v>0</v>
      </c>
      <c r="T70" s="11">
        <f t="shared" si="16"/>
        <v>29816.498355008753</v>
      </c>
      <c r="U70" s="12"/>
      <c r="V70" s="17"/>
      <c r="W70" s="17"/>
      <c r="X70" s="12"/>
      <c r="Y70" s="12"/>
    </row>
    <row r="71" spans="1:36" s="11" customFormat="1" x14ac:dyDescent="0.3">
      <c r="A71" s="12"/>
      <c r="F71" s="21"/>
      <c r="G71" s="21"/>
      <c r="H71" s="15">
        <f t="shared" si="17"/>
        <v>2010</v>
      </c>
      <c r="I71" s="11">
        <f t="shared" si="17"/>
        <v>0</v>
      </c>
      <c r="J71" s="15">
        <f t="shared" si="17"/>
        <v>2011</v>
      </c>
      <c r="K71" s="11">
        <f t="shared" si="17"/>
        <v>3348.4318010195798</v>
      </c>
      <c r="L71" s="15">
        <f t="shared" si="17"/>
        <v>2012</v>
      </c>
      <c r="M71" s="11">
        <f t="shared" si="17"/>
        <v>16949.960973057343</v>
      </c>
      <c r="N71" s="15">
        <f t="shared" si="17"/>
        <v>2013</v>
      </c>
      <c r="O71" s="11">
        <f t="shared" si="17"/>
        <v>9480.150242337264</v>
      </c>
      <c r="P71" s="15">
        <f t="shared" si="17"/>
        <v>2014</v>
      </c>
      <c r="Q71" s="11">
        <f t="shared" si="17"/>
        <v>96.075375869154399</v>
      </c>
      <c r="R71" s="15">
        <f t="shared" si="17"/>
        <v>2015</v>
      </c>
      <c r="S71" s="11">
        <f t="shared" si="17"/>
        <v>0</v>
      </c>
      <c r="T71" s="11">
        <f t="shared" si="16"/>
        <v>29874.618392283341</v>
      </c>
      <c r="U71" s="12"/>
      <c r="V71" s="17"/>
      <c r="W71" s="17"/>
      <c r="X71" s="12"/>
      <c r="Y71" s="12"/>
    </row>
    <row r="72" spans="1:36" s="11" customFormat="1" x14ac:dyDescent="0.3">
      <c r="A72" s="12"/>
      <c r="F72" s="21"/>
      <c r="G72" s="21"/>
      <c r="H72" s="15">
        <f t="shared" si="17"/>
        <v>2011</v>
      </c>
      <c r="I72" s="11">
        <f t="shared" si="17"/>
        <v>2437.5422039992668</v>
      </c>
      <c r="J72" s="15">
        <f t="shared" si="17"/>
        <v>2012</v>
      </c>
      <c r="K72" s="11">
        <f t="shared" si="17"/>
        <v>23899.734135707517</v>
      </c>
      <c r="L72" s="15">
        <f t="shared" si="17"/>
        <v>2013</v>
      </c>
      <c r="M72" s="11">
        <f t="shared" si="17"/>
        <v>36407.811037061198</v>
      </c>
      <c r="N72" s="15">
        <f t="shared" si="17"/>
        <v>2014</v>
      </c>
      <c r="O72" s="11">
        <f t="shared" si="17"/>
        <v>4995.9195451960277</v>
      </c>
      <c r="P72" s="15">
        <f t="shared" si="17"/>
        <v>2015</v>
      </c>
      <c r="Q72" s="11">
        <f t="shared" si="17"/>
        <v>0</v>
      </c>
      <c r="R72" s="15">
        <f t="shared" si="17"/>
        <v>2016</v>
      </c>
      <c r="S72" s="11">
        <f t="shared" si="17"/>
        <v>0</v>
      </c>
      <c r="T72" s="11">
        <f t="shared" si="16"/>
        <v>67741.006921964014</v>
      </c>
      <c r="U72" s="12"/>
      <c r="V72" s="17"/>
      <c r="W72" s="17"/>
      <c r="X72" s="12"/>
      <c r="Y72" s="12"/>
    </row>
    <row r="73" spans="1:36" s="11" customFormat="1" x14ac:dyDescent="0.3">
      <c r="A73" s="12"/>
      <c r="F73" s="21"/>
      <c r="G73" s="21"/>
      <c r="H73" s="15">
        <f>H33</f>
        <v>2012</v>
      </c>
      <c r="I73" s="11">
        <f t="shared" si="17"/>
        <v>3541.8578316145727</v>
      </c>
      <c r="J73" s="15">
        <f t="shared" si="17"/>
        <v>2013</v>
      </c>
      <c r="K73" s="11">
        <f t="shared" si="17"/>
        <v>10109.023225231022</v>
      </c>
      <c r="L73" s="15">
        <f t="shared" si="17"/>
        <v>2014</v>
      </c>
      <c r="M73" s="11">
        <f t="shared" si="17"/>
        <v>10376.140593868673</v>
      </c>
      <c r="N73" s="15">
        <f t="shared" si="17"/>
        <v>2015</v>
      </c>
      <c r="O73" s="11">
        <f t="shared" si="17"/>
        <v>189.47053124851311</v>
      </c>
      <c r="P73" s="15">
        <f t="shared" si="17"/>
        <v>2016</v>
      </c>
      <c r="Q73" s="11">
        <f t="shared" si="17"/>
        <v>0</v>
      </c>
      <c r="R73" s="15">
        <f t="shared" si="17"/>
        <v>2017</v>
      </c>
      <c r="S73" s="11">
        <f t="shared" si="17"/>
        <v>0</v>
      </c>
      <c r="T73" s="11">
        <f t="shared" si="16"/>
        <v>24216.492181962782</v>
      </c>
      <c r="U73" s="12"/>
      <c r="V73" s="17"/>
      <c r="W73" s="17"/>
      <c r="X73" s="12"/>
      <c r="Y73" s="12"/>
    </row>
    <row r="74" spans="1:36" s="11" customFormat="1" x14ac:dyDescent="0.3">
      <c r="A74" s="12"/>
      <c r="F74" s="21"/>
      <c r="G74" s="21"/>
      <c r="H74" s="15">
        <f t="shared" si="17"/>
        <v>2013</v>
      </c>
      <c r="I74" s="11">
        <f t="shared" si="17"/>
        <v>1623.2371026370881</v>
      </c>
      <c r="J74" s="15">
        <f t="shared" si="17"/>
        <v>2014</v>
      </c>
      <c r="K74" s="11">
        <f t="shared" si="17"/>
        <v>6179.8896040463187</v>
      </c>
      <c r="L74" s="15">
        <f t="shared" si="17"/>
        <v>2015</v>
      </c>
      <c r="M74" s="11">
        <f t="shared" si="17"/>
        <v>8715.6444374316034</v>
      </c>
      <c r="N74" s="15">
        <f t="shared" si="17"/>
        <v>2016</v>
      </c>
      <c r="O74" s="11">
        <f t="shared" si="17"/>
        <v>735.7534246575342</v>
      </c>
      <c r="P74" s="15">
        <f t="shared" si="17"/>
        <v>2017</v>
      </c>
      <c r="Q74" s="11">
        <f t="shared" si="17"/>
        <v>0</v>
      </c>
      <c r="R74" s="15">
        <f t="shared" si="17"/>
        <v>2018</v>
      </c>
      <c r="S74" s="11">
        <f t="shared" si="17"/>
        <v>0</v>
      </c>
      <c r="T74" s="11">
        <f t="shared" si="16"/>
        <v>17254.524568772544</v>
      </c>
      <c r="U74" s="12"/>
      <c r="V74" s="17"/>
      <c r="W74" s="17"/>
      <c r="X74" s="12"/>
      <c r="Y74" s="12"/>
    </row>
    <row r="75" spans="1:36" s="11" customFormat="1" x14ac:dyDescent="0.3">
      <c r="A75" s="12"/>
      <c r="F75" s="21"/>
      <c r="G75" s="21"/>
      <c r="H75" s="15">
        <f t="shared" si="17"/>
        <v>2014</v>
      </c>
      <c r="I75" s="11">
        <f t="shared" si="17"/>
        <v>2837.3511744136345</v>
      </c>
      <c r="J75" s="15">
        <f t="shared" si="17"/>
        <v>2015</v>
      </c>
      <c r="K75" s="11">
        <f t="shared" si="17"/>
        <v>6627.1179251323401</v>
      </c>
      <c r="L75" s="15">
        <f t="shared" si="17"/>
        <v>2016</v>
      </c>
      <c r="M75" s="11">
        <f t="shared" si="17"/>
        <v>9722.455968688846</v>
      </c>
      <c r="N75" s="15">
        <f t="shared" si="17"/>
        <v>2017</v>
      </c>
      <c r="O75" s="11">
        <f t="shared" si="17"/>
        <v>6405.0390625</v>
      </c>
      <c r="P75" s="15">
        <f t="shared" si="17"/>
        <v>2018</v>
      </c>
      <c r="Q75" s="11">
        <f t="shared" si="17"/>
        <v>0</v>
      </c>
      <c r="R75" s="15">
        <f t="shared" si="17"/>
        <v>2019</v>
      </c>
      <c r="S75" s="13">
        <f t="shared" si="17"/>
        <v>0</v>
      </c>
      <c r="T75" s="11">
        <f t="shared" si="16"/>
        <v>25591.964130734821</v>
      </c>
      <c r="U75" s="12"/>
      <c r="V75" s="17"/>
      <c r="W75" s="17"/>
      <c r="X75" s="12"/>
      <c r="Y75" s="12"/>
    </row>
    <row r="76" spans="1:36" s="11" customFormat="1" x14ac:dyDescent="0.3">
      <c r="A76" s="12"/>
      <c r="F76" s="21"/>
      <c r="G76" s="21"/>
      <c r="H76" s="15">
        <f>H36</f>
        <v>2015</v>
      </c>
      <c r="I76" s="11">
        <f t="shared" si="17"/>
        <v>1537.7442723025902</v>
      </c>
      <c r="J76" s="15">
        <f t="shared" si="17"/>
        <v>2016</v>
      </c>
      <c r="K76" s="11">
        <f t="shared" si="17"/>
        <v>15557.215264187869</v>
      </c>
      <c r="L76" s="15">
        <f t="shared" si="17"/>
        <v>2017</v>
      </c>
      <c r="M76" s="11">
        <f t="shared" si="17"/>
        <v>21309.072265625</v>
      </c>
      <c r="N76" s="15">
        <f t="shared" si="17"/>
        <v>2018</v>
      </c>
      <c r="O76" s="11">
        <f t="shared" si="17"/>
        <v>1171.8797814207651</v>
      </c>
      <c r="P76" s="15">
        <f t="shared" si="17"/>
        <v>2019</v>
      </c>
      <c r="Q76" s="13">
        <f t="shared" si="17"/>
        <v>0</v>
      </c>
      <c r="R76" s="15">
        <f t="shared" si="17"/>
        <v>2020</v>
      </c>
      <c r="S76" s="13">
        <f t="shared" si="17"/>
        <v>0</v>
      </c>
      <c r="T76" s="11">
        <f t="shared" si="16"/>
        <v>39575.911583536224</v>
      </c>
      <c r="U76" s="12"/>
      <c r="V76" s="17"/>
      <c r="W76" s="17"/>
      <c r="X76" s="12"/>
      <c r="Y76" s="12"/>
    </row>
    <row r="77" spans="1:36" s="11" customFormat="1" x14ac:dyDescent="0.3">
      <c r="A77" s="12"/>
      <c r="F77" s="21"/>
      <c r="G77" s="21"/>
      <c r="H77" s="15">
        <f>H37</f>
        <v>2016</v>
      </c>
      <c r="I77" s="11">
        <f t="shared" si="17"/>
        <v>623.94520547945206</v>
      </c>
      <c r="J77" s="15">
        <f t="shared" si="17"/>
        <v>2017</v>
      </c>
      <c r="K77" s="11">
        <f t="shared" si="17"/>
        <v>4928.826171875</v>
      </c>
      <c r="L77" s="15">
        <f t="shared" si="17"/>
        <v>2018</v>
      </c>
      <c r="M77" s="11">
        <f t="shared" si="17"/>
        <v>13867.24408014572</v>
      </c>
      <c r="N77" s="15">
        <f t="shared" si="17"/>
        <v>2019</v>
      </c>
      <c r="O77" s="13">
        <f>SUM(I77,K77,M77,Q77,S77)*(1/(1-O112)-1)</f>
        <v>4736.2573381986413</v>
      </c>
      <c r="P77" s="15">
        <f t="shared" si="17"/>
        <v>2020</v>
      </c>
      <c r="Q77" s="13">
        <f t="shared" si="17"/>
        <v>0</v>
      </c>
      <c r="R77" s="15">
        <f t="shared" si="17"/>
        <v>2021</v>
      </c>
      <c r="S77" s="13">
        <f t="shared" si="17"/>
        <v>0</v>
      </c>
      <c r="T77" s="13"/>
      <c r="U77" s="12"/>
      <c r="V77" s="17"/>
      <c r="W77" s="17"/>
      <c r="X77" s="12"/>
      <c r="Y77" s="12"/>
    </row>
    <row r="78" spans="1:36" s="11" customFormat="1" x14ac:dyDescent="0.3">
      <c r="A78" s="12"/>
      <c r="F78" s="21"/>
      <c r="G78" s="21"/>
      <c r="H78" s="20"/>
      <c r="J78" s="20"/>
      <c r="L78" s="20"/>
      <c r="N78" s="20"/>
      <c r="P78" s="20"/>
      <c r="R78" s="20"/>
      <c r="U78" s="12"/>
      <c r="V78" s="17"/>
      <c r="W78" s="17"/>
      <c r="X78" s="12"/>
      <c r="Y78" s="12"/>
    </row>
    <row r="79" spans="1:36" s="11" customFormat="1" x14ac:dyDescent="0.3">
      <c r="A79" s="12"/>
      <c r="F79" s="21"/>
      <c r="G79" s="21"/>
      <c r="H79" s="46" t="s">
        <v>0</v>
      </c>
      <c r="I79" s="44" t="s">
        <v>43</v>
      </c>
      <c r="J79" s="44"/>
      <c r="K79" s="44" t="s">
        <v>44</v>
      </c>
      <c r="L79" s="44"/>
      <c r="M79" s="44" t="s">
        <v>45</v>
      </c>
      <c r="N79" s="44"/>
      <c r="O79" s="44" t="s">
        <v>46</v>
      </c>
      <c r="P79" s="44"/>
      <c r="Q79" s="44" t="s">
        <v>47</v>
      </c>
      <c r="R79" s="44"/>
      <c r="S79" s="44" t="s">
        <v>48</v>
      </c>
      <c r="U79" s="12"/>
      <c r="V79" s="17"/>
      <c r="W79" s="17"/>
      <c r="X79" s="12"/>
      <c r="Y79" s="12"/>
    </row>
    <row r="80" spans="1:36" s="11" customFormat="1" x14ac:dyDescent="0.3">
      <c r="A80" s="12"/>
      <c r="F80" s="21"/>
      <c r="G80" s="21"/>
      <c r="H80" s="15">
        <v>1985</v>
      </c>
      <c r="I80" s="18">
        <f>I46/$T46</f>
        <v>1.1006304872781333E-2</v>
      </c>
      <c r="J80" s="15">
        <v>1986</v>
      </c>
      <c r="K80" s="18">
        <f>K46/$T46</f>
        <v>0.26369751986202372</v>
      </c>
      <c r="L80" s="15">
        <v>1987</v>
      </c>
      <c r="M80" s="18">
        <f>M46/$T46</f>
        <v>0.67274297719729081</v>
      </c>
      <c r="N80" s="15">
        <v>1988</v>
      </c>
      <c r="O80" s="18">
        <f>O46/$T46</f>
        <v>4.956288641711859E-2</v>
      </c>
      <c r="P80" s="15">
        <v>1989</v>
      </c>
      <c r="Q80" s="18">
        <f>Q46/$T46</f>
        <v>2.9903116507855269E-3</v>
      </c>
      <c r="R80" s="15">
        <v>1990</v>
      </c>
      <c r="S80" s="18">
        <f>S46/$T46</f>
        <v>0</v>
      </c>
      <c r="T80" s="18">
        <f>SUM(I80,K80,M80,O80,Q80,S80)</f>
        <v>1</v>
      </c>
      <c r="U80" s="12"/>
      <c r="V80" s="17"/>
      <c r="W80" s="17"/>
      <c r="X80" s="12"/>
      <c r="Y80" s="12"/>
    </row>
    <row r="81" spans="1:36" s="11" customFormat="1" x14ac:dyDescent="0.3">
      <c r="A81" s="12"/>
      <c r="F81" s="21"/>
      <c r="G81" s="21"/>
      <c r="H81" s="15">
        <v>1986</v>
      </c>
      <c r="I81" s="18">
        <f t="shared" ref="I81:K96" si="18">I47/$T47</f>
        <v>5.3432824993100946E-3</v>
      </c>
      <c r="J81" s="15">
        <v>1987</v>
      </c>
      <c r="K81" s="18">
        <f t="shared" si="18"/>
        <v>0.46317506003908404</v>
      </c>
      <c r="L81" s="15">
        <v>1988</v>
      </c>
      <c r="M81" s="18">
        <f t="shared" ref="M81:M88" si="19">M47/$T47</f>
        <v>0.21694216798093732</v>
      </c>
      <c r="N81" s="15">
        <v>1989</v>
      </c>
      <c r="O81" s="18">
        <f t="shared" ref="O81:O88" si="20">O47/$T47</f>
        <v>0.31285713012443533</v>
      </c>
      <c r="P81" s="15">
        <v>1990</v>
      </c>
      <c r="Q81" s="18">
        <f t="shared" ref="Q81:Q88" si="21">Q47/$T47</f>
        <v>0</v>
      </c>
      <c r="R81" s="15">
        <v>1991</v>
      </c>
      <c r="S81" s="18">
        <f t="shared" ref="S81:S88" si="22">S47/$T47</f>
        <v>1.6823593562332476E-3</v>
      </c>
      <c r="T81" s="18">
        <f t="shared" ref="T81:T88" si="23">SUM(I81,K81,M81,O81,Q81,S81)</f>
        <v>1</v>
      </c>
      <c r="U81" s="12"/>
      <c r="V81" s="17"/>
      <c r="W81" s="17"/>
      <c r="X81" s="12"/>
      <c r="Y81" s="12"/>
    </row>
    <row r="82" spans="1:36" s="11" customFormat="1" x14ac:dyDescent="0.3">
      <c r="A82" s="12"/>
      <c r="F82" s="21"/>
      <c r="G82" s="21"/>
      <c r="H82" s="15">
        <v>1987</v>
      </c>
      <c r="I82" s="18">
        <f t="shared" si="18"/>
        <v>1.8812127975366829E-3</v>
      </c>
      <c r="J82" s="15">
        <v>1988</v>
      </c>
      <c r="K82" s="18">
        <f t="shared" si="18"/>
        <v>9.3059161023313196E-3</v>
      </c>
      <c r="L82" s="15">
        <v>1989</v>
      </c>
      <c r="M82" s="18">
        <f t="shared" si="19"/>
        <v>0.5432391524847312</v>
      </c>
      <c r="N82" s="15">
        <v>1990</v>
      </c>
      <c r="O82" s="18">
        <f t="shared" si="20"/>
        <v>0.42097857064480482</v>
      </c>
      <c r="P82" s="15">
        <v>1991</v>
      </c>
      <c r="Q82" s="18">
        <f t="shared" si="21"/>
        <v>2.4595147970595872E-2</v>
      </c>
      <c r="R82" s="15">
        <v>1992</v>
      </c>
      <c r="S82" s="18">
        <f t="shared" si="22"/>
        <v>0</v>
      </c>
      <c r="T82" s="18">
        <f t="shared" si="23"/>
        <v>0.99999999999999989</v>
      </c>
      <c r="U82" s="12"/>
      <c r="V82" s="17"/>
      <c r="W82" s="17"/>
      <c r="X82" s="12"/>
      <c r="Y82" s="12"/>
    </row>
    <row r="83" spans="1:36" s="11" customFormat="1" x14ac:dyDescent="0.3">
      <c r="A83" s="12"/>
      <c r="F83" s="21"/>
      <c r="G83" s="21"/>
      <c r="H83" s="15">
        <v>1988</v>
      </c>
      <c r="I83" s="18">
        <f t="shared" si="18"/>
        <v>0</v>
      </c>
      <c r="J83" s="15">
        <v>1989</v>
      </c>
      <c r="K83" s="18">
        <f t="shared" si="18"/>
        <v>2.8866675775338496E-2</v>
      </c>
      <c r="L83" s="15">
        <v>1990</v>
      </c>
      <c r="M83" s="18">
        <f t="shared" si="19"/>
        <v>0.55531317982237927</v>
      </c>
      <c r="N83" s="15">
        <v>1991</v>
      </c>
      <c r="O83" s="18">
        <f t="shared" si="20"/>
        <v>0.41369709214476802</v>
      </c>
      <c r="P83" s="15">
        <v>1992</v>
      </c>
      <c r="Q83" s="18">
        <f t="shared" si="21"/>
        <v>2.1230522575141487E-3</v>
      </c>
      <c r="R83" s="15">
        <v>1993</v>
      </c>
      <c r="S83" s="18">
        <f t="shared" si="22"/>
        <v>0</v>
      </c>
      <c r="T83" s="18">
        <f t="shared" si="23"/>
        <v>1</v>
      </c>
      <c r="U83" s="12"/>
      <c r="V83" s="17"/>
      <c r="W83" s="17"/>
      <c r="X83" s="12"/>
      <c r="Y83" s="12"/>
    </row>
    <row r="84" spans="1:36" s="11" customFormat="1" x14ac:dyDescent="0.3">
      <c r="A84" s="12"/>
      <c r="F84" s="21"/>
      <c r="G84" s="21"/>
      <c r="H84" s="15">
        <v>1989</v>
      </c>
      <c r="I84" s="18">
        <f t="shared" si="18"/>
        <v>1.3846566909729803E-2</v>
      </c>
      <c r="J84" s="15">
        <v>1990</v>
      </c>
      <c r="K84" s="18">
        <f t="shared" si="18"/>
        <v>0.38673680669841159</v>
      </c>
      <c r="L84" s="15">
        <v>1991</v>
      </c>
      <c r="M84" s="18">
        <f t="shared" si="19"/>
        <v>0.29666315263425963</v>
      </c>
      <c r="N84" s="15">
        <v>1992</v>
      </c>
      <c r="O84" s="18">
        <f t="shared" si="20"/>
        <v>0.27836336707570419</v>
      </c>
      <c r="P84" s="15">
        <v>1993</v>
      </c>
      <c r="Q84" s="18">
        <f t="shared" si="21"/>
        <v>2.4390106681894629E-2</v>
      </c>
      <c r="R84" s="15">
        <v>1994</v>
      </c>
      <c r="S84" s="18">
        <f t="shared" si="22"/>
        <v>0</v>
      </c>
      <c r="T84" s="18">
        <f t="shared" si="23"/>
        <v>0.99999999999999989</v>
      </c>
      <c r="U84" s="12"/>
      <c r="V84" s="17"/>
      <c r="W84" s="17"/>
      <c r="X84" s="12"/>
      <c r="Y84" s="12"/>
    </row>
    <row r="85" spans="1:36" s="11" customFormat="1" x14ac:dyDescent="0.3">
      <c r="A85" s="12"/>
      <c r="F85" s="21"/>
      <c r="G85" s="21"/>
      <c r="H85" s="15">
        <v>1990</v>
      </c>
      <c r="I85" s="18">
        <f t="shared" si="18"/>
        <v>3.2726998396769381E-2</v>
      </c>
      <c r="J85" s="15">
        <v>1991</v>
      </c>
      <c r="K85" s="18">
        <f t="shared" si="18"/>
        <v>0.29439687979462809</v>
      </c>
      <c r="L85" s="15">
        <v>1992</v>
      </c>
      <c r="M85" s="18">
        <f t="shared" si="19"/>
        <v>0.32935379739635628</v>
      </c>
      <c r="N85" s="15">
        <v>1993</v>
      </c>
      <c r="O85" s="18">
        <f t="shared" si="20"/>
        <v>0.2912069907063361</v>
      </c>
      <c r="P85" s="15">
        <v>1994</v>
      </c>
      <c r="Q85" s="18">
        <f t="shared" si="21"/>
        <v>5.23153337059101E-2</v>
      </c>
      <c r="R85" s="15">
        <v>1995</v>
      </c>
      <c r="S85" s="18">
        <f t="shared" si="22"/>
        <v>0</v>
      </c>
      <c r="T85" s="18">
        <f t="shared" si="23"/>
        <v>1</v>
      </c>
      <c r="U85" s="12"/>
      <c r="V85" s="17"/>
      <c r="W85" s="17"/>
      <c r="X85" s="12"/>
      <c r="Y85" s="12"/>
    </row>
    <row r="86" spans="1:36" s="11" customFormat="1" x14ac:dyDescent="0.3">
      <c r="A86" s="12"/>
      <c r="F86" s="21"/>
      <c r="G86" s="21"/>
      <c r="H86" s="15">
        <v>1991</v>
      </c>
      <c r="I86" s="18">
        <f t="shared" si="18"/>
        <v>3.1012260596606617E-3</v>
      </c>
      <c r="J86" s="15">
        <v>1992</v>
      </c>
      <c r="K86" s="18">
        <f t="shared" si="18"/>
        <v>5.325174474601807E-2</v>
      </c>
      <c r="L86" s="15">
        <v>1993</v>
      </c>
      <c r="M86" s="18">
        <f t="shared" si="19"/>
        <v>0.43084068106125256</v>
      </c>
      <c r="N86" s="15">
        <v>1994</v>
      </c>
      <c r="O86" s="18">
        <f t="shared" si="20"/>
        <v>0.50960345748132008</v>
      </c>
      <c r="P86" s="15">
        <v>1995</v>
      </c>
      <c r="Q86" s="18">
        <f t="shared" si="21"/>
        <v>3.2028906517486016E-3</v>
      </c>
      <c r="R86" s="15">
        <v>1996</v>
      </c>
      <c r="S86" s="18">
        <f t="shared" si="22"/>
        <v>0</v>
      </c>
      <c r="T86" s="18">
        <f t="shared" si="23"/>
        <v>1</v>
      </c>
      <c r="U86" s="12"/>
      <c r="V86" s="17"/>
      <c r="W86" s="17"/>
      <c r="X86" s="12"/>
      <c r="Y86" s="12"/>
    </row>
    <row r="87" spans="1:36" s="11" customFormat="1" x14ac:dyDescent="0.3">
      <c r="A87" s="12"/>
      <c r="F87" s="21"/>
      <c r="G87" s="21"/>
      <c r="H87" s="15">
        <v>1992</v>
      </c>
      <c r="I87" s="18">
        <f t="shared" si="18"/>
        <v>2.6789161475843884E-2</v>
      </c>
      <c r="J87" s="15">
        <v>1993</v>
      </c>
      <c r="K87" s="18">
        <f t="shared" si="18"/>
        <v>0.33802995938718539</v>
      </c>
      <c r="L87" s="15">
        <v>1994</v>
      </c>
      <c r="M87" s="18">
        <f t="shared" si="19"/>
        <v>0.56011462652097133</v>
      </c>
      <c r="N87" s="15">
        <v>1995</v>
      </c>
      <c r="O87" s="18">
        <f t="shared" si="20"/>
        <v>7.4497402446897162E-2</v>
      </c>
      <c r="P87" s="15">
        <v>1996</v>
      </c>
      <c r="Q87" s="18">
        <f t="shared" si="21"/>
        <v>5.6885016910232966E-4</v>
      </c>
      <c r="R87" s="15">
        <v>1997</v>
      </c>
      <c r="S87" s="18">
        <f t="shared" si="22"/>
        <v>0</v>
      </c>
      <c r="T87" s="18">
        <f t="shared" si="23"/>
        <v>1</v>
      </c>
      <c r="U87" s="12"/>
      <c r="V87" s="17"/>
      <c r="W87" s="17"/>
      <c r="X87" s="12"/>
      <c r="Y87" s="12"/>
    </row>
    <row r="88" spans="1:36" s="11" customFormat="1" x14ac:dyDescent="0.3">
      <c r="A88" s="12"/>
      <c r="F88" s="21"/>
      <c r="G88" s="21"/>
      <c r="H88" s="15">
        <v>1993</v>
      </c>
      <c r="I88" s="18">
        <f t="shared" si="18"/>
        <v>6.001261225795267E-3</v>
      </c>
      <c r="J88" s="15">
        <v>1994</v>
      </c>
      <c r="K88" s="18">
        <f t="shared" si="18"/>
        <v>0.2808940983983868</v>
      </c>
      <c r="L88" s="15">
        <v>1995</v>
      </c>
      <c r="M88" s="18">
        <f t="shared" si="19"/>
        <v>0.64481396204139441</v>
      </c>
      <c r="N88" s="15">
        <v>1996</v>
      </c>
      <c r="O88" s="18">
        <f t="shared" si="20"/>
        <v>6.8290678334423427E-2</v>
      </c>
      <c r="P88" s="15">
        <v>1997</v>
      </c>
      <c r="Q88" s="18">
        <f t="shared" si="21"/>
        <v>0</v>
      </c>
      <c r="R88" s="15">
        <v>1998</v>
      </c>
      <c r="S88" s="18">
        <f t="shared" si="22"/>
        <v>0</v>
      </c>
      <c r="T88" s="18">
        <f t="shared" si="23"/>
        <v>1</v>
      </c>
      <c r="U88" s="12"/>
      <c r="V88" s="17"/>
      <c r="W88" s="17"/>
      <c r="X88" s="12"/>
      <c r="Y88" s="12"/>
      <c r="Z88" s="12"/>
    </row>
    <row r="89" spans="1:36" s="11" customFormat="1" x14ac:dyDescent="0.3">
      <c r="A89" s="12"/>
      <c r="F89" s="21"/>
      <c r="G89" s="21"/>
      <c r="H89" s="15">
        <v>1994</v>
      </c>
      <c r="I89" s="18"/>
      <c r="J89" s="15">
        <v>1995</v>
      </c>
      <c r="K89" s="18"/>
      <c r="L89" s="15">
        <v>1996</v>
      </c>
      <c r="M89" s="18"/>
      <c r="N89" s="15">
        <v>1997</v>
      </c>
      <c r="O89" s="18"/>
      <c r="P89" s="15">
        <v>1998</v>
      </c>
      <c r="Q89" s="18"/>
      <c r="R89" s="15">
        <v>1999</v>
      </c>
      <c r="S89" s="18"/>
      <c r="U89" s="12"/>
      <c r="V89" s="17"/>
      <c r="W89" s="17"/>
      <c r="X89" s="12"/>
      <c r="Y89" s="12"/>
      <c r="Z89" s="12"/>
    </row>
    <row r="90" spans="1:36" s="11" customFormat="1" x14ac:dyDescent="0.3">
      <c r="A90" s="12"/>
      <c r="F90" s="21"/>
      <c r="G90" s="21"/>
      <c r="H90" s="15">
        <v>1995</v>
      </c>
      <c r="I90" s="18"/>
      <c r="J90" s="15">
        <v>1996</v>
      </c>
      <c r="K90" s="18"/>
      <c r="L90" s="15">
        <v>1997</v>
      </c>
      <c r="M90" s="18"/>
      <c r="N90" s="15">
        <v>1998</v>
      </c>
      <c r="O90" s="18"/>
      <c r="P90" s="15">
        <v>1999</v>
      </c>
      <c r="Q90" s="18"/>
      <c r="R90" s="15">
        <v>2000</v>
      </c>
      <c r="S90" s="18"/>
      <c r="U90" s="12"/>
      <c r="V90" s="17"/>
      <c r="W90" s="17"/>
      <c r="X90" s="12"/>
      <c r="Y90" s="12"/>
      <c r="Z90" s="12"/>
    </row>
    <row r="91" spans="1:36" s="11" customFormat="1" x14ac:dyDescent="0.3">
      <c r="A91" s="12"/>
      <c r="F91" s="21"/>
      <c r="G91" s="21"/>
      <c r="H91" s="15">
        <v>1996</v>
      </c>
      <c r="I91" s="18"/>
      <c r="J91" s="15">
        <v>1997</v>
      </c>
      <c r="K91" s="18"/>
      <c r="L91" s="15">
        <v>1998</v>
      </c>
      <c r="M91" s="18"/>
      <c r="N91" s="15">
        <v>1999</v>
      </c>
      <c r="O91" s="18"/>
      <c r="P91" s="15">
        <v>2000</v>
      </c>
      <c r="Q91" s="18"/>
      <c r="R91" s="15">
        <v>2001</v>
      </c>
      <c r="S91" s="18"/>
      <c r="U91" s="12"/>
      <c r="V91" s="17"/>
      <c r="W91" s="17"/>
      <c r="X91" s="12"/>
      <c r="Y91" s="12"/>
      <c r="Z91" s="12"/>
    </row>
    <row r="92" spans="1:36" s="11" customFormat="1" x14ac:dyDescent="0.3">
      <c r="A92" s="12"/>
      <c r="F92" s="21"/>
      <c r="G92" s="21"/>
      <c r="H92" s="15">
        <v>1997</v>
      </c>
      <c r="I92" s="18"/>
      <c r="J92" s="15">
        <v>1998</v>
      </c>
      <c r="K92" s="18"/>
      <c r="L92" s="15">
        <v>1999</v>
      </c>
      <c r="M92" s="18"/>
      <c r="N92" s="15">
        <v>2000</v>
      </c>
      <c r="O92" s="18"/>
      <c r="P92" s="15">
        <v>2001</v>
      </c>
      <c r="Q92" s="18"/>
      <c r="R92" s="15">
        <v>2002</v>
      </c>
      <c r="S92" s="18"/>
      <c r="U92" s="12"/>
      <c r="V92" s="17"/>
      <c r="W92" s="17"/>
      <c r="X92" s="12"/>
      <c r="Y92" s="12"/>
      <c r="Z92" s="12"/>
    </row>
    <row r="93" spans="1:36" s="11" customFormat="1" x14ac:dyDescent="0.3">
      <c r="A93" s="12"/>
      <c r="F93" s="21"/>
      <c r="G93" s="21"/>
      <c r="H93" s="15">
        <v>1998</v>
      </c>
      <c r="I93" s="18"/>
      <c r="J93" s="15">
        <v>1999</v>
      </c>
      <c r="K93" s="18"/>
      <c r="L93" s="15">
        <v>2000</v>
      </c>
      <c r="M93" s="18"/>
      <c r="N93" s="15">
        <v>2001</v>
      </c>
      <c r="O93" s="18"/>
      <c r="P93" s="15">
        <v>2002</v>
      </c>
      <c r="Q93" s="18"/>
      <c r="R93" s="15">
        <v>2003</v>
      </c>
      <c r="S93" s="18"/>
      <c r="U93" s="12"/>
      <c r="V93" s="17"/>
      <c r="W93" s="17"/>
      <c r="X93" s="12"/>
      <c r="Y93" s="12"/>
      <c r="Z93" s="12"/>
    </row>
    <row r="94" spans="1:36" s="11" customFormat="1" x14ac:dyDescent="0.3">
      <c r="A94" s="12"/>
      <c r="F94" s="21"/>
      <c r="G94" s="21"/>
      <c r="H94" s="15">
        <v>1999</v>
      </c>
      <c r="I94" s="18">
        <f t="shared" si="18"/>
        <v>1.7596731748393945E-2</v>
      </c>
      <c r="J94" s="15">
        <v>2000</v>
      </c>
      <c r="K94" s="18">
        <f t="shared" si="18"/>
        <v>0.13973808070092963</v>
      </c>
      <c r="L94" s="15">
        <v>2001</v>
      </c>
      <c r="M94" s="18">
        <f t="shared" ref="M94:M110" si="24">M60/$T60</f>
        <v>0.47214615528032666</v>
      </c>
      <c r="N94" s="15">
        <v>2002</v>
      </c>
      <c r="O94" s="18">
        <f t="shared" ref="O94:O110" si="25">O60/$T60</f>
        <v>0.35948122405222144</v>
      </c>
      <c r="P94" s="15">
        <v>2003</v>
      </c>
      <c r="Q94" s="18">
        <f t="shared" ref="Q94:Q110" si="26">Q60/$T60</f>
        <v>1.1037808218128317E-2</v>
      </c>
      <c r="R94" s="15">
        <v>2004</v>
      </c>
      <c r="S94" s="18">
        <f t="shared" ref="S94:S110" si="27">S60/$T60</f>
        <v>0</v>
      </c>
      <c r="T94" s="18">
        <f t="shared" ref="T94:T110" si="28">SUM(I94,K94,M94,O94,Q94,S94)</f>
        <v>0.99999999999999989</v>
      </c>
      <c r="U94" s="12"/>
      <c r="V94" s="17"/>
      <c r="W94" s="17"/>
      <c r="X94" s="12"/>
      <c r="Y94" s="12"/>
      <c r="Z94" s="12"/>
    </row>
    <row r="95" spans="1:36" x14ac:dyDescent="0.3">
      <c r="H95" s="15">
        <v>2000</v>
      </c>
      <c r="I95" s="18">
        <f t="shared" si="18"/>
        <v>2.9434312425481186E-3</v>
      </c>
      <c r="J95" s="15">
        <v>2001</v>
      </c>
      <c r="K95" s="18">
        <f t="shared" si="18"/>
        <v>4.7195437212096993E-2</v>
      </c>
      <c r="L95" s="15">
        <v>2002</v>
      </c>
      <c r="M95" s="18">
        <f t="shared" si="24"/>
        <v>0.48363007018920656</v>
      </c>
      <c r="N95" s="15">
        <v>2003</v>
      </c>
      <c r="O95" s="18">
        <f t="shared" si="25"/>
        <v>0.46623106135614828</v>
      </c>
      <c r="P95" s="15">
        <v>2004</v>
      </c>
      <c r="Q95" s="18">
        <f t="shared" si="26"/>
        <v>0</v>
      </c>
      <c r="R95" s="15">
        <v>2005</v>
      </c>
      <c r="S95" s="18">
        <f t="shared" si="27"/>
        <v>0</v>
      </c>
      <c r="T95" s="18">
        <f t="shared" si="28"/>
        <v>1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s="11" customFormat="1" x14ac:dyDescent="0.3">
      <c r="A96" s="12"/>
      <c r="F96" s="21"/>
      <c r="G96" s="21"/>
      <c r="H96" s="15">
        <v>2001</v>
      </c>
      <c r="I96" s="18">
        <f t="shared" si="18"/>
        <v>1.6818515012275641E-3</v>
      </c>
      <c r="J96" s="15">
        <v>2002</v>
      </c>
      <c r="K96" s="18">
        <f t="shared" si="18"/>
        <v>0.13179155519544122</v>
      </c>
      <c r="L96" s="15">
        <v>2003</v>
      </c>
      <c r="M96" s="18">
        <f t="shared" si="24"/>
        <v>0.79410562302488186</v>
      </c>
      <c r="N96" s="15">
        <v>2004</v>
      </c>
      <c r="O96" s="18">
        <f t="shared" si="25"/>
        <v>7.1664122515603071E-2</v>
      </c>
      <c r="P96" s="15">
        <v>2005</v>
      </c>
      <c r="Q96" s="18">
        <f t="shared" si="26"/>
        <v>7.5684776284614221E-4</v>
      </c>
      <c r="R96" s="15">
        <v>2006</v>
      </c>
      <c r="S96" s="18">
        <f t="shared" si="27"/>
        <v>0</v>
      </c>
      <c r="T96" s="18">
        <f t="shared" si="28"/>
        <v>0.99999999999999989</v>
      </c>
      <c r="U96" s="12"/>
      <c r="V96" s="17"/>
      <c r="W96" s="17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1" customFormat="1" x14ac:dyDescent="0.3">
      <c r="A97" s="12"/>
      <c r="F97" s="21"/>
      <c r="G97" s="21"/>
      <c r="H97" s="15">
        <v>2002</v>
      </c>
      <c r="I97" s="18">
        <f t="shared" ref="I97:K110" si="29">I63/$T63</f>
        <v>7.2111627385657939E-4</v>
      </c>
      <c r="J97" s="15">
        <v>2003</v>
      </c>
      <c r="K97" s="18">
        <f t="shared" si="29"/>
        <v>7.0490378568990611E-2</v>
      </c>
      <c r="L97" s="15">
        <v>2004</v>
      </c>
      <c r="M97" s="18">
        <f t="shared" si="24"/>
        <v>0.82983297889142627</v>
      </c>
      <c r="N97" s="15">
        <v>2005</v>
      </c>
      <c r="O97" s="18">
        <f t="shared" si="25"/>
        <v>9.8955526265726471E-2</v>
      </c>
      <c r="P97" s="15">
        <v>2006</v>
      </c>
      <c r="Q97" s="18">
        <f t="shared" si="26"/>
        <v>0</v>
      </c>
      <c r="R97" s="15">
        <v>2007</v>
      </c>
      <c r="S97" s="18">
        <f t="shared" si="27"/>
        <v>0</v>
      </c>
      <c r="T97" s="18">
        <f t="shared" si="28"/>
        <v>0.99999999999999989</v>
      </c>
      <c r="U97" s="12"/>
      <c r="V97" s="17"/>
      <c r="W97" s="17"/>
      <c r="X97" s="12"/>
      <c r="Y97" s="12"/>
      <c r="Z97" s="12"/>
    </row>
    <row r="98" spans="1:36" x14ac:dyDescent="0.3">
      <c r="H98" s="15">
        <v>2003</v>
      </c>
      <c r="I98" s="18">
        <f t="shared" si="29"/>
        <v>3.8654232491713592E-4</v>
      </c>
      <c r="J98" s="15">
        <v>2004</v>
      </c>
      <c r="K98" s="18">
        <f t="shared" si="29"/>
        <v>0.35151572274758491</v>
      </c>
      <c r="L98" s="15">
        <v>2005</v>
      </c>
      <c r="M98" s="18">
        <f t="shared" si="24"/>
        <v>0.50941929421347398</v>
      </c>
      <c r="N98" s="15">
        <v>2006</v>
      </c>
      <c r="O98" s="18">
        <f t="shared" si="25"/>
        <v>0.13669774318444691</v>
      </c>
      <c r="P98" s="15">
        <v>2007</v>
      </c>
      <c r="Q98" s="18">
        <f t="shared" si="26"/>
        <v>1.9806975295771469E-3</v>
      </c>
      <c r="R98" s="15">
        <v>2008</v>
      </c>
      <c r="S98" s="18">
        <f t="shared" si="27"/>
        <v>0</v>
      </c>
      <c r="T98" s="18">
        <f t="shared" si="28"/>
        <v>1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x14ac:dyDescent="0.3">
      <c r="H99" s="15">
        <v>2004</v>
      </c>
      <c r="I99" s="18">
        <f t="shared" si="29"/>
        <v>1.132772315090368E-2</v>
      </c>
      <c r="J99" s="15">
        <v>2005</v>
      </c>
      <c r="K99" s="18">
        <f t="shared" si="29"/>
        <v>0.24657936260731619</v>
      </c>
      <c r="L99" s="15">
        <v>2006</v>
      </c>
      <c r="M99" s="18">
        <f t="shared" si="24"/>
        <v>0.5953984522910607</v>
      </c>
      <c r="N99" s="15">
        <v>2007</v>
      </c>
      <c r="O99" s="18">
        <f t="shared" si="25"/>
        <v>0.14601231474429624</v>
      </c>
      <c r="P99" s="15">
        <v>2008</v>
      </c>
      <c r="Q99" s="18">
        <f t="shared" si="26"/>
        <v>6.8214720642314607E-4</v>
      </c>
      <c r="R99" s="15">
        <v>2009</v>
      </c>
      <c r="S99" s="18">
        <f t="shared" si="27"/>
        <v>0</v>
      </c>
      <c r="T99" s="18">
        <f t="shared" si="28"/>
        <v>0.99999999999999989</v>
      </c>
    </row>
    <row r="100" spans="1:36" x14ac:dyDescent="0.3">
      <c r="H100" s="15">
        <v>2005</v>
      </c>
      <c r="I100" s="18">
        <f t="shared" si="29"/>
        <v>9.1527576063648603E-3</v>
      </c>
      <c r="J100" s="15">
        <v>2006</v>
      </c>
      <c r="K100" s="18">
        <f t="shared" si="29"/>
        <v>0.50550038570982769</v>
      </c>
      <c r="L100" s="15">
        <v>2007</v>
      </c>
      <c r="M100" s="18">
        <f t="shared" si="24"/>
        <v>0.46834980573366819</v>
      </c>
      <c r="N100" s="15">
        <v>2008</v>
      </c>
      <c r="O100" s="18">
        <f t="shared" si="25"/>
        <v>1.6997050950139325E-2</v>
      </c>
      <c r="P100" s="15">
        <v>2009</v>
      </c>
      <c r="Q100" s="18">
        <f t="shared" si="26"/>
        <v>0</v>
      </c>
      <c r="R100" s="15">
        <v>2010</v>
      </c>
      <c r="S100" s="18">
        <f t="shared" si="27"/>
        <v>0</v>
      </c>
      <c r="T100" s="18">
        <f t="shared" si="28"/>
        <v>1.0000000000000002</v>
      </c>
    </row>
    <row r="101" spans="1:36" x14ac:dyDescent="0.3">
      <c r="H101" s="15">
        <v>2006</v>
      </c>
      <c r="I101" s="18">
        <f t="shared" si="29"/>
        <v>0</v>
      </c>
      <c r="J101" s="15">
        <v>2007</v>
      </c>
      <c r="K101" s="18">
        <f t="shared" si="29"/>
        <v>0.3794785150922918</v>
      </c>
      <c r="L101" s="15">
        <v>2008</v>
      </c>
      <c r="M101" s="18">
        <f t="shared" si="24"/>
        <v>0.58647757559965352</v>
      </c>
      <c r="N101" s="15">
        <v>2009</v>
      </c>
      <c r="O101" s="18">
        <f t="shared" si="25"/>
        <v>3.4043909308054732E-2</v>
      </c>
      <c r="P101" s="15">
        <v>2010</v>
      </c>
      <c r="Q101" s="18">
        <f t="shared" si="26"/>
        <v>0</v>
      </c>
      <c r="R101" s="15">
        <v>2011</v>
      </c>
      <c r="S101" s="18">
        <f t="shared" si="27"/>
        <v>0</v>
      </c>
      <c r="T101" s="18">
        <f t="shared" si="28"/>
        <v>1</v>
      </c>
    </row>
    <row r="102" spans="1:36" x14ac:dyDescent="0.3">
      <c r="H102" s="15">
        <v>2007</v>
      </c>
      <c r="I102" s="18">
        <f t="shared" si="29"/>
        <v>0</v>
      </c>
      <c r="J102" s="15">
        <v>2008</v>
      </c>
      <c r="K102" s="18">
        <f t="shared" si="29"/>
        <v>0.10304865948122237</v>
      </c>
      <c r="L102" s="15">
        <v>2009</v>
      </c>
      <c r="M102" s="18">
        <f t="shared" si="24"/>
        <v>0.69293739053049952</v>
      </c>
      <c r="N102" s="15">
        <v>2010</v>
      </c>
      <c r="O102" s="18">
        <f t="shared" si="25"/>
        <v>0.20401394998827801</v>
      </c>
      <c r="P102" s="15">
        <v>2011</v>
      </c>
      <c r="Q102" s="18">
        <f t="shared" si="26"/>
        <v>0</v>
      </c>
      <c r="R102" s="15">
        <v>2012</v>
      </c>
      <c r="S102" s="18">
        <f t="shared" si="27"/>
        <v>0</v>
      </c>
      <c r="T102" s="18">
        <f t="shared" si="28"/>
        <v>0.99999999999999989</v>
      </c>
    </row>
    <row r="103" spans="1:36" x14ac:dyDescent="0.3">
      <c r="H103" s="15">
        <v>2008</v>
      </c>
      <c r="I103" s="18">
        <f t="shared" si="29"/>
        <v>2.2170786674534813E-3</v>
      </c>
      <c r="J103" s="15">
        <v>2009</v>
      </c>
      <c r="K103" s="18">
        <f t="shared" si="29"/>
        <v>0.16088774171859155</v>
      </c>
      <c r="L103" s="15">
        <v>2010</v>
      </c>
      <c r="M103" s="18">
        <f t="shared" si="24"/>
        <v>0.47964090046695168</v>
      </c>
      <c r="N103" s="15">
        <v>2011</v>
      </c>
      <c r="O103" s="18">
        <f t="shared" si="25"/>
        <v>0.35725427914700325</v>
      </c>
      <c r="P103" s="15">
        <v>2012</v>
      </c>
      <c r="Q103" s="18">
        <f t="shared" si="26"/>
        <v>0</v>
      </c>
      <c r="R103" s="15">
        <v>2013</v>
      </c>
      <c r="S103" s="18">
        <f t="shared" si="27"/>
        <v>0</v>
      </c>
      <c r="T103" s="18">
        <f t="shared" si="28"/>
        <v>1</v>
      </c>
    </row>
    <row r="104" spans="1:36" x14ac:dyDescent="0.3">
      <c r="H104" s="15">
        <v>2009</v>
      </c>
      <c r="I104" s="18">
        <f t="shared" si="29"/>
        <v>1.8569916842404884E-2</v>
      </c>
      <c r="J104" s="15">
        <v>2010</v>
      </c>
      <c r="K104" s="18">
        <f t="shared" si="29"/>
        <v>0.39695685940823872</v>
      </c>
      <c r="L104" s="15">
        <v>2011</v>
      </c>
      <c r="M104" s="18">
        <f t="shared" si="24"/>
        <v>0.5185629735569055</v>
      </c>
      <c r="N104" s="15">
        <v>2012</v>
      </c>
      <c r="O104" s="18">
        <f t="shared" si="25"/>
        <v>6.5910250192451003E-2</v>
      </c>
      <c r="P104" s="15">
        <v>2013</v>
      </c>
      <c r="Q104" s="18">
        <f t="shared" si="26"/>
        <v>0</v>
      </c>
      <c r="R104" s="15">
        <v>2014</v>
      </c>
      <c r="S104" s="18">
        <f t="shared" si="27"/>
        <v>0</v>
      </c>
      <c r="T104" s="18">
        <f t="shared" si="28"/>
        <v>1</v>
      </c>
    </row>
    <row r="105" spans="1:36" x14ac:dyDescent="0.3">
      <c r="H105" s="15">
        <v>2010</v>
      </c>
      <c r="I105" s="18">
        <f t="shared" si="29"/>
        <v>0</v>
      </c>
      <c r="J105" s="15">
        <v>2011</v>
      </c>
      <c r="K105" s="18">
        <f t="shared" si="29"/>
        <v>0.11208283088511299</v>
      </c>
      <c r="L105" s="15">
        <v>2012</v>
      </c>
      <c r="M105" s="18">
        <f t="shared" si="24"/>
        <v>0.56736995768406351</v>
      </c>
      <c r="N105" s="15">
        <v>2013</v>
      </c>
      <c r="O105" s="18">
        <f t="shared" si="25"/>
        <v>0.31733125818892471</v>
      </c>
      <c r="P105" s="15">
        <v>2014</v>
      </c>
      <c r="Q105" s="18">
        <f t="shared" si="26"/>
        <v>3.2159532418988427E-3</v>
      </c>
      <c r="R105" s="15">
        <v>2015</v>
      </c>
      <c r="S105" s="18">
        <f t="shared" si="27"/>
        <v>0</v>
      </c>
      <c r="T105" s="18">
        <f t="shared" si="28"/>
        <v>1</v>
      </c>
    </row>
    <row r="106" spans="1:36" x14ac:dyDescent="0.3">
      <c r="H106" s="15">
        <v>2011</v>
      </c>
      <c r="I106" s="18">
        <f t="shared" si="29"/>
        <v>3.5983259103415099E-2</v>
      </c>
      <c r="J106" s="15">
        <v>2012</v>
      </c>
      <c r="K106" s="18">
        <f t="shared" si="29"/>
        <v>0.35281043523960942</v>
      </c>
      <c r="L106" s="15">
        <v>2013</v>
      </c>
      <c r="M106" s="18">
        <f t="shared" si="24"/>
        <v>0.53745600621204381</v>
      </c>
      <c r="N106" s="15">
        <v>2014</v>
      </c>
      <c r="O106" s="18">
        <f t="shared" si="25"/>
        <v>7.3750299444931555E-2</v>
      </c>
      <c r="P106" s="15">
        <v>2015</v>
      </c>
      <c r="Q106" s="18">
        <f t="shared" si="26"/>
        <v>0</v>
      </c>
      <c r="R106" s="15">
        <v>2016</v>
      </c>
      <c r="S106" s="18">
        <f t="shared" si="27"/>
        <v>0</v>
      </c>
      <c r="T106" s="18">
        <f t="shared" si="28"/>
        <v>0.99999999999999978</v>
      </c>
    </row>
    <row r="107" spans="1:36" x14ac:dyDescent="0.3">
      <c r="H107" s="15">
        <v>2012</v>
      </c>
      <c r="I107" s="18">
        <f t="shared" si="29"/>
        <v>0.14625808746374347</v>
      </c>
      <c r="J107" s="15">
        <v>2013</v>
      </c>
      <c r="K107" s="18">
        <f t="shared" si="29"/>
        <v>0.41744374657038669</v>
      </c>
      <c r="L107" s="15">
        <v>2014</v>
      </c>
      <c r="M107" s="18">
        <f t="shared" si="24"/>
        <v>0.428474137207913</v>
      </c>
      <c r="N107" s="15">
        <v>2015</v>
      </c>
      <c r="O107" s="18">
        <f t="shared" si="25"/>
        <v>7.8240287579568121E-3</v>
      </c>
      <c r="P107" s="15">
        <v>2016</v>
      </c>
      <c r="Q107" s="18">
        <f t="shared" si="26"/>
        <v>0</v>
      </c>
      <c r="R107" s="15">
        <v>2017</v>
      </c>
      <c r="S107" s="18">
        <f t="shared" si="27"/>
        <v>0</v>
      </c>
      <c r="T107" s="18">
        <f t="shared" si="28"/>
        <v>1</v>
      </c>
    </row>
    <row r="108" spans="1:36" x14ac:dyDescent="0.3">
      <c r="H108" s="15">
        <v>2013</v>
      </c>
      <c r="I108" s="18">
        <f t="shared" si="29"/>
        <v>9.4076026039850616E-2</v>
      </c>
      <c r="J108" s="15">
        <v>2014</v>
      </c>
      <c r="K108" s="18">
        <f t="shared" si="29"/>
        <v>0.35816052649927899</v>
      </c>
      <c r="L108" s="15">
        <v>2015</v>
      </c>
      <c r="M108" s="18">
        <f t="shared" si="24"/>
        <v>0.50512225953795831</v>
      </c>
      <c r="N108" s="15">
        <v>2016</v>
      </c>
      <c r="O108" s="18">
        <f t="shared" si="25"/>
        <v>4.2641187922912119E-2</v>
      </c>
      <c r="P108" s="15">
        <v>2017</v>
      </c>
      <c r="Q108" s="18">
        <f t="shared" si="26"/>
        <v>0</v>
      </c>
      <c r="R108" s="15">
        <v>2018</v>
      </c>
      <c r="S108" s="18">
        <f t="shared" si="27"/>
        <v>0</v>
      </c>
      <c r="T108" s="18">
        <f t="shared" si="28"/>
        <v>1</v>
      </c>
    </row>
    <row r="109" spans="1:36" x14ac:dyDescent="0.3">
      <c r="H109" s="15">
        <v>2014</v>
      </c>
      <c r="I109" s="18">
        <f t="shared" si="29"/>
        <v>0.11086883210367197</v>
      </c>
      <c r="J109" s="15">
        <v>2015</v>
      </c>
      <c r="K109" s="18">
        <f t="shared" si="29"/>
        <v>0.25895307961820185</v>
      </c>
      <c r="L109" s="15">
        <v>2016</v>
      </c>
      <c r="M109" s="18">
        <f t="shared" si="24"/>
        <v>0.37990268816501682</v>
      </c>
      <c r="N109" s="15">
        <v>2017</v>
      </c>
      <c r="O109" s="18">
        <f t="shared" si="25"/>
        <v>0.25027540011310934</v>
      </c>
      <c r="P109" s="15">
        <v>2018</v>
      </c>
      <c r="Q109" s="18">
        <f t="shared" si="26"/>
        <v>0</v>
      </c>
      <c r="R109" s="15">
        <v>2019</v>
      </c>
      <c r="S109" s="120">
        <f t="shared" si="27"/>
        <v>0</v>
      </c>
      <c r="T109" s="18">
        <f t="shared" si="28"/>
        <v>1</v>
      </c>
    </row>
    <row r="110" spans="1:36" x14ac:dyDescent="0.3">
      <c r="H110" s="15">
        <v>2015</v>
      </c>
      <c r="I110" s="18">
        <f t="shared" si="29"/>
        <v>3.8855561647815569E-2</v>
      </c>
      <c r="J110" s="15">
        <v>2016</v>
      </c>
      <c r="K110" s="18">
        <f t="shared" si="29"/>
        <v>0.39309809027013665</v>
      </c>
      <c r="L110" s="15">
        <v>2017</v>
      </c>
      <c r="M110" s="18">
        <f t="shared" si="24"/>
        <v>0.5384354121735424</v>
      </c>
      <c r="N110" s="15">
        <v>2018</v>
      </c>
      <c r="O110" s="18">
        <f t="shared" si="25"/>
        <v>2.9610935908505335E-2</v>
      </c>
      <c r="P110" s="15">
        <v>2019</v>
      </c>
      <c r="Q110" s="120">
        <f t="shared" si="26"/>
        <v>0</v>
      </c>
      <c r="R110" s="15">
        <v>2020</v>
      </c>
      <c r="S110" s="120">
        <f t="shared" si="27"/>
        <v>0</v>
      </c>
      <c r="T110" s="18">
        <f t="shared" si="28"/>
        <v>1</v>
      </c>
    </row>
    <row r="112" spans="1:36" x14ac:dyDescent="0.3">
      <c r="H112" s="20" t="s">
        <v>66</v>
      </c>
      <c r="I112" s="18">
        <f>AVERAGE(I80:I110)</f>
        <v>2.2743651152076695E-2</v>
      </c>
      <c r="K112" s="18">
        <f>AVERAGE(K80:K110)</f>
        <v>0.25169561801264095</v>
      </c>
      <c r="M112" s="18">
        <f>AVERAGE(M80:M110)</f>
        <v>0.52451097607300623</v>
      </c>
      <c r="O112" s="18">
        <f>AVERAGE(O80:O110)</f>
        <v>0.19606738913140451</v>
      </c>
      <c r="Q112" s="18">
        <f>AVERAGE(Q80:Q110)</f>
        <v>4.9176595017855701E-3</v>
      </c>
      <c r="S112" s="18">
        <f>AVERAGE(S80:S110)</f>
        <v>6.4706129085894141E-5</v>
      </c>
      <c r="T112" s="18">
        <f t="shared" ref="T112:T115" si="30">SUM(I112,K112,M112,O112,Q112,S112)</f>
        <v>1</v>
      </c>
    </row>
    <row r="113" spans="8:20" x14ac:dyDescent="0.3">
      <c r="H113" s="20" t="s">
        <v>67</v>
      </c>
      <c r="I113" s="18">
        <f>MEDIAN(I80:I110)</f>
        <v>7.5770094160800636E-3</v>
      </c>
      <c r="K113" s="18">
        <f>MEDIAN(K80:K110)</f>
        <v>0.27229580913020524</v>
      </c>
      <c r="M113" s="18">
        <f>MEDIAN(M80:M110)</f>
        <v>0.52800948988447471</v>
      </c>
      <c r="O113" s="18">
        <f>MEDIAN(O80:O110)</f>
        <v>0.14135502896437158</v>
      </c>
      <c r="Q113" s="18">
        <f>MEDIAN(Q80:Q110)</f>
        <v>0</v>
      </c>
      <c r="S113" s="18">
        <f>MEDIAN(S80:S110)</f>
        <v>0</v>
      </c>
      <c r="T113" s="18">
        <f t="shared" si="30"/>
        <v>0.94923733739513161</v>
      </c>
    </row>
    <row r="115" spans="8:20" x14ac:dyDescent="0.3">
      <c r="H115" s="140" t="s">
        <v>156</v>
      </c>
      <c r="I115" s="18">
        <f>AVERAGE(I80:I88)</f>
        <v>1.1188446026380789E-2</v>
      </c>
      <c r="K115" s="18">
        <f>AVERAGE(K80:K88)</f>
        <v>0.23537274008926751</v>
      </c>
      <c r="M115" s="18">
        <f>AVERAGE(M80:M88)</f>
        <v>0.47222485523773028</v>
      </c>
      <c r="O115" s="18">
        <f>AVERAGE(O80:O88)</f>
        <v>0.26878417504175645</v>
      </c>
      <c r="Q115" s="18">
        <f>AVERAGE(Q80:Q88)</f>
        <v>1.224285478750569E-2</v>
      </c>
      <c r="S115" s="18">
        <f>AVERAGE(S80:S88)</f>
        <v>1.8692881735924972E-4</v>
      </c>
      <c r="T115" s="18">
        <f t="shared" si="30"/>
        <v>0.99999999999999989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1447-29F0-404C-B461-0DC635F700C9}">
  <dimension ref="A1:K39"/>
  <sheetViews>
    <sheetView workbookViewId="0"/>
  </sheetViews>
  <sheetFormatPr defaultRowHeight="13.2" x14ac:dyDescent="0.25"/>
  <cols>
    <col min="2" max="5" width="14.6640625" customWidth="1"/>
    <col min="6" max="6" width="16.109375" bestFit="1" customWidth="1"/>
    <col min="7" max="7" width="16.109375" customWidth="1"/>
    <col min="8" max="8" width="22.44140625" bestFit="1" customWidth="1"/>
    <col min="9" max="9" width="14.109375" customWidth="1"/>
  </cols>
  <sheetData>
    <row r="1" spans="1:9" ht="15.6" x14ac:dyDescent="0.3">
      <c r="A1" s="76" t="s">
        <v>93</v>
      </c>
      <c r="B1" s="66"/>
      <c r="C1" s="66"/>
      <c r="D1" s="66"/>
      <c r="E1" s="66"/>
      <c r="F1" s="66"/>
      <c r="G1" s="66"/>
      <c r="H1" s="66"/>
    </row>
    <row r="2" spans="1:9" ht="15.6" x14ac:dyDescent="0.3">
      <c r="A2" s="77" t="s">
        <v>106</v>
      </c>
      <c r="B2" s="66"/>
      <c r="C2" s="66"/>
      <c r="D2" s="66"/>
      <c r="E2" s="66"/>
      <c r="F2" s="66"/>
      <c r="G2" s="66"/>
      <c r="H2" s="66"/>
    </row>
    <row r="4" spans="1:9" ht="43.2" x14ac:dyDescent="0.3">
      <c r="A4" s="68" t="s">
        <v>94</v>
      </c>
      <c r="B4" s="69" t="s">
        <v>95</v>
      </c>
      <c r="C4" s="69" t="s">
        <v>96</v>
      </c>
      <c r="D4" s="69" t="s">
        <v>97</v>
      </c>
      <c r="E4" s="69" t="s">
        <v>98</v>
      </c>
      <c r="F4" s="69" t="s">
        <v>107</v>
      </c>
      <c r="G4" s="78" t="s">
        <v>108</v>
      </c>
      <c r="H4" s="69" t="s">
        <v>99</v>
      </c>
      <c r="I4" s="68" t="s">
        <v>100</v>
      </c>
    </row>
    <row r="5" spans="1:9" ht="14.4" x14ac:dyDescent="0.3">
      <c r="A5" s="67">
        <v>1985</v>
      </c>
      <c r="B5" s="86">
        <v>10669</v>
      </c>
      <c r="C5" s="221">
        <v>20</v>
      </c>
      <c r="D5" s="221">
        <v>97</v>
      </c>
      <c r="E5" s="221">
        <v>141</v>
      </c>
      <c r="F5" s="221"/>
      <c r="G5" s="70">
        <f t="shared" ref="G5:G11" si="0">SUM(E5:F5)</f>
        <v>141</v>
      </c>
      <c r="H5" s="66" t="s">
        <v>92</v>
      </c>
      <c r="I5" s="67"/>
    </row>
    <row r="6" spans="1:9" ht="14.4" x14ac:dyDescent="0.3">
      <c r="A6" s="67">
        <v>1986</v>
      </c>
      <c r="B6" s="86">
        <v>9414</v>
      </c>
      <c r="C6" s="221">
        <v>11</v>
      </c>
      <c r="D6" s="221">
        <v>86</v>
      </c>
      <c r="E6" s="221">
        <v>12</v>
      </c>
      <c r="F6" s="221"/>
      <c r="G6" s="70">
        <f t="shared" si="0"/>
        <v>12</v>
      </c>
      <c r="H6" s="66" t="s">
        <v>92</v>
      </c>
      <c r="I6" s="67"/>
    </row>
    <row r="7" spans="1:9" ht="14.4" x14ac:dyDescent="0.3">
      <c r="A7" s="67">
        <v>1987</v>
      </c>
      <c r="B7" s="86">
        <v>12990</v>
      </c>
      <c r="C7" s="221">
        <v>27</v>
      </c>
      <c r="D7" s="221">
        <v>199</v>
      </c>
      <c r="E7" s="221">
        <v>86</v>
      </c>
      <c r="F7" s="221"/>
      <c r="G7" s="70">
        <f t="shared" si="0"/>
        <v>86</v>
      </c>
      <c r="H7" s="66" t="s">
        <v>92</v>
      </c>
      <c r="I7" s="67"/>
    </row>
    <row r="8" spans="1:9" ht="14.4" x14ac:dyDescent="0.3">
      <c r="A8" s="67">
        <v>1988</v>
      </c>
      <c r="B8" s="86">
        <v>1889</v>
      </c>
      <c r="C8" s="221">
        <v>41</v>
      </c>
      <c r="D8" s="221">
        <v>334</v>
      </c>
      <c r="E8" s="221">
        <v>6</v>
      </c>
      <c r="F8" s="221"/>
      <c r="G8" s="70">
        <f t="shared" si="0"/>
        <v>6</v>
      </c>
      <c r="H8" s="66" t="s">
        <v>92</v>
      </c>
      <c r="I8" s="67"/>
    </row>
    <row r="9" spans="1:9" ht="14.4" x14ac:dyDescent="0.3">
      <c r="A9" s="67">
        <v>1989</v>
      </c>
      <c r="B9" s="86">
        <v>28669</v>
      </c>
      <c r="C9" s="221">
        <v>303</v>
      </c>
      <c r="D9" s="221">
        <v>2685</v>
      </c>
      <c r="E9" s="221">
        <v>1</v>
      </c>
      <c r="F9" s="221"/>
      <c r="G9" s="70">
        <f t="shared" si="0"/>
        <v>1</v>
      </c>
      <c r="H9" s="66" t="s">
        <v>92</v>
      </c>
      <c r="I9" s="67"/>
    </row>
    <row r="10" spans="1:9" ht="14.4" x14ac:dyDescent="0.3">
      <c r="A10" s="67">
        <v>1990</v>
      </c>
      <c r="B10" s="86">
        <v>72517</v>
      </c>
      <c r="C10" s="221">
        <v>597</v>
      </c>
      <c r="D10" s="221">
        <v>5326</v>
      </c>
      <c r="E10" s="221">
        <v>0</v>
      </c>
      <c r="F10" s="221"/>
      <c r="G10" s="70">
        <f t="shared" si="0"/>
        <v>0</v>
      </c>
      <c r="H10" s="66" t="s">
        <v>92</v>
      </c>
      <c r="I10" s="67"/>
    </row>
    <row r="11" spans="1:9" ht="14.4" x14ac:dyDescent="0.3">
      <c r="A11" s="67">
        <v>1991</v>
      </c>
      <c r="B11" s="86">
        <v>45039</v>
      </c>
      <c r="C11" s="221">
        <v>412</v>
      </c>
      <c r="D11" s="221">
        <v>3105</v>
      </c>
      <c r="E11" s="221">
        <v>1</v>
      </c>
      <c r="F11" s="221"/>
      <c r="G11" s="70">
        <f t="shared" si="0"/>
        <v>1</v>
      </c>
      <c r="H11" s="66" t="s">
        <v>92</v>
      </c>
      <c r="I11" s="67"/>
    </row>
    <row r="12" spans="1:9" ht="14.4" x14ac:dyDescent="0.3">
      <c r="A12" s="67">
        <v>1992</v>
      </c>
      <c r="B12" s="86">
        <v>10231</v>
      </c>
      <c r="C12" s="221">
        <v>23</v>
      </c>
      <c r="D12" s="221">
        <v>96</v>
      </c>
      <c r="E12" s="221">
        <v>5</v>
      </c>
      <c r="F12" s="221"/>
      <c r="G12" s="70">
        <f>SUM(E12:F12)</f>
        <v>5</v>
      </c>
      <c r="H12" s="66" t="s">
        <v>92</v>
      </c>
      <c r="I12" s="67"/>
    </row>
    <row r="13" spans="1:9" ht="14.4" x14ac:dyDescent="0.3">
      <c r="A13" s="67">
        <v>1993</v>
      </c>
      <c r="B13" s="86">
        <v>24707</v>
      </c>
      <c r="C13" s="221">
        <v>325</v>
      </c>
      <c r="D13" s="221">
        <v>2326</v>
      </c>
      <c r="E13" s="221">
        <v>425</v>
      </c>
      <c r="F13" s="221">
        <v>261</v>
      </c>
      <c r="G13" s="70">
        <f t="shared" ref="G13:G22" si="1">SUM(E13:F13)</f>
        <v>686</v>
      </c>
      <c r="H13" s="66" t="s">
        <v>92</v>
      </c>
      <c r="I13" s="67"/>
    </row>
    <row r="14" spans="1:9" ht="14.4" x14ac:dyDescent="0.3">
      <c r="A14" s="67">
        <v>1994</v>
      </c>
      <c r="B14" s="86">
        <v>39216</v>
      </c>
      <c r="C14" s="221">
        <v>505</v>
      </c>
      <c r="D14" s="221">
        <v>4120</v>
      </c>
      <c r="E14" s="221">
        <v>1124</v>
      </c>
      <c r="F14" s="221">
        <v>203</v>
      </c>
      <c r="G14" s="70">
        <f t="shared" si="1"/>
        <v>1327</v>
      </c>
      <c r="H14" s="66" t="s">
        <v>92</v>
      </c>
      <c r="I14" s="67"/>
    </row>
    <row r="15" spans="1:9" ht="14.4" x14ac:dyDescent="0.3">
      <c r="A15" s="67">
        <v>1995</v>
      </c>
      <c r="B15" s="86">
        <v>34216</v>
      </c>
      <c r="C15" s="221">
        <v>390</v>
      </c>
      <c r="D15" s="221">
        <v>2968</v>
      </c>
      <c r="E15" s="221">
        <v>1487</v>
      </c>
      <c r="F15" s="221">
        <v>401</v>
      </c>
      <c r="G15" s="70">
        <f t="shared" si="1"/>
        <v>1888</v>
      </c>
      <c r="H15" s="66" t="s">
        <v>92</v>
      </c>
      <c r="I15" s="67"/>
    </row>
    <row r="16" spans="1:9" ht="14.4" x14ac:dyDescent="0.3">
      <c r="A16" s="67">
        <v>1996</v>
      </c>
      <c r="B16" s="86">
        <v>18725</v>
      </c>
      <c r="C16" s="221">
        <v>414</v>
      </c>
      <c r="D16" s="221">
        <v>3337</v>
      </c>
      <c r="E16" s="221">
        <v>1234</v>
      </c>
      <c r="F16" s="221">
        <v>34</v>
      </c>
      <c r="G16" s="70">
        <f t="shared" si="1"/>
        <v>1268</v>
      </c>
      <c r="H16" s="66" t="s">
        <v>92</v>
      </c>
      <c r="I16" s="67"/>
    </row>
    <row r="17" spans="1:11" ht="14.4" x14ac:dyDescent="0.3">
      <c r="A17" s="67">
        <v>1997</v>
      </c>
      <c r="B17" s="86">
        <v>28127</v>
      </c>
      <c r="C17" s="221">
        <v>315</v>
      </c>
      <c r="D17" s="221">
        <v>2253</v>
      </c>
      <c r="E17" s="221">
        <v>4794</v>
      </c>
      <c r="F17" s="221">
        <v>640</v>
      </c>
      <c r="G17" s="70">
        <f t="shared" si="1"/>
        <v>5434</v>
      </c>
      <c r="H17" s="66" t="s">
        <v>92</v>
      </c>
      <c r="I17" s="67"/>
    </row>
    <row r="18" spans="1:11" ht="14.4" x14ac:dyDescent="0.3">
      <c r="A18" s="67">
        <v>1998</v>
      </c>
      <c r="B18" s="86"/>
      <c r="C18" s="221">
        <v>529</v>
      </c>
      <c r="D18" s="221">
        <v>4296</v>
      </c>
      <c r="E18" s="221">
        <v>2401</v>
      </c>
      <c r="F18" s="221">
        <v>505</v>
      </c>
      <c r="G18" s="70">
        <f t="shared" si="1"/>
        <v>2906</v>
      </c>
      <c r="H18" s="66" t="s">
        <v>92</v>
      </c>
      <c r="I18" s="67"/>
    </row>
    <row r="19" spans="1:11" ht="14.4" x14ac:dyDescent="0.3">
      <c r="A19" s="67">
        <v>1999</v>
      </c>
      <c r="B19" s="86">
        <v>57469</v>
      </c>
      <c r="C19" s="221">
        <v>783</v>
      </c>
      <c r="D19" s="221">
        <v>6761</v>
      </c>
      <c r="E19" s="221">
        <v>2092</v>
      </c>
      <c r="F19" s="221">
        <v>649</v>
      </c>
      <c r="G19" s="70">
        <f t="shared" si="1"/>
        <v>2741</v>
      </c>
      <c r="H19" s="66" t="s">
        <v>92</v>
      </c>
      <c r="I19" s="67"/>
    </row>
    <row r="20" spans="1:11" ht="14.4" x14ac:dyDescent="0.3">
      <c r="A20" s="67">
        <v>2000</v>
      </c>
      <c r="B20" s="86">
        <v>2948</v>
      </c>
      <c r="C20" s="221">
        <v>17</v>
      </c>
      <c r="D20" s="221">
        <v>35</v>
      </c>
      <c r="E20" s="221">
        <v>583</v>
      </c>
      <c r="F20" s="221">
        <v>96</v>
      </c>
      <c r="G20" s="70">
        <f t="shared" si="1"/>
        <v>679</v>
      </c>
      <c r="H20" s="66" t="s">
        <v>92</v>
      </c>
      <c r="I20" s="67"/>
    </row>
    <row r="21" spans="1:11" ht="14.4" x14ac:dyDescent="0.3">
      <c r="A21" s="67">
        <v>2001</v>
      </c>
      <c r="B21" s="86">
        <v>3661</v>
      </c>
      <c r="C21" s="221">
        <v>5</v>
      </c>
      <c r="D21" s="221">
        <v>16</v>
      </c>
      <c r="E21" s="221">
        <v>662</v>
      </c>
      <c r="F21" s="221">
        <v>726</v>
      </c>
      <c r="G21" s="70">
        <f t="shared" si="1"/>
        <v>1388</v>
      </c>
      <c r="H21" s="66" t="s">
        <v>92</v>
      </c>
      <c r="I21" s="67"/>
    </row>
    <row r="22" spans="1:11" ht="14.4" x14ac:dyDescent="0.3">
      <c r="A22" s="67">
        <v>2002</v>
      </c>
      <c r="B22" s="86">
        <v>23918.447414749116</v>
      </c>
      <c r="C22" s="221">
        <v>195</v>
      </c>
      <c r="D22" s="221">
        <v>1255</v>
      </c>
      <c r="E22" s="221">
        <v>280</v>
      </c>
      <c r="F22" s="221">
        <v>331</v>
      </c>
      <c r="G22" s="70">
        <f t="shared" si="1"/>
        <v>611</v>
      </c>
      <c r="H22" s="66" t="s">
        <v>92</v>
      </c>
      <c r="I22" s="67"/>
    </row>
    <row r="23" spans="1:11" ht="14.4" x14ac:dyDescent="0.3">
      <c r="A23" s="67">
        <v>2003</v>
      </c>
      <c r="B23" s="86" t="s">
        <v>109</v>
      </c>
      <c r="C23" s="70">
        <v>756</v>
      </c>
      <c r="D23" s="70">
        <v>10591</v>
      </c>
      <c r="E23" s="70">
        <v>1079</v>
      </c>
      <c r="F23" s="70">
        <v>242</v>
      </c>
      <c r="G23" s="70">
        <f>SUM(E23:F23)</f>
        <v>1321</v>
      </c>
      <c r="H23" s="79" t="s">
        <v>110</v>
      </c>
      <c r="I23" s="72" t="s">
        <v>217</v>
      </c>
      <c r="K23" s="72"/>
    </row>
    <row r="24" spans="1:11" ht="14.4" x14ac:dyDescent="0.3">
      <c r="A24" s="67">
        <v>2004</v>
      </c>
      <c r="B24" s="86" t="s">
        <v>111</v>
      </c>
      <c r="C24" s="70">
        <v>781</v>
      </c>
      <c r="D24" s="70">
        <v>9338</v>
      </c>
      <c r="E24" s="70">
        <v>3133</v>
      </c>
      <c r="F24" s="70">
        <v>172</v>
      </c>
      <c r="G24" s="70">
        <f t="shared" ref="G24:G38" si="2">SUM(E24:F24)</f>
        <v>3305</v>
      </c>
      <c r="H24" s="79" t="s">
        <v>110</v>
      </c>
      <c r="I24" s="71" t="s">
        <v>101</v>
      </c>
      <c r="K24" s="71"/>
    </row>
    <row r="25" spans="1:11" ht="14.4" x14ac:dyDescent="0.3">
      <c r="A25" s="67">
        <v>2005</v>
      </c>
      <c r="B25" s="86" t="s">
        <v>112</v>
      </c>
      <c r="C25" s="70">
        <v>546</v>
      </c>
      <c r="D25" s="70">
        <v>5299</v>
      </c>
      <c r="E25" s="70">
        <v>1542</v>
      </c>
      <c r="F25" s="70">
        <v>454</v>
      </c>
      <c r="G25" s="70">
        <f t="shared" si="2"/>
        <v>1996</v>
      </c>
      <c r="H25" s="66" t="s">
        <v>92</v>
      </c>
    </row>
    <row r="26" spans="1:11" ht="14.4" x14ac:dyDescent="0.3">
      <c r="A26" s="67">
        <v>2006</v>
      </c>
      <c r="B26" s="86" t="s">
        <v>113</v>
      </c>
      <c r="C26" s="70">
        <v>916</v>
      </c>
      <c r="D26" s="70">
        <v>13683</v>
      </c>
      <c r="E26" s="70">
        <v>10856</v>
      </c>
      <c r="F26" s="70">
        <v>651</v>
      </c>
      <c r="G26" s="70">
        <f t="shared" si="2"/>
        <v>11507</v>
      </c>
      <c r="H26" s="79" t="s">
        <v>110</v>
      </c>
      <c r="I26" s="71" t="s">
        <v>102</v>
      </c>
      <c r="K26" s="71"/>
    </row>
    <row r="27" spans="1:11" ht="14.4" x14ac:dyDescent="0.3">
      <c r="A27" s="67">
        <v>2007</v>
      </c>
      <c r="B27" s="86" t="s">
        <v>114</v>
      </c>
      <c r="C27" s="70">
        <v>732</v>
      </c>
      <c r="D27" s="70">
        <v>8711</v>
      </c>
      <c r="E27" s="70">
        <v>5526</v>
      </c>
      <c r="F27" s="70">
        <v>1163</v>
      </c>
      <c r="G27" s="70">
        <f t="shared" si="2"/>
        <v>6689</v>
      </c>
      <c r="H27" s="79" t="s">
        <v>110</v>
      </c>
      <c r="I27" s="71" t="s">
        <v>103</v>
      </c>
      <c r="K27" s="71"/>
    </row>
    <row r="28" spans="1:11" ht="14.4" x14ac:dyDescent="0.3">
      <c r="A28" s="67">
        <v>2008</v>
      </c>
      <c r="B28" s="86" t="s">
        <v>115</v>
      </c>
      <c r="C28" s="70">
        <v>89</v>
      </c>
      <c r="D28" s="70">
        <v>679</v>
      </c>
      <c r="E28" s="70">
        <v>425</v>
      </c>
      <c r="F28" s="70">
        <v>314</v>
      </c>
      <c r="G28" s="70">
        <f t="shared" si="2"/>
        <v>739</v>
      </c>
      <c r="H28" s="66" t="s">
        <v>92</v>
      </c>
    </row>
    <row r="29" spans="1:11" ht="14.4" x14ac:dyDescent="0.3">
      <c r="A29" s="67">
        <v>2009</v>
      </c>
      <c r="B29" s="86" t="s">
        <v>116</v>
      </c>
      <c r="C29" s="70">
        <v>248</v>
      </c>
      <c r="D29" s="70">
        <v>1149</v>
      </c>
      <c r="E29" s="70">
        <v>721</v>
      </c>
      <c r="F29" s="70">
        <v>170</v>
      </c>
      <c r="G29" s="70">
        <f t="shared" si="2"/>
        <v>891</v>
      </c>
      <c r="H29" s="66" t="s">
        <v>92</v>
      </c>
    </row>
    <row r="30" spans="1:11" ht="14.4" x14ac:dyDescent="0.3">
      <c r="A30" s="67">
        <v>2010</v>
      </c>
      <c r="B30" s="86" t="s">
        <v>117</v>
      </c>
      <c r="C30" s="70">
        <v>295</v>
      </c>
      <c r="D30" s="70">
        <v>1656</v>
      </c>
      <c r="E30" s="70">
        <v>857</v>
      </c>
      <c r="F30" s="70">
        <v>295</v>
      </c>
      <c r="G30" s="70">
        <f t="shared" si="2"/>
        <v>1152</v>
      </c>
      <c r="H30" s="66" t="s">
        <v>92</v>
      </c>
    </row>
    <row r="31" spans="1:11" ht="14.4" x14ac:dyDescent="0.3">
      <c r="A31" s="67">
        <v>2011</v>
      </c>
      <c r="B31" s="86" t="s">
        <v>118</v>
      </c>
      <c r="C31" s="70">
        <v>244</v>
      </c>
      <c r="D31" s="70">
        <v>1402</v>
      </c>
      <c r="E31" s="70">
        <v>735</v>
      </c>
      <c r="F31" s="70">
        <v>442</v>
      </c>
      <c r="G31" s="70">
        <f t="shared" si="2"/>
        <v>1177</v>
      </c>
      <c r="H31" s="66" t="s">
        <v>92</v>
      </c>
    </row>
    <row r="32" spans="1:11" ht="14.4" x14ac:dyDescent="0.3">
      <c r="A32" s="67">
        <v>2012</v>
      </c>
      <c r="B32" s="86" t="s">
        <v>119</v>
      </c>
      <c r="C32" s="70">
        <v>431</v>
      </c>
      <c r="D32" s="70">
        <v>4975</v>
      </c>
      <c r="E32" s="70">
        <v>837</v>
      </c>
      <c r="F32" s="70">
        <v>320</v>
      </c>
      <c r="G32" s="70">
        <f t="shared" si="2"/>
        <v>1157</v>
      </c>
      <c r="H32" s="66" t="s">
        <v>92</v>
      </c>
    </row>
    <row r="33" spans="1:11" ht="14.4" x14ac:dyDescent="0.3">
      <c r="A33" s="67">
        <v>2013</v>
      </c>
      <c r="B33" s="86" t="s">
        <v>120</v>
      </c>
      <c r="C33" s="70">
        <v>445</v>
      </c>
      <c r="D33" s="70">
        <v>4352</v>
      </c>
      <c r="E33" s="70">
        <v>3699</v>
      </c>
      <c r="F33" s="70">
        <v>665</v>
      </c>
      <c r="G33" s="70">
        <f t="shared" si="2"/>
        <v>4364</v>
      </c>
      <c r="H33" s="79" t="s">
        <v>110</v>
      </c>
      <c r="I33" s="71" t="s">
        <v>104</v>
      </c>
      <c r="K33" s="71"/>
    </row>
    <row r="34" spans="1:11" ht="14.4" x14ac:dyDescent="0.3">
      <c r="A34" s="67">
        <v>2014</v>
      </c>
      <c r="B34" s="86" t="s">
        <v>121</v>
      </c>
      <c r="C34" s="70">
        <v>268</v>
      </c>
      <c r="D34" s="70">
        <v>1892</v>
      </c>
      <c r="E34" s="70">
        <v>2881</v>
      </c>
      <c r="F34" s="70">
        <v>943</v>
      </c>
      <c r="G34" s="70">
        <f t="shared" si="2"/>
        <v>3824</v>
      </c>
      <c r="H34" s="66" t="s">
        <v>92</v>
      </c>
      <c r="I34" s="71"/>
      <c r="K34" s="71"/>
    </row>
    <row r="35" spans="1:11" ht="14.4" x14ac:dyDescent="0.3">
      <c r="A35" s="67">
        <v>2015</v>
      </c>
      <c r="B35" s="86" t="s">
        <v>122</v>
      </c>
      <c r="C35" s="70">
        <v>161</v>
      </c>
      <c r="D35" s="70">
        <v>599</v>
      </c>
      <c r="E35" s="70">
        <v>3192</v>
      </c>
      <c r="F35" s="70">
        <v>747</v>
      </c>
      <c r="G35" s="70">
        <f t="shared" si="2"/>
        <v>3939</v>
      </c>
      <c r="H35" s="66" t="s">
        <v>92</v>
      </c>
      <c r="I35" s="71"/>
      <c r="K35" s="71"/>
    </row>
    <row r="36" spans="1:11" ht="14.4" x14ac:dyDescent="0.3">
      <c r="A36" s="67">
        <v>2016</v>
      </c>
      <c r="B36" s="86" t="s">
        <v>123</v>
      </c>
      <c r="C36" s="70">
        <v>312</v>
      </c>
      <c r="D36" s="70">
        <v>2489</v>
      </c>
      <c r="E36" s="70">
        <v>1384</v>
      </c>
      <c r="F36" s="70">
        <v>208</v>
      </c>
      <c r="G36" s="70">
        <f t="shared" si="2"/>
        <v>1592</v>
      </c>
      <c r="H36" s="80" t="s">
        <v>92</v>
      </c>
      <c r="I36" s="71"/>
      <c r="K36" s="71"/>
    </row>
    <row r="37" spans="1:11" ht="14.4" x14ac:dyDescent="0.3">
      <c r="A37" s="67">
        <v>2017</v>
      </c>
      <c r="B37" s="86" t="s">
        <v>124</v>
      </c>
      <c r="C37" s="70">
        <v>387</v>
      </c>
      <c r="D37" s="70">
        <v>4294</v>
      </c>
      <c r="E37" s="70">
        <v>1707</v>
      </c>
      <c r="F37" s="70">
        <v>715</v>
      </c>
      <c r="G37" s="70">
        <f t="shared" si="2"/>
        <v>2422</v>
      </c>
      <c r="H37" s="79" t="s">
        <v>125</v>
      </c>
      <c r="I37" s="81" t="s">
        <v>126</v>
      </c>
      <c r="K37" s="71"/>
    </row>
    <row r="38" spans="1:11" ht="14.4" x14ac:dyDescent="0.3">
      <c r="A38" s="82">
        <v>2018</v>
      </c>
      <c r="B38" s="222" t="s">
        <v>127</v>
      </c>
      <c r="C38" s="83">
        <v>676</v>
      </c>
      <c r="D38" s="83">
        <v>9175</v>
      </c>
      <c r="E38" s="83">
        <v>22918</v>
      </c>
      <c r="F38" s="83">
        <v>313</v>
      </c>
      <c r="G38" s="83">
        <f t="shared" si="2"/>
        <v>23231</v>
      </c>
      <c r="H38" s="84" t="s">
        <v>125</v>
      </c>
      <c r="I38" s="85" t="s">
        <v>128</v>
      </c>
      <c r="K38" s="71"/>
    </row>
    <row r="39" spans="1:11" ht="14.4" x14ac:dyDescent="0.3">
      <c r="A39" s="67"/>
      <c r="B39" s="86"/>
      <c r="C39" s="86"/>
      <c r="D39" s="86"/>
      <c r="E39" s="86"/>
      <c r="F39" s="86"/>
      <c r="G39" s="86"/>
      <c r="H39" s="66"/>
      <c r="I39" s="66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77"/>
  <sheetViews>
    <sheetView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AP40" sqref="AP40"/>
    </sheetView>
  </sheetViews>
  <sheetFormatPr defaultColWidth="9.109375" defaultRowHeight="14.4" x14ac:dyDescent="0.3"/>
  <cols>
    <col min="1" max="1" width="8.33203125" style="15" customWidth="1"/>
    <col min="2" max="16" width="6" style="12" customWidth="1"/>
    <col min="17" max="18" width="5.33203125" style="12" bestFit="1" customWidth="1"/>
    <col min="19" max="19" width="5.88671875" style="12" customWidth="1"/>
    <col min="20" max="33" width="5.88671875" style="12" bestFit="1" customWidth="1"/>
    <col min="34" max="16384" width="9.109375" style="12"/>
  </cols>
  <sheetData>
    <row r="1" spans="1:36" ht="18" x14ac:dyDescent="0.35">
      <c r="A1" s="74" t="s">
        <v>134</v>
      </c>
    </row>
    <row r="2" spans="1:36" ht="14.4" customHeight="1" x14ac:dyDescent="0.35">
      <c r="A2" s="74"/>
    </row>
    <row r="3" spans="1:36" x14ac:dyDescent="0.3">
      <c r="B3" s="163" t="s">
        <v>136</v>
      </c>
      <c r="S3" s="163" t="s">
        <v>135</v>
      </c>
      <c r="T3" s="163"/>
    </row>
    <row r="4" spans="1:36" x14ac:dyDescent="0.3">
      <c r="A4" s="123"/>
      <c r="B4" s="15" t="s">
        <v>53</v>
      </c>
      <c r="C4" s="15" t="s">
        <v>53</v>
      </c>
      <c r="D4" s="15" t="s">
        <v>54</v>
      </c>
      <c r="E4" s="15" t="s">
        <v>54</v>
      </c>
      <c r="F4" s="15" t="s">
        <v>54</v>
      </c>
      <c r="G4" s="15" t="s">
        <v>55</v>
      </c>
      <c r="H4" s="15" t="s">
        <v>55</v>
      </c>
      <c r="I4" s="15" t="s">
        <v>55</v>
      </c>
      <c r="J4" s="15" t="s">
        <v>56</v>
      </c>
      <c r="K4" s="15" t="s">
        <v>56</v>
      </c>
      <c r="L4" s="15" t="s">
        <v>56</v>
      </c>
      <c r="M4" s="15" t="s">
        <v>57</v>
      </c>
      <c r="N4" s="15" t="s">
        <v>57</v>
      </c>
      <c r="O4" s="15" t="s">
        <v>57</v>
      </c>
      <c r="P4" s="15" t="s">
        <v>58</v>
      </c>
      <c r="Q4" s="15" t="s">
        <v>59</v>
      </c>
      <c r="R4" s="15" t="s">
        <v>12</v>
      </c>
      <c r="S4" s="154" t="s">
        <v>53</v>
      </c>
      <c r="T4" s="154" t="s">
        <v>53</v>
      </c>
      <c r="U4" s="42" t="s">
        <v>54</v>
      </c>
      <c r="V4" s="42" t="s">
        <v>54</v>
      </c>
      <c r="W4" s="42" t="s">
        <v>54</v>
      </c>
      <c r="X4" s="156" t="s">
        <v>55</v>
      </c>
      <c r="Y4" s="156" t="s">
        <v>55</v>
      </c>
      <c r="Z4" s="157" t="s">
        <v>55</v>
      </c>
      <c r="AA4" s="159" t="s">
        <v>56</v>
      </c>
      <c r="AB4" s="159" t="s">
        <v>56</v>
      </c>
      <c r="AC4" s="159" t="s">
        <v>56</v>
      </c>
      <c r="AD4" s="23" t="s">
        <v>57</v>
      </c>
      <c r="AE4" s="23" t="s">
        <v>57</v>
      </c>
      <c r="AF4" s="23" t="s">
        <v>57</v>
      </c>
      <c r="AG4" s="162" t="s">
        <v>58</v>
      </c>
    </row>
    <row r="5" spans="1:36" x14ac:dyDescent="0.3">
      <c r="A5" s="123" t="s">
        <v>0</v>
      </c>
      <c r="B5" s="123" t="s">
        <v>28</v>
      </c>
      <c r="C5" s="123" t="s">
        <v>30</v>
      </c>
      <c r="D5" s="123" t="s">
        <v>29</v>
      </c>
      <c r="E5" s="123" t="s">
        <v>31</v>
      </c>
      <c r="F5" s="123" t="s">
        <v>34</v>
      </c>
      <c r="G5" s="123" t="s">
        <v>32</v>
      </c>
      <c r="H5" s="123" t="s">
        <v>35</v>
      </c>
      <c r="I5" s="123" t="s">
        <v>38</v>
      </c>
      <c r="J5" s="123" t="s">
        <v>33</v>
      </c>
      <c r="K5" s="123" t="s">
        <v>36</v>
      </c>
      <c r="L5" s="123" t="s">
        <v>39</v>
      </c>
      <c r="M5" s="123" t="s">
        <v>37</v>
      </c>
      <c r="N5" s="123" t="s">
        <v>40</v>
      </c>
      <c r="O5" s="123" t="s">
        <v>42</v>
      </c>
      <c r="P5" s="123" t="s">
        <v>41</v>
      </c>
      <c r="Q5" s="123" t="s">
        <v>49</v>
      </c>
      <c r="R5" s="123" t="s">
        <v>49</v>
      </c>
      <c r="S5" s="154" t="s">
        <v>28</v>
      </c>
      <c r="T5" s="154" t="s">
        <v>30</v>
      </c>
      <c r="U5" s="42" t="s">
        <v>29</v>
      </c>
      <c r="V5" s="42" t="s">
        <v>31</v>
      </c>
      <c r="W5" s="42" t="s">
        <v>34</v>
      </c>
      <c r="X5" s="156" t="s">
        <v>32</v>
      </c>
      <c r="Y5" s="156" t="s">
        <v>35</v>
      </c>
      <c r="Z5" s="156" t="s">
        <v>38</v>
      </c>
      <c r="AA5" s="160" t="s">
        <v>33</v>
      </c>
      <c r="AB5" s="160" t="s">
        <v>36</v>
      </c>
      <c r="AC5" s="160" t="s">
        <v>39</v>
      </c>
      <c r="AD5" s="23" t="s">
        <v>37</v>
      </c>
      <c r="AE5" s="23" t="s">
        <v>40</v>
      </c>
      <c r="AF5" s="23" t="s">
        <v>42</v>
      </c>
      <c r="AG5" s="162" t="s">
        <v>41</v>
      </c>
      <c r="AJ5" s="12" t="s">
        <v>179</v>
      </c>
    </row>
    <row r="6" spans="1:36" x14ac:dyDescent="0.3">
      <c r="A6" s="123">
        <v>1982</v>
      </c>
      <c r="B6" s="164">
        <v>1</v>
      </c>
      <c r="C6" s="164"/>
      <c r="D6" s="164">
        <v>2</v>
      </c>
      <c r="E6" s="164">
        <v>55</v>
      </c>
      <c r="F6" s="164"/>
      <c r="G6" s="164">
        <v>139</v>
      </c>
      <c r="H6" s="164">
        <v>46</v>
      </c>
      <c r="I6" s="164">
        <v>1</v>
      </c>
      <c r="J6" s="164">
        <v>6</v>
      </c>
      <c r="K6" s="164">
        <v>24</v>
      </c>
      <c r="L6" s="164">
        <v>8</v>
      </c>
      <c r="M6" s="164">
        <v>11</v>
      </c>
      <c r="N6" s="164">
        <v>3</v>
      </c>
      <c r="O6" s="164"/>
      <c r="P6" s="164"/>
      <c r="Q6" s="164">
        <v>38</v>
      </c>
      <c r="R6" s="12">
        <f t="shared" ref="R6:R21" si="0">SUM(B6:P6)</f>
        <v>296</v>
      </c>
      <c r="S6" s="155">
        <f>B6/$R6</f>
        <v>3.3783783783783786E-3</v>
      </c>
      <c r="T6" s="155">
        <f t="shared" ref="T6" si="1">C6/R6</f>
        <v>0</v>
      </c>
      <c r="U6" s="87">
        <f>D6/$R6</f>
        <v>6.7567567567567571E-3</v>
      </c>
      <c r="V6" s="87">
        <f t="shared" ref="V6:W6" si="2">E6/$R6</f>
        <v>0.1858108108108108</v>
      </c>
      <c r="W6" s="87">
        <f t="shared" si="2"/>
        <v>0</v>
      </c>
      <c r="X6" s="158">
        <f>G6/$R6</f>
        <v>0.46959459459459457</v>
      </c>
      <c r="Y6" s="158">
        <f t="shared" ref="Y6:Z6" si="3">H6/$R6</f>
        <v>0.1554054054054054</v>
      </c>
      <c r="Z6" s="158">
        <f t="shared" si="3"/>
        <v>3.3783783783783786E-3</v>
      </c>
      <c r="AA6" s="161">
        <f>J6/$R6</f>
        <v>2.0270270270270271E-2</v>
      </c>
      <c r="AB6" s="161">
        <f t="shared" ref="AB6:AC6" si="4">K6/$R6</f>
        <v>8.1081081081081086E-2</v>
      </c>
      <c r="AC6" s="161">
        <f t="shared" si="4"/>
        <v>2.7027027027027029E-2</v>
      </c>
      <c r="AD6" s="27">
        <f>M6/$R6</f>
        <v>3.7162162162162164E-2</v>
      </c>
      <c r="AE6" s="27">
        <f t="shared" ref="AE6:AF6" si="5">N6/$R6</f>
        <v>1.0135135135135136E-2</v>
      </c>
      <c r="AF6" s="27">
        <f t="shared" si="5"/>
        <v>0</v>
      </c>
      <c r="AG6" s="166">
        <f>P6/$R6</f>
        <v>0</v>
      </c>
      <c r="AH6" s="88">
        <f>SUM(S6:AG6)</f>
        <v>0.99999999999999989</v>
      </c>
      <c r="AJ6" s="19">
        <f>SUM(T6,V6,X6,AA6)</f>
        <v>0.67567567567567566</v>
      </c>
    </row>
    <row r="7" spans="1:36" x14ac:dyDescent="0.3">
      <c r="A7" s="123">
        <v>1983</v>
      </c>
      <c r="B7" s="164">
        <v>2</v>
      </c>
      <c r="C7" s="164">
        <v>1</v>
      </c>
      <c r="D7" s="164">
        <v>3</v>
      </c>
      <c r="E7" s="164">
        <v>189</v>
      </c>
      <c r="F7" s="164">
        <v>30</v>
      </c>
      <c r="G7" s="164">
        <v>380</v>
      </c>
      <c r="H7" s="164">
        <v>218</v>
      </c>
      <c r="I7" s="164"/>
      <c r="J7" s="164"/>
      <c r="K7" s="164">
        <v>63</v>
      </c>
      <c r="L7" s="164">
        <v>6</v>
      </c>
      <c r="M7" s="164"/>
      <c r="N7" s="164">
        <v>2</v>
      </c>
      <c r="O7" s="164"/>
      <c r="P7" s="164"/>
      <c r="Q7" s="164">
        <v>306</v>
      </c>
      <c r="R7" s="12">
        <f t="shared" si="0"/>
        <v>894</v>
      </c>
      <c r="S7" s="155">
        <f t="shared" ref="S7:S42" si="6">B7/$R7</f>
        <v>2.2371364653243847E-3</v>
      </c>
      <c r="T7" s="155">
        <f t="shared" ref="T7:T42" si="7">C7/R7</f>
        <v>1.1185682326621924E-3</v>
      </c>
      <c r="U7" s="87">
        <f t="shared" ref="U7:U42" si="8">D7/$R7</f>
        <v>3.3557046979865771E-3</v>
      </c>
      <c r="V7" s="87">
        <f t="shared" ref="V7:V42" si="9">E7/$R7</f>
        <v>0.21140939597315436</v>
      </c>
      <c r="W7" s="87">
        <f t="shared" ref="W7:W42" si="10">F7/$R7</f>
        <v>3.3557046979865772E-2</v>
      </c>
      <c r="X7" s="158">
        <f t="shared" ref="X7:X42" si="11">G7/$R7</f>
        <v>0.42505592841163309</v>
      </c>
      <c r="Y7" s="158">
        <f t="shared" ref="Y7:Y42" si="12">H7/$R7</f>
        <v>0.24384787472035793</v>
      </c>
      <c r="Z7" s="158">
        <f t="shared" ref="Z7:Z42" si="13">I7/$R7</f>
        <v>0</v>
      </c>
      <c r="AA7" s="161">
        <f t="shared" ref="AA7:AA42" si="14">J7/$R7</f>
        <v>0</v>
      </c>
      <c r="AB7" s="161">
        <f t="shared" ref="AB7:AB42" si="15">K7/$R7</f>
        <v>7.0469798657718116E-2</v>
      </c>
      <c r="AC7" s="161">
        <f t="shared" ref="AC7:AC42" si="16">L7/$R7</f>
        <v>6.7114093959731542E-3</v>
      </c>
      <c r="AD7" s="27">
        <f t="shared" ref="AD7:AD42" si="17">M7/$R7</f>
        <v>0</v>
      </c>
      <c r="AE7" s="27">
        <f t="shared" ref="AE7:AE42" si="18">N7/$R7</f>
        <v>2.2371364653243847E-3</v>
      </c>
      <c r="AF7" s="27">
        <f t="shared" ref="AF7:AF42" si="19">O7/$R7</f>
        <v>0</v>
      </c>
      <c r="AG7" s="166">
        <f t="shared" ref="AG7:AG42" si="20">P7/$R7</f>
        <v>0</v>
      </c>
      <c r="AH7" s="88">
        <f t="shared" ref="AH7:AH44" si="21">SUM(S7:AG7)</f>
        <v>1</v>
      </c>
      <c r="AJ7" s="19">
        <f t="shared" ref="AJ7:AJ42" si="22">SUM(T7,V7,X7,AA7)</f>
        <v>0.63758389261744963</v>
      </c>
    </row>
    <row r="8" spans="1:36" x14ac:dyDescent="0.3">
      <c r="A8" s="123">
        <v>1984</v>
      </c>
      <c r="B8" s="164"/>
      <c r="C8" s="164"/>
      <c r="D8" s="164"/>
      <c r="E8" s="164">
        <v>46</v>
      </c>
      <c r="F8" s="164">
        <v>1</v>
      </c>
      <c r="G8" s="164">
        <v>168</v>
      </c>
      <c r="H8" s="164">
        <v>321</v>
      </c>
      <c r="I8" s="164">
        <v>1</v>
      </c>
      <c r="J8" s="164"/>
      <c r="K8" s="164">
        <v>190</v>
      </c>
      <c r="L8" s="164">
        <v>3</v>
      </c>
      <c r="M8" s="164"/>
      <c r="N8" s="164">
        <v>7</v>
      </c>
      <c r="O8" s="164">
        <v>1</v>
      </c>
      <c r="P8" s="164"/>
      <c r="Q8" s="164">
        <v>298</v>
      </c>
      <c r="R8" s="12">
        <f t="shared" si="0"/>
        <v>738</v>
      </c>
      <c r="S8" s="155">
        <f t="shared" si="6"/>
        <v>0</v>
      </c>
      <c r="T8" s="155">
        <f t="shared" si="7"/>
        <v>0</v>
      </c>
      <c r="U8" s="87">
        <f t="shared" si="8"/>
        <v>0</v>
      </c>
      <c r="V8" s="87">
        <f t="shared" si="9"/>
        <v>6.2330623306233061E-2</v>
      </c>
      <c r="W8" s="87">
        <f t="shared" si="10"/>
        <v>1.3550135501355014E-3</v>
      </c>
      <c r="X8" s="158">
        <f t="shared" si="11"/>
        <v>0.22764227642276422</v>
      </c>
      <c r="Y8" s="158">
        <f t="shared" si="12"/>
        <v>0.43495934959349591</v>
      </c>
      <c r="Z8" s="158">
        <f t="shared" si="13"/>
        <v>1.3550135501355014E-3</v>
      </c>
      <c r="AA8" s="161">
        <f t="shared" si="14"/>
        <v>0</v>
      </c>
      <c r="AB8" s="161">
        <f t="shared" si="15"/>
        <v>0.25745257452574527</v>
      </c>
      <c r="AC8" s="161">
        <f t="shared" si="16"/>
        <v>4.0650406504065045E-3</v>
      </c>
      <c r="AD8" s="27">
        <f t="shared" si="17"/>
        <v>0</v>
      </c>
      <c r="AE8" s="27">
        <f t="shared" si="18"/>
        <v>9.485094850948509E-3</v>
      </c>
      <c r="AF8" s="27">
        <f t="shared" si="19"/>
        <v>1.3550135501355014E-3</v>
      </c>
      <c r="AG8" s="166">
        <f t="shared" si="20"/>
        <v>0</v>
      </c>
      <c r="AH8" s="88">
        <f t="shared" si="21"/>
        <v>0.99999999999999978</v>
      </c>
      <c r="AJ8" s="19">
        <f t="shared" si="22"/>
        <v>0.28997289972899726</v>
      </c>
    </row>
    <row r="9" spans="1:36" x14ac:dyDescent="0.3">
      <c r="A9" s="123">
        <v>1985</v>
      </c>
      <c r="B9" s="164"/>
      <c r="C9" s="164">
        <v>6</v>
      </c>
      <c r="D9" s="164"/>
      <c r="E9" s="164">
        <v>10</v>
      </c>
      <c r="F9" s="164">
        <v>1</v>
      </c>
      <c r="G9" s="164">
        <v>80</v>
      </c>
      <c r="H9" s="164">
        <v>187</v>
      </c>
      <c r="I9" s="164">
        <v>1</v>
      </c>
      <c r="J9" s="164">
        <v>2</v>
      </c>
      <c r="K9" s="164">
        <v>551</v>
      </c>
      <c r="L9" s="164">
        <v>16</v>
      </c>
      <c r="M9" s="164">
        <v>3</v>
      </c>
      <c r="N9" s="164">
        <v>17</v>
      </c>
      <c r="O9" s="164"/>
      <c r="P9" s="164"/>
      <c r="Q9" s="164">
        <v>297</v>
      </c>
      <c r="R9" s="12">
        <f t="shared" si="0"/>
        <v>874</v>
      </c>
      <c r="S9" s="155">
        <f t="shared" si="6"/>
        <v>0</v>
      </c>
      <c r="T9" s="155">
        <f t="shared" si="7"/>
        <v>6.8649885583524023E-3</v>
      </c>
      <c r="U9" s="87">
        <f t="shared" si="8"/>
        <v>0</v>
      </c>
      <c r="V9" s="87">
        <f t="shared" si="9"/>
        <v>1.1441647597254004E-2</v>
      </c>
      <c r="W9" s="87">
        <f t="shared" si="10"/>
        <v>1.1441647597254005E-3</v>
      </c>
      <c r="X9" s="158">
        <f t="shared" si="11"/>
        <v>9.1533180778032033E-2</v>
      </c>
      <c r="Y9" s="158">
        <f t="shared" si="12"/>
        <v>0.21395881006864989</v>
      </c>
      <c r="Z9" s="158">
        <f t="shared" si="13"/>
        <v>1.1441647597254005E-3</v>
      </c>
      <c r="AA9" s="161">
        <f t="shared" si="14"/>
        <v>2.2883295194508009E-3</v>
      </c>
      <c r="AB9" s="161">
        <f t="shared" si="15"/>
        <v>0.63043478260869568</v>
      </c>
      <c r="AC9" s="161">
        <f t="shared" si="16"/>
        <v>1.8306636155606407E-2</v>
      </c>
      <c r="AD9" s="27">
        <f t="shared" si="17"/>
        <v>3.4324942791762012E-3</v>
      </c>
      <c r="AE9" s="27">
        <f t="shared" si="18"/>
        <v>1.9450800915331808E-2</v>
      </c>
      <c r="AF9" s="27">
        <f t="shared" si="19"/>
        <v>0</v>
      </c>
      <c r="AG9" s="166">
        <f t="shared" si="20"/>
        <v>0</v>
      </c>
      <c r="AH9" s="88">
        <f t="shared" si="21"/>
        <v>1.0000000000000002</v>
      </c>
      <c r="AJ9" s="19">
        <f t="shared" si="22"/>
        <v>0.11212814645308924</v>
      </c>
    </row>
    <row r="10" spans="1:36" x14ac:dyDescent="0.3">
      <c r="A10" s="123">
        <v>1986</v>
      </c>
      <c r="B10" s="164"/>
      <c r="C10" s="164">
        <v>9</v>
      </c>
      <c r="D10" s="164">
        <v>1</v>
      </c>
      <c r="E10" s="164">
        <v>208</v>
      </c>
      <c r="F10" s="164">
        <v>26</v>
      </c>
      <c r="G10" s="164">
        <v>131</v>
      </c>
      <c r="H10" s="164">
        <v>283</v>
      </c>
      <c r="I10" s="164"/>
      <c r="J10" s="164">
        <v>1</v>
      </c>
      <c r="K10" s="164">
        <v>594</v>
      </c>
      <c r="L10" s="164">
        <v>21</v>
      </c>
      <c r="M10" s="164">
        <v>2</v>
      </c>
      <c r="N10" s="164">
        <v>9</v>
      </c>
      <c r="O10" s="164"/>
      <c r="P10" s="164"/>
      <c r="Q10" s="164">
        <v>250</v>
      </c>
      <c r="R10" s="12">
        <f t="shared" si="0"/>
        <v>1285</v>
      </c>
      <c r="S10" s="155">
        <f t="shared" si="6"/>
        <v>0</v>
      </c>
      <c r="T10" s="155">
        <f t="shared" si="7"/>
        <v>7.0038910505836579E-3</v>
      </c>
      <c r="U10" s="87">
        <f t="shared" si="8"/>
        <v>7.7821011673151756E-4</v>
      </c>
      <c r="V10" s="87">
        <f t="shared" si="9"/>
        <v>0.16186770428015565</v>
      </c>
      <c r="W10" s="87">
        <f t="shared" si="10"/>
        <v>2.0233463035019456E-2</v>
      </c>
      <c r="X10" s="158">
        <f t="shared" si="11"/>
        <v>0.10194552529182879</v>
      </c>
      <c r="Y10" s="158">
        <f t="shared" si="12"/>
        <v>0.22023346303501945</v>
      </c>
      <c r="Z10" s="158">
        <f t="shared" si="13"/>
        <v>0</v>
      </c>
      <c r="AA10" s="161">
        <f t="shared" si="14"/>
        <v>7.7821011673151756E-4</v>
      </c>
      <c r="AB10" s="161">
        <f t="shared" si="15"/>
        <v>0.46225680933852142</v>
      </c>
      <c r="AC10" s="161">
        <f t="shared" si="16"/>
        <v>1.6342412451361869E-2</v>
      </c>
      <c r="AD10" s="27">
        <f t="shared" si="17"/>
        <v>1.5564202334630351E-3</v>
      </c>
      <c r="AE10" s="27">
        <f t="shared" si="18"/>
        <v>7.0038910505836579E-3</v>
      </c>
      <c r="AF10" s="27">
        <f t="shared" si="19"/>
        <v>0</v>
      </c>
      <c r="AG10" s="166">
        <f t="shared" si="20"/>
        <v>0</v>
      </c>
      <c r="AH10" s="88">
        <f t="shared" si="21"/>
        <v>1</v>
      </c>
      <c r="AJ10" s="19">
        <f t="shared" si="22"/>
        <v>0.27159533073929965</v>
      </c>
    </row>
    <row r="11" spans="1:36" x14ac:dyDescent="0.3">
      <c r="A11" s="123">
        <v>1987</v>
      </c>
      <c r="B11" s="164"/>
      <c r="C11" s="164">
        <v>7</v>
      </c>
      <c r="D11" s="164"/>
      <c r="E11" s="164">
        <v>252</v>
      </c>
      <c r="F11" s="164">
        <v>185</v>
      </c>
      <c r="G11" s="164">
        <v>205</v>
      </c>
      <c r="H11" s="164">
        <v>131</v>
      </c>
      <c r="I11" s="164"/>
      <c r="J11" s="164"/>
      <c r="K11" s="164">
        <v>276</v>
      </c>
      <c r="L11" s="164"/>
      <c r="M11" s="164">
        <v>2</v>
      </c>
      <c r="N11" s="164">
        <v>1</v>
      </c>
      <c r="O11" s="164"/>
      <c r="P11" s="164"/>
      <c r="Q11" s="164">
        <v>166</v>
      </c>
      <c r="R11" s="12">
        <f t="shared" si="0"/>
        <v>1059</v>
      </c>
      <c r="S11" s="155">
        <f t="shared" si="6"/>
        <v>0</v>
      </c>
      <c r="T11" s="155">
        <f t="shared" si="7"/>
        <v>6.6100094428706326E-3</v>
      </c>
      <c r="U11" s="87">
        <f t="shared" si="8"/>
        <v>0</v>
      </c>
      <c r="V11" s="87">
        <f t="shared" si="9"/>
        <v>0.23796033994334279</v>
      </c>
      <c r="W11" s="87">
        <f t="shared" si="10"/>
        <v>0.17469310670443816</v>
      </c>
      <c r="X11" s="158">
        <f t="shared" si="11"/>
        <v>0.19357884796978281</v>
      </c>
      <c r="Y11" s="158">
        <f t="shared" si="12"/>
        <v>0.12370160528800755</v>
      </c>
      <c r="Z11" s="158">
        <f t="shared" si="13"/>
        <v>0</v>
      </c>
      <c r="AA11" s="161">
        <f t="shared" si="14"/>
        <v>0</v>
      </c>
      <c r="AB11" s="161">
        <f t="shared" si="15"/>
        <v>0.26062322946175637</v>
      </c>
      <c r="AC11" s="161">
        <f t="shared" si="16"/>
        <v>0</v>
      </c>
      <c r="AD11" s="27">
        <f t="shared" si="17"/>
        <v>1.8885741265344666E-3</v>
      </c>
      <c r="AE11" s="27">
        <f t="shared" si="18"/>
        <v>9.4428706326723328E-4</v>
      </c>
      <c r="AF11" s="27">
        <f t="shared" si="19"/>
        <v>0</v>
      </c>
      <c r="AG11" s="166">
        <f t="shared" si="20"/>
        <v>0</v>
      </c>
      <c r="AH11" s="88">
        <f t="shared" si="21"/>
        <v>1</v>
      </c>
      <c r="AJ11" s="19">
        <f t="shared" si="22"/>
        <v>0.43814919735599622</v>
      </c>
    </row>
    <row r="12" spans="1:36" x14ac:dyDescent="0.3">
      <c r="A12" s="123">
        <v>1988</v>
      </c>
      <c r="B12" s="164"/>
      <c r="C12" s="164"/>
      <c r="D12" s="164"/>
      <c r="E12" s="164">
        <v>48</v>
      </c>
      <c r="F12" s="164"/>
      <c r="G12" s="164">
        <v>73</v>
      </c>
      <c r="H12" s="164">
        <v>214</v>
      </c>
      <c r="I12" s="164"/>
      <c r="J12" s="164"/>
      <c r="K12" s="164">
        <v>35</v>
      </c>
      <c r="L12" s="164"/>
      <c r="M12" s="164"/>
      <c r="N12" s="164"/>
      <c r="O12" s="164"/>
      <c r="P12" s="164"/>
      <c r="Q12" s="164">
        <v>176</v>
      </c>
      <c r="R12" s="12">
        <f t="shared" si="0"/>
        <v>370</v>
      </c>
      <c r="S12" s="155">
        <f t="shared" si="6"/>
        <v>0</v>
      </c>
      <c r="T12" s="155">
        <f t="shared" si="7"/>
        <v>0</v>
      </c>
      <c r="U12" s="87">
        <f t="shared" si="8"/>
        <v>0</v>
      </c>
      <c r="V12" s="87">
        <f t="shared" si="9"/>
        <v>0.12972972972972974</v>
      </c>
      <c r="W12" s="87">
        <f t="shared" si="10"/>
        <v>0</v>
      </c>
      <c r="X12" s="158">
        <f t="shared" si="11"/>
        <v>0.19729729729729731</v>
      </c>
      <c r="Y12" s="158">
        <f t="shared" si="12"/>
        <v>0.57837837837837835</v>
      </c>
      <c r="Z12" s="158">
        <f t="shared" si="13"/>
        <v>0</v>
      </c>
      <c r="AA12" s="161">
        <f t="shared" si="14"/>
        <v>0</v>
      </c>
      <c r="AB12" s="161">
        <f t="shared" si="15"/>
        <v>9.45945945945946E-2</v>
      </c>
      <c r="AC12" s="161">
        <f t="shared" si="16"/>
        <v>0</v>
      </c>
      <c r="AD12" s="27">
        <f t="shared" si="17"/>
        <v>0</v>
      </c>
      <c r="AE12" s="27">
        <f t="shared" si="18"/>
        <v>0</v>
      </c>
      <c r="AF12" s="27">
        <f t="shared" si="19"/>
        <v>0</v>
      </c>
      <c r="AG12" s="166">
        <f t="shared" si="20"/>
        <v>0</v>
      </c>
      <c r="AH12" s="88">
        <f t="shared" si="21"/>
        <v>1</v>
      </c>
      <c r="AJ12" s="19">
        <f t="shared" si="22"/>
        <v>0.32702702702702702</v>
      </c>
    </row>
    <row r="13" spans="1:36" x14ac:dyDescent="0.3">
      <c r="A13" s="123">
        <v>1989</v>
      </c>
      <c r="B13" s="164"/>
      <c r="C13" s="164">
        <v>8</v>
      </c>
      <c r="D13" s="164"/>
      <c r="E13" s="164">
        <v>93</v>
      </c>
      <c r="F13" s="164">
        <v>46</v>
      </c>
      <c r="G13" s="164">
        <v>386</v>
      </c>
      <c r="H13" s="164">
        <v>940</v>
      </c>
      <c r="I13" s="164">
        <v>1</v>
      </c>
      <c r="J13" s="164"/>
      <c r="K13" s="164">
        <v>187</v>
      </c>
      <c r="L13" s="164">
        <v>9</v>
      </c>
      <c r="M13" s="164"/>
      <c r="N13" s="164">
        <v>1</v>
      </c>
      <c r="O13" s="164"/>
      <c r="P13" s="164"/>
      <c r="Q13" s="164">
        <v>311</v>
      </c>
      <c r="R13" s="12">
        <f t="shared" si="0"/>
        <v>1671</v>
      </c>
      <c r="S13" s="155">
        <f t="shared" si="6"/>
        <v>0</v>
      </c>
      <c r="T13" s="155">
        <f t="shared" si="7"/>
        <v>4.7875523638539795E-3</v>
      </c>
      <c r="U13" s="87">
        <f t="shared" si="8"/>
        <v>0</v>
      </c>
      <c r="V13" s="87">
        <f t="shared" si="9"/>
        <v>5.565529622980251E-2</v>
      </c>
      <c r="W13" s="87">
        <f t="shared" si="10"/>
        <v>2.7528426092160382E-2</v>
      </c>
      <c r="X13" s="158">
        <f t="shared" si="11"/>
        <v>0.23099940155595453</v>
      </c>
      <c r="Y13" s="158">
        <f t="shared" si="12"/>
        <v>0.56253740275284259</v>
      </c>
      <c r="Z13" s="158">
        <f t="shared" si="13"/>
        <v>5.9844404548174744E-4</v>
      </c>
      <c r="AA13" s="161">
        <f t="shared" si="14"/>
        <v>0</v>
      </c>
      <c r="AB13" s="161">
        <f t="shared" si="15"/>
        <v>0.11190903650508677</v>
      </c>
      <c r="AC13" s="161">
        <f t="shared" si="16"/>
        <v>5.3859964093357273E-3</v>
      </c>
      <c r="AD13" s="27">
        <f t="shared" si="17"/>
        <v>0</v>
      </c>
      <c r="AE13" s="27">
        <f t="shared" si="18"/>
        <v>5.9844404548174744E-4</v>
      </c>
      <c r="AF13" s="27">
        <f t="shared" si="19"/>
        <v>0</v>
      </c>
      <c r="AG13" s="166">
        <f t="shared" si="20"/>
        <v>0</v>
      </c>
      <c r="AH13" s="88">
        <f t="shared" si="21"/>
        <v>0.99999999999999978</v>
      </c>
      <c r="AJ13" s="19">
        <f t="shared" si="22"/>
        <v>0.291442250149611</v>
      </c>
    </row>
    <row r="14" spans="1:36" x14ac:dyDescent="0.3">
      <c r="A14" s="123">
        <v>1990</v>
      </c>
      <c r="B14" s="164"/>
      <c r="C14" s="164">
        <v>16</v>
      </c>
      <c r="D14" s="164">
        <v>1</v>
      </c>
      <c r="E14" s="164">
        <v>130</v>
      </c>
      <c r="F14" s="164">
        <v>3</v>
      </c>
      <c r="G14" s="164">
        <v>226</v>
      </c>
      <c r="H14" s="164">
        <v>1466</v>
      </c>
      <c r="I14" s="164"/>
      <c r="J14" s="164">
        <v>2</v>
      </c>
      <c r="K14" s="164">
        <v>656</v>
      </c>
      <c r="L14" s="164">
        <v>10</v>
      </c>
      <c r="M14" s="164"/>
      <c r="N14" s="164"/>
      <c r="O14" s="164"/>
      <c r="P14" s="164"/>
      <c r="Q14" s="164">
        <v>420</v>
      </c>
      <c r="R14" s="12">
        <f t="shared" si="0"/>
        <v>2510</v>
      </c>
      <c r="S14" s="155">
        <f t="shared" si="6"/>
        <v>0</v>
      </c>
      <c r="T14" s="155">
        <f t="shared" si="7"/>
        <v>6.3745019920318727E-3</v>
      </c>
      <c r="U14" s="87">
        <f t="shared" si="8"/>
        <v>3.9840637450199205E-4</v>
      </c>
      <c r="V14" s="87">
        <f t="shared" si="9"/>
        <v>5.1792828685258967E-2</v>
      </c>
      <c r="W14" s="87">
        <f t="shared" si="10"/>
        <v>1.195219123505976E-3</v>
      </c>
      <c r="X14" s="158">
        <f t="shared" si="11"/>
        <v>9.00398406374502E-2</v>
      </c>
      <c r="Y14" s="158">
        <f t="shared" si="12"/>
        <v>0.58406374501992031</v>
      </c>
      <c r="Z14" s="158">
        <f t="shared" si="13"/>
        <v>0</v>
      </c>
      <c r="AA14" s="161">
        <f t="shared" si="14"/>
        <v>7.9681274900398409E-4</v>
      </c>
      <c r="AB14" s="161">
        <f t="shared" si="15"/>
        <v>0.26135458167330677</v>
      </c>
      <c r="AC14" s="161">
        <f t="shared" si="16"/>
        <v>3.9840637450199202E-3</v>
      </c>
      <c r="AD14" s="27">
        <f t="shared" si="17"/>
        <v>0</v>
      </c>
      <c r="AE14" s="27">
        <f t="shared" si="18"/>
        <v>0</v>
      </c>
      <c r="AF14" s="27">
        <f t="shared" si="19"/>
        <v>0</v>
      </c>
      <c r="AG14" s="166">
        <f t="shared" si="20"/>
        <v>0</v>
      </c>
      <c r="AH14" s="88">
        <f t="shared" si="21"/>
        <v>1</v>
      </c>
      <c r="AJ14" s="19">
        <f t="shared" si="22"/>
        <v>0.14900398406374502</v>
      </c>
    </row>
    <row r="15" spans="1:36" x14ac:dyDescent="0.3">
      <c r="A15" s="123">
        <v>1991</v>
      </c>
      <c r="B15" s="164"/>
      <c r="C15" s="164">
        <v>5</v>
      </c>
      <c r="D15" s="164"/>
      <c r="E15" s="164">
        <v>168</v>
      </c>
      <c r="F15" s="164">
        <v>28</v>
      </c>
      <c r="G15" s="164">
        <v>74</v>
      </c>
      <c r="H15" s="164">
        <v>74</v>
      </c>
      <c r="I15" s="164">
        <v>2</v>
      </c>
      <c r="J15" s="164">
        <v>1</v>
      </c>
      <c r="K15" s="164">
        <v>1837</v>
      </c>
      <c r="L15" s="164">
        <v>3</v>
      </c>
      <c r="M15" s="164">
        <v>4</v>
      </c>
      <c r="N15" s="164">
        <v>53</v>
      </c>
      <c r="O15" s="164"/>
      <c r="P15" s="164">
        <v>1</v>
      </c>
      <c r="Q15" s="164">
        <v>351</v>
      </c>
      <c r="R15" s="12">
        <f t="shared" si="0"/>
        <v>2250</v>
      </c>
      <c r="S15" s="155">
        <f t="shared" si="6"/>
        <v>0</v>
      </c>
      <c r="T15" s="155">
        <f t="shared" si="7"/>
        <v>2.2222222222222222E-3</v>
      </c>
      <c r="U15" s="87">
        <f t="shared" si="8"/>
        <v>0</v>
      </c>
      <c r="V15" s="87">
        <f t="shared" si="9"/>
        <v>7.4666666666666673E-2</v>
      </c>
      <c r="W15" s="87">
        <f t="shared" si="10"/>
        <v>1.2444444444444444E-2</v>
      </c>
      <c r="X15" s="158">
        <f t="shared" si="11"/>
        <v>3.2888888888888891E-2</v>
      </c>
      <c r="Y15" s="158">
        <f t="shared" si="12"/>
        <v>3.2888888888888891E-2</v>
      </c>
      <c r="Z15" s="158">
        <f t="shared" si="13"/>
        <v>8.8888888888888893E-4</v>
      </c>
      <c r="AA15" s="161">
        <f t="shared" si="14"/>
        <v>4.4444444444444447E-4</v>
      </c>
      <c r="AB15" s="161">
        <f t="shared" si="15"/>
        <v>0.81644444444444442</v>
      </c>
      <c r="AC15" s="161">
        <f t="shared" si="16"/>
        <v>1.3333333333333333E-3</v>
      </c>
      <c r="AD15" s="27">
        <f t="shared" si="17"/>
        <v>1.7777777777777779E-3</v>
      </c>
      <c r="AE15" s="27">
        <f t="shared" si="18"/>
        <v>2.3555555555555555E-2</v>
      </c>
      <c r="AF15" s="27">
        <f t="shared" si="19"/>
        <v>0</v>
      </c>
      <c r="AG15" s="166">
        <f t="shared" si="20"/>
        <v>4.4444444444444447E-4</v>
      </c>
      <c r="AH15" s="88">
        <f t="shared" si="21"/>
        <v>1</v>
      </c>
      <c r="AJ15" s="19">
        <f t="shared" si="22"/>
        <v>0.11022222222222222</v>
      </c>
    </row>
    <row r="16" spans="1:36" x14ac:dyDescent="0.3">
      <c r="A16" s="123">
        <v>1992</v>
      </c>
      <c r="B16" s="164"/>
      <c r="C16" s="164">
        <v>95</v>
      </c>
      <c r="D16" s="164"/>
      <c r="E16" s="164">
        <v>137</v>
      </c>
      <c r="F16" s="164">
        <v>85</v>
      </c>
      <c r="G16" s="164">
        <v>402</v>
      </c>
      <c r="H16" s="164">
        <v>188</v>
      </c>
      <c r="I16" s="164">
        <v>8</v>
      </c>
      <c r="J16" s="164">
        <v>2</v>
      </c>
      <c r="K16" s="164">
        <v>374</v>
      </c>
      <c r="L16" s="164">
        <v>11</v>
      </c>
      <c r="M16" s="164">
        <v>23</v>
      </c>
      <c r="N16" s="164">
        <v>3</v>
      </c>
      <c r="O16" s="164"/>
      <c r="P16" s="164"/>
      <c r="Q16" s="164">
        <v>293</v>
      </c>
      <c r="R16" s="12">
        <f t="shared" si="0"/>
        <v>1328</v>
      </c>
      <c r="S16" s="155">
        <f t="shared" si="6"/>
        <v>0</v>
      </c>
      <c r="T16" s="155">
        <f t="shared" si="7"/>
        <v>7.1536144578313254E-2</v>
      </c>
      <c r="U16" s="87">
        <f t="shared" si="8"/>
        <v>0</v>
      </c>
      <c r="V16" s="87">
        <f t="shared" si="9"/>
        <v>0.10316265060240964</v>
      </c>
      <c r="W16" s="87">
        <f t="shared" si="10"/>
        <v>6.4006024096385547E-2</v>
      </c>
      <c r="X16" s="158">
        <f t="shared" si="11"/>
        <v>0.30271084337349397</v>
      </c>
      <c r="Y16" s="158">
        <f t="shared" si="12"/>
        <v>0.14156626506024098</v>
      </c>
      <c r="Z16" s="158">
        <f t="shared" si="13"/>
        <v>6.024096385542169E-3</v>
      </c>
      <c r="AA16" s="161">
        <f t="shared" si="14"/>
        <v>1.5060240963855422E-3</v>
      </c>
      <c r="AB16" s="161">
        <f t="shared" si="15"/>
        <v>0.28162650602409639</v>
      </c>
      <c r="AC16" s="161">
        <f t="shared" si="16"/>
        <v>8.2831325301204826E-3</v>
      </c>
      <c r="AD16" s="27">
        <f t="shared" si="17"/>
        <v>1.7319277108433735E-2</v>
      </c>
      <c r="AE16" s="27">
        <f t="shared" si="18"/>
        <v>2.2590361445783132E-3</v>
      </c>
      <c r="AF16" s="27">
        <f t="shared" si="19"/>
        <v>0</v>
      </c>
      <c r="AG16" s="166">
        <f t="shared" si="20"/>
        <v>0</v>
      </c>
      <c r="AH16" s="88">
        <f t="shared" si="21"/>
        <v>1</v>
      </c>
      <c r="AJ16" s="19">
        <f t="shared" si="22"/>
        <v>0.47891566265060243</v>
      </c>
    </row>
    <row r="17" spans="1:36" x14ac:dyDescent="0.3">
      <c r="A17" s="123">
        <v>1993</v>
      </c>
      <c r="B17" s="164"/>
      <c r="C17" s="164">
        <v>25</v>
      </c>
      <c r="D17" s="164">
        <v>1</v>
      </c>
      <c r="E17" s="164">
        <v>723</v>
      </c>
      <c r="F17" s="164">
        <v>52</v>
      </c>
      <c r="G17" s="164">
        <v>179</v>
      </c>
      <c r="H17" s="164">
        <v>982</v>
      </c>
      <c r="I17" s="164"/>
      <c r="J17" s="164">
        <v>3</v>
      </c>
      <c r="K17" s="164">
        <v>162</v>
      </c>
      <c r="L17" s="164">
        <v>178</v>
      </c>
      <c r="M17" s="164">
        <v>1</v>
      </c>
      <c r="N17" s="164">
        <v>21</v>
      </c>
      <c r="O17" s="164"/>
      <c r="P17" s="164"/>
      <c r="Q17" s="164">
        <v>361</v>
      </c>
      <c r="R17" s="12">
        <f t="shared" si="0"/>
        <v>2327</v>
      </c>
      <c r="S17" s="155">
        <f t="shared" si="6"/>
        <v>0</v>
      </c>
      <c r="T17" s="155">
        <f t="shared" si="7"/>
        <v>1.0743446497636441E-2</v>
      </c>
      <c r="U17" s="87">
        <f t="shared" si="8"/>
        <v>4.2973785990545768E-4</v>
      </c>
      <c r="V17" s="87">
        <f t="shared" si="9"/>
        <v>0.31070047271164591</v>
      </c>
      <c r="W17" s="87">
        <f t="shared" si="10"/>
        <v>2.23463687150838E-2</v>
      </c>
      <c r="X17" s="158">
        <f t="shared" si="11"/>
        <v>7.6923076923076927E-2</v>
      </c>
      <c r="Y17" s="158">
        <f t="shared" si="12"/>
        <v>0.42200257842715944</v>
      </c>
      <c r="Z17" s="158">
        <f t="shared" si="13"/>
        <v>0</v>
      </c>
      <c r="AA17" s="161">
        <f t="shared" si="14"/>
        <v>1.289213579716373E-3</v>
      </c>
      <c r="AB17" s="161">
        <f t="shared" si="15"/>
        <v>6.9617533304684148E-2</v>
      </c>
      <c r="AC17" s="161">
        <f t="shared" si="16"/>
        <v>7.6493339063171462E-2</v>
      </c>
      <c r="AD17" s="27">
        <f t="shared" si="17"/>
        <v>4.2973785990545768E-4</v>
      </c>
      <c r="AE17" s="27">
        <f t="shared" si="18"/>
        <v>9.0244950580146109E-3</v>
      </c>
      <c r="AF17" s="27">
        <f t="shared" si="19"/>
        <v>0</v>
      </c>
      <c r="AG17" s="166">
        <f t="shared" si="20"/>
        <v>0</v>
      </c>
      <c r="AH17" s="88">
        <f t="shared" si="21"/>
        <v>0.99999999999999989</v>
      </c>
      <c r="AJ17" s="19">
        <f t="shared" si="22"/>
        <v>0.39965620971207566</v>
      </c>
    </row>
    <row r="18" spans="1:36" x14ac:dyDescent="0.3">
      <c r="A18" s="123">
        <v>1994</v>
      </c>
      <c r="B18" s="164"/>
      <c r="C18" s="164">
        <v>25</v>
      </c>
      <c r="D18" s="164"/>
      <c r="E18" s="164">
        <v>693</v>
      </c>
      <c r="F18" s="164">
        <v>18</v>
      </c>
      <c r="G18" s="164">
        <v>784</v>
      </c>
      <c r="H18" s="164">
        <v>85</v>
      </c>
      <c r="I18" s="164">
        <v>1</v>
      </c>
      <c r="J18" s="164">
        <v>2</v>
      </c>
      <c r="K18" s="164">
        <v>933</v>
      </c>
      <c r="L18" s="164">
        <v>1</v>
      </c>
      <c r="M18" s="164">
        <v>2</v>
      </c>
      <c r="N18" s="164">
        <v>40</v>
      </c>
      <c r="O18" s="164"/>
      <c r="P18" s="164"/>
      <c r="Q18" s="164">
        <v>391</v>
      </c>
      <c r="R18" s="12">
        <f t="shared" si="0"/>
        <v>2584</v>
      </c>
      <c r="S18" s="155">
        <f t="shared" si="6"/>
        <v>0</v>
      </c>
      <c r="T18" s="155">
        <f t="shared" si="7"/>
        <v>9.6749226006191957E-3</v>
      </c>
      <c r="U18" s="87">
        <f t="shared" si="8"/>
        <v>0</v>
      </c>
      <c r="V18" s="87">
        <f t="shared" si="9"/>
        <v>0.26818885448916407</v>
      </c>
      <c r="W18" s="87">
        <f t="shared" si="10"/>
        <v>6.9659442724458202E-3</v>
      </c>
      <c r="X18" s="158">
        <f t="shared" si="11"/>
        <v>0.30340557275541796</v>
      </c>
      <c r="Y18" s="158">
        <f t="shared" si="12"/>
        <v>3.2894736842105261E-2</v>
      </c>
      <c r="Z18" s="158">
        <f t="shared" si="13"/>
        <v>3.8699690402476783E-4</v>
      </c>
      <c r="AA18" s="161">
        <f t="shared" si="14"/>
        <v>7.7399380804953565E-4</v>
      </c>
      <c r="AB18" s="161">
        <f t="shared" si="15"/>
        <v>0.36106811145510836</v>
      </c>
      <c r="AC18" s="161">
        <f t="shared" si="16"/>
        <v>3.8699690402476783E-4</v>
      </c>
      <c r="AD18" s="27">
        <f t="shared" si="17"/>
        <v>7.7399380804953565E-4</v>
      </c>
      <c r="AE18" s="27">
        <f t="shared" si="18"/>
        <v>1.5479876160990712E-2</v>
      </c>
      <c r="AF18" s="27">
        <f t="shared" si="19"/>
        <v>0</v>
      </c>
      <c r="AG18" s="166">
        <f t="shared" si="20"/>
        <v>0</v>
      </c>
      <c r="AH18" s="88">
        <f t="shared" si="21"/>
        <v>1.0000000000000002</v>
      </c>
      <c r="AJ18" s="19">
        <f t="shared" si="22"/>
        <v>0.58204334365325083</v>
      </c>
    </row>
    <row r="19" spans="1:36" x14ac:dyDescent="0.3">
      <c r="A19" s="123">
        <v>1995</v>
      </c>
      <c r="B19" s="164">
        <v>1</v>
      </c>
      <c r="C19" s="164">
        <v>210</v>
      </c>
      <c r="D19" s="164"/>
      <c r="E19" s="164">
        <v>250</v>
      </c>
      <c r="F19" s="164">
        <v>71</v>
      </c>
      <c r="G19" s="164">
        <v>1521</v>
      </c>
      <c r="H19" s="164">
        <v>138</v>
      </c>
      <c r="I19" s="164"/>
      <c r="J19" s="164">
        <v>7</v>
      </c>
      <c r="K19" s="164">
        <v>111</v>
      </c>
      <c r="L19" s="164"/>
      <c r="M19" s="164">
        <v>6</v>
      </c>
      <c r="N19" s="164"/>
      <c r="O19" s="164"/>
      <c r="P19" s="164"/>
      <c r="Q19" s="164">
        <v>363</v>
      </c>
      <c r="R19" s="12">
        <f t="shared" si="0"/>
        <v>2315</v>
      </c>
      <c r="S19" s="155">
        <f t="shared" si="6"/>
        <v>4.3196544276457883E-4</v>
      </c>
      <c r="T19" s="155">
        <f t="shared" si="7"/>
        <v>9.0712742980561561E-2</v>
      </c>
      <c r="U19" s="87">
        <f t="shared" si="8"/>
        <v>0</v>
      </c>
      <c r="V19" s="87">
        <f t="shared" si="9"/>
        <v>0.10799136069114471</v>
      </c>
      <c r="W19" s="87">
        <f t="shared" si="10"/>
        <v>3.0669546436285097E-2</v>
      </c>
      <c r="X19" s="158">
        <f t="shared" si="11"/>
        <v>0.65701943844492439</v>
      </c>
      <c r="Y19" s="158">
        <f t="shared" si="12"/>
        <v>5.9611231101511876E-2</v>
      </c>
      <c r="Z19" s="158">
        <f t="shared" si="13"/>
        <v>0</v>
      </c>
      <c r="AA19" s="161">
        <f t="shared" si="14"/>
        <v>3.0237580993520518E-3</v>
      </c>
      <c r="AB19" s="161">
        <f t="shared" si="15"/>
        <v>4.7948164146868248E-2</v>
      </c>
      <c r="AC19" s="161">
        <f t="shared" si="16"/>
        <v>0</v>
      </c>
      <c r="AD19" s="27">
        <f t="shared" si="17"/>
        <v>2.5917926565874731E-3</v>
      </c>
      <c r="AE19" s="27">
        <f t="shared" si="18"/>
        <v>0</v>
      </c>
      <c r="AF19" s="27">
        <f t="shared" si="19"/>
        <v>0</v>
      </c>
      <c r="AG19" s="166">
        <f t="shared" si="20"/>
        <v>0</v>
      </c>
      <c r="AH19" s="88">
        <f t="shared" si="21"/>
        <v>1</v>
      </c>
      <c r="AJ19" s="19">
        <f t="shared" si="22"/>
        <v>0.85874730021598278</v>
      </c>
    </row>
    <row r="20" spans="1:36" x14ac:dyDescent="0.3">
      <c r="A20" s="123">
        <v>1996</v>
      </c>
      <c r="B20" s="164">
        <v>1</v>
      </c>
      <c r="C20" s="164">
        <v>47</v>
      </c>
      <c r="D20" s="164">
        <v>1</v>
      </c>
      <c r="E20" s="164">
        <v>374</v>
      </c>
      <c r="F20" s="164">
        <v>26</v>
      </c>
      <c r="G20" s="164">
        <v>399</v>
      </c>
      <c r="H20" s="164">
        <v>543</v>
      </c>
      <c r="I20" s="164"/>
      <c r="J20" s="164">
        <v>12</v>
      </c>
      <c r="K20" s="164">
        <v>179</v>
      </c>
      <c r="L20" s="164">
        <v>4</v>
      </c>
      <c r="M20" s="164">
        <v>1</v>
      </c>
      <c r="N20" s="164"/>
      <c r="O20" s="164"/>
      <c r="P20" s="164"/>
      <c r="Q20" s="164">
        <v>263</v>
      </c>
      <c r="R20" s="12">
        <f t="shared" si="0"/>
        <v>1587</v>
      </c>
      <c r="S20" s="155">
        <f t="shared" si="6"/>
        <v>6.3011972274732201E-4</v>
      </c>
      <c r="T20" s="155">
        <f t="shared" si="7"/>
        <v>2.9615626969124134E-2</v>
      </c>
      <c r="U20" s="87">
        <f t="shared" si="8"/>
        <v>6.3011972274732201E-4</v>
      </c>
      <c r="V20" s="87">
        <f t="shared" si="9"/>
        <v>0.23566477630749844</v>
      </c>
      <c r="W20" s="87">
        <f t="shared" si="10"/>
        <v>1.6383112791430371E-2</v>
      </c>
      <c r="X20" s="158">
        <f t="shared" si="11"/>
        <v>0.25141776937618149</v>
      </c>
      <c r="Y20" s="158">
        <f t="shared" si="12"/>
        <v>0.34215500945179583</v>
      </c>
      <c r="Z20" s="158">
        <f t="shared" si="13"/>
        <v>0</v>
      </c>
      <c r="AA20" s="161">
        <f t="shared" si="14"/>
        <v>7.5614366729678641E-3</v>
      </c>
      <c r="AB20" s="161">
        <f t="shared" si="15"/>
        <v>0.11279143037177064</v>
      </c>
      <c r="AC20" s="161">
        <f t="shared" si="16"/>
        <v>2.520478890989288E-3</v>
      </c>
      <c r="AD20" s="27">
        <f t="shared" si="17"/>
        <v>6.3011972274732201E-4</v>
      </c>
      <c r="AE20" s="27">
        <f t="shared" si="18"/>
        <v>0</v>
      </c>
      <c r="AF20" s="27">
        <f t="shared" si="19"/>
        <v>0</v>
      </c>
      <c r="AG20" s="166">
        <f t="shared" si="20"/>
        <v>0</v>
      </c>
      <c r="AH20" s="88">
        <f t="shared" si="21"/>
        <v>0.99999999999999978</v>
      </c>
      <c r="AJ20" s="19">
        <f t="shared" si="22"/>
        <v>0.52425960932577187</v>
      </c>
    </row>
    <row r="21" spans="1:36" x14ac:dyDescent="0.3">
      <c r="A21" s="123">
        <v>1997</v>
      </c>
      <c r="B21" s="164"/>
      <c r="C21" s="164">
        <v>65</v>
      </c>
      <c r="D21" s="164"/>
      <c r="E21" s="164">
        <v>252</v>
      </c>
      <c r="F21" s="164">
        <v>30</v>
      </c>
      <c r="G21" s="164">
        <v>968</v>
      </c>
      <c r="H21" s="164">
        <v>64</v>
      </c>
      <c r="I21" s="164"/>
      <c r="J21" s="164">
        <v>4</v>
      </c>
      <c r="K21" s="164">
        <v>904</v>
      </c>
      <c r="L21" s="164"/>
      <c r="M21" s="164"/>
      <c r="N21" s="164"/>
      <c r="O21" s="164"/>
      <c r="P21" s="164"/>
      <c r="Q21" s="164">
        <v>350</v>
      </c>
      <c r="R21" s="12">
        <f t="shared" si="0"/>
        <v>2287</v>
      </c>
      <c r="S21" s="155">
        <f t="shared" si="6"/>
        <v>0</v>
      </c>
      <c r="T21" s="155">
        <f t="shared" si="7"/>
        <v>2.8421512898994316E-2</v>
      </c>
      <c r="U21" s="87">
        <f t="shared" si="8"/>
        <v>0</v>
      </c>
      <c r="V21" s="87">
        <f t="shared" si="9"/>
        <v>0.11018801923917797</v>
      </c>
      <c r="W21" s="87">
        <f t="shared" si="10"/>
        <v>1.3117621337997376E-2</v>
      </c>
      <c r="X21" s="158">
        <f t="shared" si="11"/>
        <v>0.42326191517271533</v>
      </c>
      <c r="Y21" s="158">
        <f t="shared" si="12"/>
        <v>2.7984258854394404E-2</v>
      </c>
      <c r="Z21" s="158">
        <f t="shared" si="13"/>
        <v>0</v>
      </c>
      <c r="AA21" s="161">
        <f t="shared" si="14"/>
        <v>1.7490161783996502E-3</v>
      </c>
      <c r="AB21" s="161">
        <f t="shared" si="15"/>
        <v>0.39527765631832096</v>
      </c>
      <c r="AC21" s="161">
        <f t="shared" si="16"/>
        <v>0</v>
      </c>
      <c r="AD21" s="27">
        <f t="shared" si="17"/>
        <v>0</v>
      </c>
      <c r="AE21" s="27">
        <f t="shared" si="18"/>
        <v>0</v>
      </c>
      <c r="AF21" s="27">
        <f t="shared" si="19"/>
        <v>0</v>
      </c>
      <c r="AG21" s="166">
        <f t="shared" si="20"/>
        <v>0</v>
      </c>
      <c r="AH21" s="88">
        <f t="shared" si="21"/>
        <v>1</v>
      </c>
      <c r="AJ21" s="19">
        <f t="shared" si="22"/>
        <v>0.56362046348928729</v>
      </c>
    </row>
    <row r="22" spans="1:36" x14ac:dyDescent="0.3">
      <c r="A22" s="124" t="s">
        <v>20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S22" s="155"/>
      <c r="T22" s="155"/>
      <c r="U22" s="87"/>
      <c r="V22" s="87"/>
      <c r="W22" s="87"/>
      <c r="X22" s="158"/>
      <c r="Y22" s="158"/>
      <c r="Z22" s="158"/>
      <c r="AA22" s="161"/>
      <c r="AB22" s="161"/>
      <c r="AC22" s="161"/>
      <c r="AD22" s="27"/>
      <c r="AE22" s="27"/>
      <c r="AF22" s="27"/>
      <c r="AG22" s="166"/>
      <c r="AH22" s="88"/>
      <c r="AJ22" s="19"/>
    </row>
    <row r="23" spans="1:36" x14ac:dyDescent="0.3">
      <c r="A23" s="123">
        <v>1999</v>
      </c>
      <c r="B23" s="164"/>
      <c r="C23" s="164">
        <v>6</v>
      </c>
      <c r="D23" s="164"/>
      <c r="E23" s="164">
        <v>40</v>
      </c>
      <c r="F23" s="164"/>
      <c r="G23" s="164">
        <v>2201</v>
      </c>
      <c r="H23" s="164">
        <v>4</v>
      </c>
      <c r="I23" s="164"/>
      <c r="J23" s="164"/>
      <c r="K23" s="164">
        <v>397</v>
      </c>
      <c r="L23" s="164">
        <v>1</v>
      </c>
      <c r="M23" s="164"/>
      <c r="N23" s="164"/>
      <c r="O23" s="164"/>
      <c r="P23" s="164"/>
      <c r="Q23" s="164">
        <v>458</v>
      </c>
      <c r="R23" s="12">
        <f t="shared" ref="R23:R42" si="23">SUM(B23:P23)</f>
        <v>2649</v>
      </c>
      <c r="S23" s="155">
        <f t="shared" si="6"/>
        <v>0</v>
      </c>
      <c r="T23" s="155">
        <f t="shared" si="7"/>
        <v>2.2650056625141564E-3</v>
      </c>
      <c r="U23" s="87">
        <f t="shared" si="8"/>
        <v>0</v>
      </c>
      <c r="V23" s="87">
        <f t="shared" si="9"/>
        <v>1.5100037750094376E-2</v>
      </c>
      <c r="W23" s="87">
        <f t="shared" si="10"/>
        <v>0</v>
      </c>
      <c r="X23" s="158">
        <f t="shared" si="11"/>
        <v>0.83087957719894301</v>
      </c>
      <c r="Y23" s="158">
        <f t="shared" si="12"/>
        <v>1.5100037750094375E-3</v>
      </c>
      <c r="Z23" s="158">
        <f t="shared" si="13"/>
        <v>0</v>
      </c>
      <c r="AA23" s="161">
        <f t="shared" si="14"/>
        <v>0</v>
      </c>
      <c r="AB23" s="161">
        <f t="shared" si="15"/>
        <v>0.14986787466968668</v>
      </c>
      <c r="AC23" s="161">
        <f t="shared" si="16"/>
        <v>3.7750094375235937E-4</v>
      </c>
      <c r="AD23" s="27">
        <f t="shared" si="17"/>
        <v>0</v>
      </c>
      <c r="AE23" s="27">
        <f t="shared" si="18"/>
        <v>0</v>
      </c>
      <c r="AF23" s="27">
        <f t="shared" si="19"/>
        <v>0</v>
      </c>
      <c r="AG23" s="166">
        <f t="shared" si="20"/>
        <v>0</v>
      </c>
      <c r="AH23" s="88">
        <f t="shared" si="21"/>
        <v>1</v>
      </c>
      <c r="AJ23" s="19">
        <f t="shared" si="22"/>
        <v>0.84824462061155159</v>
      </c>
    </row>
    <row r="24" spans="1:36" x14ac:dyDescent="0.3">
      <c r="A24" s="123">
        <v>2000</v>
      </c>
      <c r="B24" s="164">
        <v>1</v>
      </c>
      <c r="C24" s="164">
        <v>35</v>
      </c>
      <c r="D24" s="164">
        <v>3</v>
      </c>
      <c r="E24" s="164">
        <v>367</v>
      </c>
      <c r="F24" s="164">
        <v>2</v>
      </c>
      <c r="G24" s="164">
        <v>869</v>
      </c>
      <c r="H24" s="164">
        <v>13</v>
      </c>
      <c r="I24" s="164"/>
      <c r="J24" s="164">
        <v>80</v>
      </c>
      <c r="K24" s="164">
        <v>4</v>
      </c>
      <c r="L24" s="164"/>
      <c r="M24" s="164"/>
      <c r="N24" s="164"/>
      <c r="O24" s="164"/>
      <c r="P24" s="164"/>
      <c r="Q24" s="164">
        <v>223</v>
      </c>
      <c r="R24" s="12">
        <f t="shared" si="23"/>
        <v>1374</v>
      </c>
      <c r="S24" s="155">
        <f t="shared" si="6"/>
        <v>7.27802037845706E-4</v>
      </c>
      <c r="T24" s="155">
        <f t="shared" si="7"/>
        <v>2.5473071324599708E-2</v>
      </c>
      <c r="U24" s="87">
        <f t="shared" si="8"/>
        <v>2.1834061135371178E-3</v>
      </c>
      <c r="V24" s="87">
        <f t="shared" si="9"/>
        <v>0.26710334788937407</v>
      </c>
      <c r="W24" s="87">
        <f t="shared" si="10"/>
        <v>1.455604075691412E-3</v>
      </c>
      <c r="X24" s="158">
        <f t="shared" si="11"/>
        <v>0.6324599708879185</v>
      </c>
      <c r="Y24" s="158">
        <f t="shared" si="12"/>
        <v>9.4614264919941782E-3</v>
      </c>
      <c r="Z24" s="158">
        <f t="shared" si="13"/>
        <v>0</v>
      </c>
      <c r="AA24" s="161">
        <f t="shared" si="14"/>
        <v>5.8224163027656477E-2</v>
      </c>
      <c r="AB24" s="161">
        <f t="shared" si="15"/>
        <v>2.911208151382824E-3</v>
      </c>
      <c r="AC24" s="161">
        <f t="shared" si="16"/>
        <v>0</v>
      </c>
      <c r="AD24" s="27">
        <f t="shared" si="17"/>
        <v>0</v>
      </c>
      <c r="AE24" s="27">
        <f t="shared" si="18"/>
        <v>0</v>
      </c>
      <c r="AF24" s="27">
        <f t="shared" si="19"/>
        <v>0</v>
      </c>
      <c r="AG24" s="166">
        <f t="shared" si="20"/>
        <v>0</v>
      </c>
      <c r="AH24" s="88">
        <f t="shared" si="21"/>
        <v>0.99999999999999989</v>
      </c>
      <c r="AJ24" s="19">
        <f t="shared" si="22"/>
        <v>0.98326055312954874</v>
      </c>
    </row>
    <row r="25" spans="1:36" x14ac:dyDescent="0.3">
      <c r="A25" s="123">
        <v>2001</v>
      </c>
      <c r="B25" s="164"/>
      <c r="C25" s="164">
        <v>46</v>
      </c>
      <c r="D25" s="164">
        <v>2</v>
      </c>
      <c r="E25" s="164">
        <v>285</v>
      </c>
      <c r="F25" s="164">
        <v>30</v>
      </c>
      <c r="G25" s="164">
        <v>825</v>
      </c>
      <c r="H25" s="164">
        <v>18</v>
      </c>
      <c r="I25" s="164">
        <v>1</v>
      </c>
      <c r="J25" s="164">
        <v>2</v>
      </c>
      <c r="K25" s="164">
        <v>22</v>
      </c>
      <c r="L25" s="164"/>
      <c r="M25" s="164"/>
      <c r="N25" s="164"/>
      <c r="O25" s="164"/>
      <c r="P25" s="164"/>
      <c r="Q25" s="164">
        <v>498</v>
      </c>
      <c r="R25" s="12">
        <f t="shared" si="23"/>
        <v>1231</v>
      </c>
      <c r="S25" s="155">
        <f t="shared" si="6"/>
        <v>0</v>
      </c>
      <c r="T25" s="155">
        <f t="shared" si="7"/>
        <v>3.736799350121852E-2</v>
      </c>
      <c r="U25" s="87">
        <f t="shared" si="8"/>
        <v>1.6246953696181965E-3</v>
      </c>
      <c r="V25" s="87">
        <f t="shared" si="9"/>
        <v>0.23151909017059302</v>
      </c>
      <c r="W25" s="87">
        <f t="shared" si="10"/>
        <v>2.4370430544272948E-2</v>
      </c>
      <c r="X25" s="158">
        <f t="shared" si="11"/>
        <v>0.67018683996750605</v>
      </c>
      <c r="Y25" s="158">
        <f t="shared" si="12"/>
        <v>1.462225832656377E-2</v>
      </c>
      <c r="Z25" s="158">
        <f t="shared" si="13"/>
        <v>8.1234768480909826E-4</v>
      </c>
      <c r="AA25" s="161">
        <f t="shared" si="14"/>
        <v>1.6246953696181965E-3</v>
      </c>
      <c r="AB25" s="161">
        <f t="shared" si="15"/>
        <v>1.7871649065800164E-2</v>
      </c>
      <c r="AC25" s="161">
        <f t="shared" si="16"/>
        <v>0</v>
      </c>
      <c r="AD25" s="27">
        <f t="shared" si="17"/>
        <v>0</v>
      </c>
      <c r="AE25" s="27">
        <f t="shared" si="18"/>
        <v>0</v>
      </c>
      <c r="AF25" s="27">
        <f t="shared" si="19"/>
        <v>0</v>
      </c>
      <c r="AG25" s="166">
        <f t="shared" si="20"/>
        <v>0</v>
      </c>
      <c r="AH25" s="88">
        <f t="shared" si="21"/>
        <v>1</v>
      </c>
      <c r="AJ25" s="19">
        <f t="shared" si="22"/>
        <v>0.9406986190089357</v>
      </c>
    </row>
    <row r="26" spans="1:36" x14ac:dyDescent="0.3">
      <c r="A26" s="123">
        <v>2002</v>
      </c>
      <c r="B26" s="164"/>
      <c r="C26" s="164">
        <v>4</v>
      </c>
      <c r="D26" s="164"/>
      <c r="E26" s="164">
        <v>845</v>
      </c>
      <c r="F26" s="164">
        <v>21</v>
      </c>
      <c r="G26" s="164">
        <v>194</v>
      </c>
      <c r="H26" s="164">
        <v>864</v>
      </c>
      <c r="I26" s="164"/>
      <c r="J26" s="164">
        <v>2</v>
      </c>
      <c r="K26" s="164">
        <v>212</v>
      </c>
      <c r="L26" s="164">
        <v>1</v>
      </c>
      <c r="M26" s="164">
        <v>2</v>
      </c>
      <c r="N26" s="164">
        <v>1</v>
      </c>
      <c r="O26" s="164"/>
      <c r="P26" s="164"/>
      <c r="Q26" s="164">
        <v>487</v>
      </c>
      <c r="R26" s="12">
        <f t="shared" si="23"/>
        <v>2146</v>
      </c>
      <c r="S26" s="155">
        <f t="shared" si="6"/>
        <v>0</v>
      </c>
      <c r="T26" s="155">
        <f t="shared" si="7"/>
        <v>1.863932898415657E-3</v>
      </c>
      <c r="U26" s="87">
        <f t="shared" si="8"/>
        <v>0</v>
      </c>
      <c r="V26" s="87">
        <f t="shared" si="9"/>
        <v>0.39375582479030757</v>
      </c>
      <c r="W26" s="87">
        <f t="shared" si="10"/>
        <v>9.7856477166821994E-3</v>
      </c>
      <c r="X26" s="158">
        <f t="shared" si="11"/>
        <v>9.0400745573159372E-2</v>
      </c>
      <c r="Y26" s="158">
        <f t="shared" si="12"/>
        <v>0.4026095060577819</v>
      </c>
      <c r="Z26" s="158">
        <f t="shared" si="13"/>
        <v>0</v>
      </c>
      <c r="AA26" s="161">
        <f t="shared" si="14"/>
        <v>9.3196644920782849E-4</v>
      </c>
      <c r="AB26" s="161">
        <f t="shared" si="15"/>
        <v>9.8788443616029828E-2</v>
      </c>
      <c r="AC26" s="161">
        <f t="shared" si="16"/>
        <v>4.6598322460391424E-4</v>
      </c>
      <c r="AD26" s="27">
        <f t="shared" si="17"/>
        <v>9.3196644920782849E-4</v>
      </c>
      <c r="AE26" s="27">
        <f t="shared" si="18"/>
        <v>4.6598322460391424E-4</v>
      </c>
      <c r="AF26" s="27">
        <f t="shared" si="19"/>
        <v>0</v>
      </c>
      <c r="AG26" s="166">
        <f t="shared" si="20"/>
        <v>0</v>
      </c>
      <c r="AH26" s="88">
        <f t="shared" si="21"/>
        <v>0.99999999999999978</v>
      </c>
      <c r="AJ26" s="19">
        <f t="shared" si="22"/>
        <v>0.48695246971109041</v>
      </c>
    </row>
    <row r="27" spans="1:36" x14ac:dyDescent="0.3">
      <c r="A27" s="123">
        <v>2003</v>
      </c>
      <c r="B27" s="164"/>
      <c r="C27" s="164">
        <v>1</v>
      </c>
      <c r="D27" s="164"/>
      <c r="E27" s="164">
        <v>98</v>
      </c>
      <c r="F27" s="164">
        <v>10</v>
      </c>
      <c r="G27" s="164">
        <v>163</v>
      </c>
      <c r="H27" s="164">
        <v>1414</v>
      </c>
      <c r="I27" s="164"/>
      <c r="J27" s="164">
        <v>1</v>
      </c>
      <c r="K27" s="164">
        <v>308</v>
      </c>
      <c r="L27" s="164"/>
      <c r="M27" s="164">
        <v>2</v>
      </c>
      <c r="N27" s="164"/>
      <c r="O27" s="164"/>
      <c r="P27" s="164"/>
      <c r="Q27" s="164">
        <v>538</v>
      </c>
      <c r="R27" s="12">
        <f t="shared" si="23"/>
        <v>1997</v>
      </c>
      <c r="S27" s="155">
        <f t="shared" si="6"/>
        <v>0</v>
      </c>
      <c r="T27" s="155">
        <f t="shared" si="7"/>
        <v>5.00751126690035E-4</v>
      </c>
      <c r="U27" s="87">
        <f t="shared" si="8"/>
        <v>0</v>
      </c>
      <c r="V27" s="87">
        <f t="shared" si="9"/>
        <v>4.9073610415623435E-2</v>
      </c>
      <c r="W27" s="87">
        <f t="shared" si="10"/>
        <v>5.0075112669003509E-3</v>
      </c>
      <c r="X27" s="158">
        <f t="shared" si="11"/>
        <v>8.1622433650475709E-2</v>
      </c>
      <c r="Y27" s="158">
        <f t="shared" si="12"/>
        <v>0.70806209313970958</v>
      </c>
      <c r="Z27" s="158">
        <f t="shared" si="13"/>
        <v>0</v>
      </c>
      <c r="AA27" s="161">
        <f t="shared" si="14"/>
        <v>5.00751126690035E-4</v>
      </c>
      <c r="AB27" s="161">
        <f t="shared" si="15"/>
        <v>0.15423134702053079</v>
      </c>
      <c r="AC27" s="161">
        <f t="shared" si="16"/>
        <v>0</v>
      </c>
      <c r="AD27" s="27">
        <f t="shared" si="17"/>
        <v>1.00150225338007E-3</v>
      </c>
      <c r="AE27" s="27">
        <f t="shared" si="18"/>
        <v>0</v>
      </c>
      <c r="AF27" s="27">
        <f t="shared" si="19"/>
        <v>0</v>
      </c>
      <c r="AG27" s="166">
        <f t="shared" si="20"/>
        <v>0</v>
      </c>
      <c r="AH27" s="88">
        <f t="shared" si="21"/>
        <v>0.99999999999999989</v>
      </c>
      <c r="AJ27" s="19">
        <f t="shared" si="22"/>
        <v>0.13169754631947922</v>
      </c>
    </row>
    <row r="28" spans="1:36" x14ac:dyDescent="0.3">
      <c r="A28" s="123">
        <v>2004</v>
      </c>
      <c r="B28" s="164"/>
      <c r="C28" s="164">
        <v>28</v>
      </c>
      <c r="D28" s="164"/>
      <c r="E28" s="164">
        <v>884</v>
      </c>
      <c r="F28" s="164">
        <v>18</v>
      </c>
      <c r="G28" s="164">
        <v>1386</v>
      </c>
      <c r="H28" s="164">
        <v>68</v>
      </c>
      <c r="I28" s="164"/>
      <c r="J28" s="164"/>
      <c r="K28" s="164">
        <v>165</v>
      </c>
      <c r="L28" s="164"/>
      <c r="M28" s="164"/>
      <c r="N28" s="164"/>
      <c r="O28" s="164"/>
      <c r="P28" s="164"/>
      <c r="Q28" s="164">
        <v>802</v>
      </c>
      <c r="R28" s="12">
        <f t="shared" si="23"/>
        <v>2549</v>
      </c>
      <c r="S28" s="155">
        <f t="shared" si="6"/>
        <v>0</v>
      </c>
      <c r="T28" s="155">
        <f t="shared" si="7"/>
        <v>1.0984699882306787E-2</v>
      </c>
      <c r="U28" s="87">
        <f t="shared" si="8"/>
        <v>0</v>
      </c>
      <c r="V28" s="87">
        <f t="shared" si="9"/>
        <v>0.34680266771282858</v>
      </c>
      <c r="W28" s="87">
        <f t="shared" si="10"/>
        <v>7.0615927814829341E-3</v>
      </c>
      <c r="X28" s="158">
        <f t="shared" si="11"/>
        <v>0.54374264417418594</v>
      </c>
      <c r="Y28" s="158">
        <f t="shared" si="12"/>
        <v>2.6677128285602196E-2</v>
      </c>
      <c r="Z28" s="158">
        <f t="shared" si="13"/>
        <v>0</v>
      </c>
      <c r="AA28" s="161">
        <f t="shared" si="14"/>
        <v>0</v>
      </c>
      <c r="AB28" s="161">
        <f t="shared" si="15"/>
        <v>6.4731267163593564E-2</v>
      </c>
      <c r="AC28" s="161">
        <f t="shared" si="16"/>
        <v>0</v>
      </c>
      <c r="AD28" s="27">
        <f t="shared" si="17"/>
        <v>0</v>
      </c>
      <c r="AE28" s="27">
        <f t="shared" si="18"/>
        <v>0</v>
      </c>
      <c r="AF28" s="27">
        <f t="shared" si="19"/>
        <v>0</v>
      </c>
      <c r="AG28" s="166">
        <f t="shared" si="20"/>
        <v>0</v>
      </c>
      <c r="AH28" s="88">
        <f t="shared" si="21"/>
        <v>1</v>
      </c>
      <c r="AJ28" s="19">
        <f t="shared" si="22"/>
        <v>0.90153001176932124</v>
      </c>
    </row>
    <row r="29" spans="1:36" x14ac:dyDescent="0.3">
      <c r="A29" s="123">
        <v>2005</v>
      </c>
      <c r="B29" s="164">
        <v>1</v>
      </c>
      <c r="C29" s="164">
        <v>46</v>
      </c>
      <c r="D29" s="164"/>
      <c r="E29" s="164">
        <v>394</v>
      </c>
      <c r="F29" s="164">
        <v>228</v>
      </c>
      <c r="G29" s="164">
        <v>1067</v>
      </c>
      <c r="H29" s="164">
        <v>429</v>
      </c>
      <c r="I29" s="164"/>
      <c r="J29" s="164">
        <v>4</v>
      </c>
      <c r="K29" s="164">
        <v>195</v>
      </c>
      <c r="L29" s="164"/>
      <c r="M29" s="164">
        <v>2</v>
      </c>
      <c r="N29" s="164"/>
      <c r="O29" s="164"/>
      <c r="P29" s="164"/>
      <c r="Q29" s="164">
        <v>595</v>
      </c>
      <c r="R29" s="12">
        <f t="shared" si="23"/>
        <v>2366</v>
      </c>
      <c r="S29" s="155">
        <f t="shared" si="6"/>
        <v>4.2265426880811494E-4</v>
      </c>
      <c r="T29" s="155">
        <f t="shared" si="7"/>
        <v>1.944209636517329E-2</v>
      </c>
      <c r="U29" s="87">
        <f t="shared" si="8"/>
        <v>0</v>
      </c>
      <c r="V29" s="87">
        <f t="shared" si="9"/>
        <v>0.1665257819103973</v>
      </c>
      <c r="W29" s="87">
        <f t="shared" si="10"/>
        <v>9.6365173288250214E-2</v>
      </c>
      <c r="X29" s="158">
        <f t="shared" si="11"/>
        <v>0.45097210481825867</v>
      </c>
      <c r="Y29" s="158">
        <f t="shared" si="12"/>
        <v>0.18131868131868131</v>
      </c>
      <c r="Z29" s="158">
        <f t="shared" si="13"/>
        <v>0</v>
      </c>
      <c r="AA29" s="161">
        <f t="shared" si="14"/>
        <v>1.6906170752324597E-3</v>
      </c>
      <c r="AB29" s="161">
        <f t="shared" si="15"/>
        <v>8.2417582417582416E-2</v>
      </c>
      <c r="AC29" s="161">
        <f t="shared" si="16"/>
        <v>0</v>
      </c>
      <c r="AD29" s="27">
        <f t="shared" si="17"/>
        <v>8.4530853761622987E-4</v>
      </c>
      <c r="AE29" s="27">
        <f t="shared" si="18"/>
        <v>0</v>
      </c>
      <c r="AF29" s="27">
        <f t="shared" si="19"/>
        <v>0</v>
      </c>
      <c r="AG29" s="166">
        <f t="shared" si="20"/>
        <v>0</v>
      </c>
      <c r="AH29" s="88">
        <f t="shared" si="21"/>
        <v>1</v>
      </c>
      <c r="AJ29" s="19">
        <f t="shared" si="22"/>
        <v>0.6386306001690617</v>
      </c>
    </row>
    <row r="30" spans="1:36" x14ac:dyDescent="0.3">
      <c r="A30" s="123">
        <v>2006</v>
      </c>
      <c r="B30" s="164"/>
      <c r="C30" s="164"/>
      <c r="D30" s="164"/>
      <c r="E30" s="164">
        <v>280</v>
      </c>
      <c r="F30" s="164"/>
      <c r="G30" s="164">
        <v>96</v>
      </c>
      <c r="H30" s="164">
        <v>77</v>
      </c>
      <c r="I30" s="164"/>
      <c r="J30" s="164"/>
      <c r="K30" s="164">
        <v>48</v>
      </c>
      <c r="L30" s="164"/>
      <c r="M30" s="164"/>
      <c r="N30" s="164"/>
      <c r="O30" s="164"/>
      <c r="P30" s="164"/>
      <c r="Q30" s="164">
        <v>126</v>
      </c>
      <c r="R30" s="12">
        <f t="shared" si="23"/>
        <v>501</v>
      </c>
      <c r="S30" s="155">
        <f t="shared" si="6"/>
        <v>0</v>
      </c>
      <c r="T30" s="155">
        <f t="shared" si="7"/>
        <v>0</v>
      </c>
      <c r="U30" s="87">
        <f t="shared" si="8"/>
        <v>0</v>
      </c>
      <c r="V30" s="87">
        <f t="shared" si="9"/>
        <v>0.55888223552894212</v>
      </c>
      <c r="W30" s="87">
        <f t="shared" si="10"/>
        <v>0</v>
      </c>
      <c r="X30" s="158">
        <f t="shared" si="11"/>
        <v>0.19161676646706588</v>
      </c>
      <c r="Y30" s="158">
        <f t="shared" si="12"/>
        <v>0.15369261477045909</v>
      </c>
      <c r="Z30" s="158">
        <f t="shared" si="13"/>
        <v>0</v>
      </c>
      <c r="AA30" s="161">
        <f t="shared" si="14"/>
        <v>0</v>
      </c>
      <c r="AB30" s="161">
        <f t="shared" si="15"/>
        <v>9.580838323353294E-2</v>
      </c>
      <c r="AC30" s="161">
        <f t="shared" si="16"/>
        <v>0</v>
      </c>
      <c r="AD30" s="27">
        <f t="shared" si="17"/>
        <v>0</v>
      </c>
      <c r="AE30" s="27">
        <f t="shared" si="18"/>
        <v>0</v>
      </c>
      <c r="AF30" s="27">
        <f t="shared" si="19"/>
        <v>0</v>
      </c>
      <c r="AG30" s="166">
        <f t="shared" si="20"/>
        <v>0</v>
      </c>
      <c r="AH30" s="88">
        <f t="shared" si="21"/>
        <v>1.0000000000000002</v>
      </c>
      <c r="AJ30" s="19">
        <f t="shared" si="22"/>
        <v>0.75049900199600805</v>
      </c>
    </row>
    <row r="31" spans="1:36" x14ac:dyDescent="0.3">
      <c r="A31" s="123">
        <v>2007</v>
      </c>
      <c r="B31" s="164"/>
      <c r="C31" s="164"/>
      <c r="D31" s="164"/>
      <c r="E31" s="164">
        <v>26</v>
      </c>
      <c r="F31" s="164"/>
      <c r="G31" s="164">
        <v>356</v>
      </c>
      <c r="H31" s="164">
        <v>17</v>
      </c>
      <c r="I31" s="164"/>
      <c r="J31" s="164">
        <v>2</v>
      </c>
      <c r="K31" s="164">
        <v>59</v>
      </c>
      <c r="L31" s="164"/>
      <c r="M31" s="164">
        <v>1</v>
      </c>
      <c r="N31" s="164"/>
      <c r="O31" s="164"/>
      <c r="P31" s="164"/>
      <c r="Q31" s="164">
        <v>174</v>
      </c>
      <c r="R31" s="12">
        <f t="shared" si="23"/>
        <v>461</v>
      </c>
      <c r="S31" s="155">
        <f t="shared" si="6"/>
        <v>0</v>
      </c>
      <c r="T31" s="155">
        <f t="shared" si="7"/>
        <v>0</v>
      </c>
      <c r="U31" s="87">
        <f t="shared" si="8"/>
        <v>0</v>
      </c>
      <c r="V31" s="87">
        <f t="shared" si="9"/>
        <v>5.6399132321041212E-2</v>
      </c>
      <c r="W31" s="87">
        <f t="shared" si="10"/>
        <v>0</v>
      </c>
      <c r="X31" s="158">
        <f t="shared" si="11"/>
        <v>0.77223427331887207</v>
      </c>
      <c r="Y31" s="158">
        <f t="shared" si="12"/>
        <v>3.6876355748373099E-2</v>
      </c>
      <c r="Z31" s="158">
        <f t="shared" si="13"/>
        <v>0</v>
      </c>
      <c r="AA31" s="161">
        <f t="shared" si="14"/>
        <v>4.3383947939262474E-3</v>
      </c>
      <c r="AB31" s="161">
        <f t="shared" si="15"/>
        <v>0.1279826464208243</v>
      </c>
      <c r="AC31" s="161">
        <f t="shared" si="16"/>
        <v>0</v>
      </c>
      <c r="AD31" s="27">
        <f t="shared" si="17"/>
        <v>2.1691973969631237E-3</v>
      </c>
      <c r="AE31" s="27">
        <f t="shared" si="18"/>
        <v>0</v>
      </c>
      <c r="AF31" s="27">
        <f t="shared" si="19"/>
        <v>0</v>
      </c>
      <c r="AG31" s="166">
        <f t="shared" si="20"/>
        <v>0</v>
      </c>
      <c r="AH31" s="88">
        <f t="shared" si="21"/>
        <v>1</v>
      </c>
      <c r="AJ31" s="19">
        <f t="shared" si="22"/>
        <v>0.83297180043383956</v>
      </c>
    </row>
    <row r="32" spans="1:36" x14ac:dyDescent="0.3">
      <c r="A32" s="123">
        <v>2008</v>
      </c>
      <c r="B32" s="164"/>
      <c r="C32" s="164">
        <v>1</v>
      </c>
      <c r="D32" s="164"/>
      <c r="E32" s="164">
        <v>56</v>
      </c>
      <c r="F32" s="164">
        <v>15</v>
      </c>
      <c r="G32" s="164">
        <v>265</v>
      </c>
      <c r="H32" s="164">
        <v>17</v>
      </c>
      <c r="I32" s="164"/>
      <c r="J32" s="164">
        <v>5</v>
      </c>
      <c r="K32" s="164">
        <v>90</v>
      </c>
      <c r="L32" s="164"/>
      <c r="M32" s="164">
        <v>2</v>
      </c>
      <c r="N32" s="164"/>
      <c r="O32" s="164"/>
      <c r="P32" s="164"/>
      <c r="Q32" s="164">
        <v>180</v>
      </c>
      <c r="R32" s="12">
        <f t="shared" si="23"/>
        <v>451</v>
      </c>
      <c r="S32" s="155">
        <f t="shared" si="6"/>
        <v>0</v>
      </c>
      <c r="T32" s="155">
        <f t="shared" si="7"/>
        <v>2.2172949002217295E-3</v>
      </c>
      <c r="U32" s="87">
        <f t="shared" si="8"/>
        <v>0</v>
      </c>
      <c r="V32" s="87">
        <f t="shared" si="9"/>
        <v>0.12416851441241686</v>
      </c>
      <c r="W32" s="87">
        <f t="shared" si="10"/>
        <v>3.325942350332594E-2</v>
      </c>
      <c r="X32" s="158">
        <f t="shared" si="11"/>
        <v>0.58758314855875826</v>
      </c>
      <c r="Y32" s="158">
        <f t="shared" si="12"/>
        <v>3.7694013303769404E-2</v>
      </c>
      <c r="Z32" s="158">
        <f t="shared" si="13"/>
        <v>0</v>
      </c>
      <c r="AA32" s="161">
        <f t="shared" si="14"/>
        <v>1.1086474501108648E-2</v>
      </c>
      <c r="AB32" s="161">
        <f t="shared" si="15"/>
        <v>0.19955654101995565</v>
      </c>
      <c r="AC32" s="161">
        <f t="shared" si="16"/>
        <v>0</v>
      </c>
      <c r="AD32" s="27">
        <f t="shared" si="17"/>
        <v>4.434589800443459E-3</v>
      </c>
      <c r="AE32" s="27">
        <f t="shared" si="18"/>
        <v>0</v>
      </c>
      <c r="AF32" s="27">
        <f t="shared" si="19"/>
        <v>0</v>
      </c>
      <c r="AG32" s="166">
        <f t="shared" si="20"/>
        <v>0</v>
      </c>
      <c r="AH32" s="88">
        <f t="shared" si="21"/>
        <v>1</v>
      </c>
      <c r="AJ32" s="19">
        <f t="shared" si="22"/>
        <v>0.72505543237250547</v>
      </c>
    </row>
    <row r="33" spans="1:36" x14ac:dyDescent="0.3">
      <c r="A33" s="123">
        <v>2009</v>
      </c>
      <c r="B33" s="164"/>
      <c r="C33" s="164">
        <v>20</v>
      </c>
      <c r="D33" s="164"/>
      <c r="E33" s="164">
        <v>40</v>
      </c>
      <c r="F33" s="164">
        <v>12</v>
      </c>
      <c r="G33" s="164">
        <v>187</v>
      </c>
      <c r="H33" s="164">
        <v>182</v>
      </c>
      <c r="I33" s="164"/>
      <c r="J33" s="164"/>
      <c r="K33" s="164">
        <v>11</v>
      </c>
      <c r="L33" s="164">
        <v>2</v>
      </c>
      <c r="M33" s="164"/>
      <c r="N33" s="164"/>
      <c r="O33" s="164"/>
      <c r="P33" s="164"/>
      <c r="Q33" s="164">
        <v>175</v>
      </c>
      <c r="R33" s="12">
        <f t="shared" si="23"/>
        <v>454</v>
      </c>
      <c r="S33" s="155">
        <f t="shared" si="6"/>
        <v>0</v>
      </c>
      <c r="T33" s="155">
        <f t="shared" si="7"/>
        <v>4.405286343612335E-2</v>
      </c>
      <c r="U33" s="87">
        <f t="shared" si="8"/>
        <v>0</v>
      </c>
      <c r="V33" s="87">
        <f t="shared" si="9"/>
        <v>8.8105726872246701E-2</v>
      </c>
      <c r="W33" s="87">
        <f t="shared" si="10"/>
        <v>2.643171806167401E-2</v>
      </c>
      <c r="X33" s="158">
        <f t="shared" si="11"/>
        <v>0.41189427312775329</v>
      </c>
      <c r="Y33" s="158">
        <f t="shared" si="12"/>
        <v>0.40088105726872247</v>
      </c>
      <c r="Z33" s="158">
        <f t="shared" si="13"/>
        <v>0</v>
      </c>
      <c r="AA33" s="161">
        <f t="shared" si="14"/>
        <v>0</v>
      </c>
      <c r="AB33" s="161">
        <f t="shared" si="15"/>
        <v>2.4229074889867842E-2</v>
      </c>
      <c r="AC33" s="161">
        <f t="shared" si="16"/>
        <v>4.4052863436123352E-3</v>
      </c>
      <c r="AD33" s="27">
        <f t="shared" si="17"/>
        <v>0</v>
      </c>
      <c r="AE33" s="27">
        <f t="shared" si="18"/>
        <v>0</v>
      </c>
      <c r="AF33" s="27">
        <f t="shared" si="19"/>
        <v>0</v>
      </c>
      <c r="AG33" s="166">
        <f t="shared" si="20"/>
        <v>0</v>
      </c>
      <c r="AH33" s="88">
        <f t="shared" si="21"/>
        <v>1</v>
      </c>
      <c r="AJ33" s="19">
        <f t="shared" si="22"/>
        <v>0.54405286343612336</v>
      </c>
    </row>
    <row r="34" spans="1:36" x14ac:dyDescent="0.3">
      <c r="A34" s="123">
        <v>2010</v>
      </c>
      <c r="B34" s="164"/>
      <c r="C34" s="164"/>
      <c r="D34" s="164"/>
      <c r="E34" s="164">
        <v>281</v>
      </c>
      <c r="F34" s="164">
        <v>4</v>
      </c>
      <c r="G34" s="164">
        <v>47</v>
      </c>
      <c r="H34" s="164">
        <v>69</v>
      </c>
      <c r="I34" s="164"/>
      <c r="J34" s="164">
        <v>1</v>
      </c>
      <c r="K34" s="164">
        <v>83</v>
      </c>
      <c r="L34" s="164"/>
      <c r="M34" s="164"/>
      <c r="N34" s="164"/>
      <c r="O34" s="164"/>
      <c r="P34" s="164"/>
      <c r="Q34" s="164">
        <v>142</v>
      </c>
      <c r="R34" s="12">
        <f t="shared" si="23"/>
        <v>485</v>
      </c>
      <c r="S34" s="155">
        <f t="shared" si="6"/>
        <v>0</v>
      </c>
      <c r="T34" s="155">
        <f t="shared" si="7"/>
        <v>0</v>
      </c>
      <c r="U34" s="87">
        <f t="shared" si="8"/>
        <v>0</v>
      </c>
      <c r="V34" s="87">
        <f t="shared" si="9"/>
        <v>0.57938144329896912</v>
      </c>
      <c r="W34" s="87">
        <f t="shared" si="10"/>
        <v>8.2474226804123713E-3</v>
      </c>
      <c r="X34" s="158">
        <f t="shared" si="11"/>
        <v>9.6907216494845363E-2</v>
      </c>
      <c r="Y34" s="158">
        <f t="shared" si="12"/>
        <v>0.1422680412371134</v>
      </c>
      <c r="Z34" s="158">
        <f t="shared" si="13"/>
        <v>0</v>
      </c>
      <c r="AA34" s="161">
        <f t="shared" si="14"/>
        <v>2.0618556701030928E-3</v>
      </c>
      <c r="AB34" s="161">
        <f t="shared" si="15"/>
        <v>0.1711340206185567</v>
      </c>
      <c r="AC34" s="161">
        <f t="shared" si="16"/>
        <v>0</v>
      </c>
      <c r="AD34" s="27">
        <f t="shared" si="17"/>
        <v>0</v>
      </c>
      <c r="AE34" s="27">
        <f t="shared" si="18"/>
        <v>0</v>
      </c>
      <c r="AF34" s="27">
        <f t="shared" si="19"/>
        <v>0</v>
      </c>
      <c r="AG34" s="166">
        <f t="shared" si="20"/>
        <v>0</v>
      </c>
      <c r="AH34" s="88">
        <f t="shared" si="21"/>
        <v>1</v>
      </c>
      <c r="AJ34" s="19">
        <f t="shared" si="22"/>
        <v>0.67835051546391756</v>
      </c>
    </row>
    <row r="35" spans="1:36" x14ac:dyDescent="0.3">
      <c r="A35" s="123">
        <v>2011</v>
      </c>
      <c r="B35" s="164"/>
      <c r="C35" s="164">
        <v>53</v>
      </c>
      <c r="D35" s="164"/>
      <c r="E35" s="164">
        <v>24</v>
      </c>
      <c r="F35" s="164">
        <v>46</v>
      </c>
      <c r="G35" s="164">
        <v>262</v>
      </c>
      <c r="H35" s="164">
        <v>39</v>
      </c>
      <c r="I35" s="164"/>
      <c r="J35" s="164"/>
      <c r="K35" s="164">
        <v>70</v>
      </c>
      <c r="L35" s="164"/>
      <c r="M35" s="164"/>
      <c r="N35" s="164"/>
      <c r="O35" s="164"/>
      <c r="P35" s="164"/>
      <c r="Q35" s="164">
        <v>195</v>
      </c>
      <c r="R35" s="12">
        <f t="shared" si="23"/>
        <v>494</v>
      </c>
      <c r="S35" s="155">
        <f t="shared" si="6"/>
        <v>0</v>
      </c>
      <c r="T35" s="155">
        <f t="shared" si="7"/>
        <v>0.10728744939271255</v>
      </c>
      <c r="U35" s="87">
        <f t="shared" si="8"/>
        <v>0</v>
      </c>
      <c r="V35" s="87">
        <f t="shared" si="9"/>
        <v>4.8582995951417005E-2</v>
      </c>
      <c r="W35" s="87">
        <f t="shared" si="10"/>
        <v>9.3117408906882596E-2</v>
      </c>
      <c r="X35" s="158">
        <f t="shared" si="11"/>
        <v>0.53036437246963564</v>
      </c>
      <c r="Y35" s="158">
        <f t="shared" si="12"/>
        <v>7.8947368421052627E-2</v>
      </c>
      <c r="Z35" s="158">
        <f t="shared" si="13"/>
        <v>0</v>
      </c>
      <c r="AA35" s="161">
        <f t="shared" si="14"/>
        <v>0</v>
      </c>
      <c r="AB35" s="161">
        <f t="shared" si="15"/>
        <v>0.1417004048582996</v>
      </c>
      <c r="AC35" s="161">
        <f t="shared" si="16"/>
        <v>0</v>
      </c>
      <c r="AD35" s="27">
        <f t="shared" si="17"/>
        <v>0</v>
      </c>
      <c r="AE35" s="27">
        <f t="shared" si="18"/>
        <v>0</v>
      </c>
      <c r="AF35" s="27">
        <f t="shared" si="19"/>
        <v>0</v>
      </c>
      <c r="AG35" s="166">
        <f t="shared" si="20"/>
        <v>0</v>
      </c>
      <c r="AH35" s="88">
        <f t="shared" si="21"/>
        <v>1</v>
      </c>
      <c r="AJ35" s="19">
        <f t="shared" si="22"/>
        <v>0.68623481781376516</v>
      </c>
    </row>
    <row r="36" spans="1:36" x14ac:dyDescent="0.3">
      <c r="A36" s="123">
        <v>2012</v>
      </c>
      <c r="B36" s="164"/>
      <c r="C36" s="164">
        <v>50</v>
      </c>
      <c r="D36" s="164"/>
      <c r="E36" s="164">
        <v>259</v>
      </c>
      <c r="F36" s="164">
        <v>38</v>
      </c>
      <c r="G36" s="164">
        <v>21</v>
      </c>
      <c r="H36" s="164">
        <v>186</v>
      </c>
      <c r="I36" s="164"/>
      <c r="J36" s="164"/>
      <c r="K36" s="164">
        <v>16</v>
      </c>
      <c r="L36" s="164">
        <v>8</v>
      </c>
      <c r="M36" s="164"/>
      <c r="N36" s="164"/>
      <c r="O36" s="164"/>
      <c r="P36" s="164"/>
      <c r="Q36" s="164">
        <v>117</v>
      </c>
      <c r="R36" s="12">
        <f t="shared" si="23"/>
        <v>578</v>
      </c>
      <c r="S36" s="155">
        <f t="shared" si="6"/>
        <v>0</v>
      </c>
      <c r="T36" s="155">
        <f t="shared" si="7"/>
        <v>8.6505190311418678E-2</v>
      </c>
      <c r="U36" s="87">
        <f t="shared" si="8"/>
        <v>0</v>
      </c>
      <c r="V36" s="87">
        <f t="shared" si="9"/>
        <v>0.44809688581314877</v>
      </c>
      <c r="W36" s="87">
        <f t="shared" si="10"/>
        <v>6.5743944636678195E-2</v>
      </c>
      <c r="X36" s="158">
        <f t="shared" si="11"/>
        <v>3.6332179930795849E-2</v>
      </c>
      <c r="Y36" s="158">
        <f t="shared" si="12"/>
        <v>0.3217993079584775</v>
      </c>
      <c r="Z36" s="158">
        <f t="shared" si="13"/>
        <v>0</v>
      </c>
      <c r="AA36" s="161">
        <f t="shared" si="14"/>
        <v>0</v>
      </c>
      <c r="AB36" s="161">
        <f t="shared" si="15"/>
        <v>2.768166089965398E-2</v>
      </c>
      <c r="AC36" s="161">
        <f t="shared" si="16"/>
        <v>1.384083044982699E-2</v>
      </c>
      <c r="AD36" s="27">
        <f t="shared" si="17"/>
        <v>0</v>
      </c>
      <c r="AE36" s="27">
        <f t="shared" si="18"/>
        <v>0</v>
      </c>
      <c r="AF36" s="27">
        <f t="shared" si="19"/>
        <v>0</v>
      </c>
      <c r="AG36" s="166">
        <f t="shared" si="20"/>
        <v>0</v>
      </c>
      <c r="AH36" s="88">
        <f t="shared" si="21"/>
        <v>1</v>
      </c>
      <c r="AJ36" s="19">
        <f t="shared" si="22"/>
        <v>0.5709342560553633</v>
      </c>
    </row>
    <row r="37" spans="1:36" x14ac:dyDescent="0.3">
      <c r="A37" s="123">
        <v>2013</v>
      </c>
      <c r="B37" s="164"/>
      <c r="C37" s="164">
        <v>19</v>
      </c>
      <c r="D37" s="164"/>
      <c r="E37" s="164">
        <v>96</v>
      </c>
      <c r="F37" s="164">
        <v>5</v>
      </c>
      <c r="G37" s="164">
        <v>115</v>
      </c>
      <c r="H37" s="164">
        <v>246</v>
      </c>
      <c r="I37" s="164"/>
      <c r="J37" s="164"/>
      <c r="K37" s="164">
        <v>94</v>
      </c>
      <c r="L37" s="164"/>
      <c r="M37" s="164"/>
      <c r="N37" s="164"/>
      <c r="O37" s="164"/>
      <c r="P37" s="164"/>
      <c r="Q37" s="164">
        <v>126</v>
      </c>
      <c r="R37" s="12">
        <f t="shared" si="23"/>
        <v>575</v>
      </c>
      <c r="S37" s="155">
        <f t="shared" si="6"/>
        <v>0</v>
      </c>
      <c r="T37" s="155">
        <f t="shared" si="7"/>
        <v>3.3043478260869563E-2</v>
      </c>
      <c r="U37" s="87">
        <f t="shared" si="8"/>
        <v>0</v>
      </c>
      <c r="V37" s="87">
        <f t="shared" si="9"/>
        <v>0.16695652173913045</v>
      </c>
      <c r="W37" s="87">
        <f t="shared" si="10"/>
        <v>8.6956521739130436E-3</v>
      </c>
      <c r="X37" s="158">
        <f t="shared" si="11"/>
        <v>0.2</v>
      </c>
      <c r="Y37" s="158">
        <f t="shared" si="12"/>
        <v>0.42782608695652175</v>
      </c>
      <c r="Z37" s="158">
        <f t="shared" si="13"/>
        <v>0</v>
      </c>
      <c r="AA37" s="161">
        <f t="shared" si="14"/>
        <v>0</v>
      </c>
      <c r="AB37" s="161">
        <f t="shared" si="15"/>
        <v>0.16347826086956521</v>
      </c>
      <c r="AC37" s="161">
        <f t="shared" si="16"/>
        <v>0</v>
      </c>
      <c r="AD37" s="27">
        <f t="shared" si="17"/>
        <v>0</v>
      </c>
      <c r="AE37" s="27">
        <f t="shared" si="18"/>
        <v>0</v>
      </c>
      <c r="AF37" s="27">
        <f t="shared" si="19"/>
        <v>0</v>
      </c>
      <c r="AG37" s="166">
        <f t="shared" si="20"/>
        <v>0</v>
      </c>
      <c r="AH37" s="88">
        <f t="shared" si="21"/>
        <v>1</v>
      </c>
      <c r="AJ37" s="19">
        <f t="shared" si="22"/>
        <v>0.4</v>
      </c>
    </row>
    <row r="38" spans="1:36" x14ac:dyDescent="0.3">
      <c r="A38" s="123">
        <v>2014</v>
      </c>
      <c r="B38" s="164"/>
      <c r="C38" s="164">
        <v>76</v>
      </c>
      <c r="D38" s="164"/>
      <c r="E38" s="164">
        <v>103</v>
      </c>
      <c r="F38" s="164">
        <v>33</v>
      </c>
      <c r="G38" s="164">
        <v>206</v>
      </c>
      <c r="H38" s="164">
        <v>10</v>
      </c>
      <c r="I38" s="164"/>
      <c r="J38" s="164">
        <v>2</v>
      </c>
      <c r="K38" s="164">
        <v>102</v>
      </c>
      <c r="L38" s="164"/>
      <c r="M38" s="164"/>
      <c r="N38" s="164">
        <v>2</v>
      </c>
      <c r="O38" s="164"/>
      <c r="P38" s="164"/>
      <c r="Q38" s="164">
        <v>151</v>
      </c>
      <c r="R38" s="12">
        <f t="shared" si="23"/>
        <v>534</v>
      </c>
      <c r="S38" s="155">
        <f t="shared" si="6"/>
        <v>0</v>
      </c>
      <c r="T38" s="155">
        <f t="shared" si="7"/>
        <v>0.14232209737827714</v>
      </c>
      <c r="U38" s="87">
        <f t="shared" si="8"/>
        <v>0</v>
      </c>
      <c r="V38" s="87">
        <f t="shared" si="9"/>
        <v>0.19288389513108614</v>
      </c>
      <c r="W38" s="87">
        <f t="shared" si="10"/>
        <v>6.1797752808988762E-2</v>
      </c>
      <c r="X38" s="158">
        <f t="shared" si="11"/>
        <v>0.38576779026217228</v>
      </c>
      <c r="Y38" s="158">
        <f t="shared" si="12"/>
        <v>1.8726591760299626E-2</v>
      </c>
      <c r="Z38" s="158">
        <f t="shared" si="13"/>
        <v>0</v>
      </c>
      <c r="AA38" s="161">
        <f t="shared" si="14"/>
        <v>3.7453183520599251E-3</v>
      </c>
      <c r="AB38" s="161">
        <f t="shared" si="15"/>
        <v>0.19101123595505617</v>
      </c>
      <c r="AC38" s="161">
        <f t="shared" si="16"/>
        <v>0</v>
      </c>
      <c r="AD38" s="27">
        <f t="shared" si="17"/>
        <v>0</v>
      </c>
      <c r="AE38" s="27">
        <f t="shared" si="18"/>
        <v>3.7453183520599251E-3</v>
      </c>
      <c r="AF38" s="27">
        <f t="shared" si="19"/>
        <v>0</v>
      </c>
      <c r="AG38" s="166">
        <f t="shared" si="20"/>
        <v>0</v>
      </c>
      <c r="AH38" s="88">
        <f t="shared" si="21"/>
        <v>1</v>
      </c>
      <c r="AJ38" s="19">
        <f t="shared" si="22"/>
        <v>0.7247191011235955</v>
      </c>
    </row>
    <row r="39" spans="1:36" x14ac:dyDescent="0.3">
      <c r="A39" s="123">
        <v>2015</v>
      </c>
      <c r="B39" s="164"/>
      <c r="C39" s="164">
        <v>43</v>
      </c>
      <c r="D39" s="164"/>
      <c r="E39" s="164">
        <v>78</v>
      </c>
      <c r="F39" s="164">
        <v>82</v>
      </c>
      <c r="G39" s="164">
        <v>96</v>
      </c>
      <c r="H39" s="164">
        <v>88</v>
      </c>
      <c r="I39" s="164"/>
      <c r="J39" s="164"/>
      <c r="K39" s="164">
        <v>2</v>
      </c>
      <c r="L39" s="164">
        <v>2</v>
      </c>
      <c r="M39" s="164"/>
      <c r="N39" s="164"/>
      <c r="O39" s="164"/>
      <c r="P39" s="164"/>
      <c r="Q39" s="164">
        <v>224</v>
      </c>
      <c r="R39" s="12">
        <f t="shared" si="23"/>
        <v>391</v>
      </c>
      <c r="S39" s="155">
        <f t="shared" si="6"/>
        <v>0</v>
      </c>
      <c r="T39" s="155">
        <f t="shared" si="7"/>
        <v>0.10997442455242967</v>
      </c>
      <c r="U39" s="87">
        <f t="shared" si="8"/>
        <v>0</v>
      </c>
      <c r="V39" s="87">
        <f t="shared" si="9"/>
        <v>0.19948849104859334</v>
      </c>
      <c r="W39" s="87">
        <f t="shared" si="10"/>
        <v>0.20971867007672634</v>
      </c>
      <c r="X39" s="158">
        <f t="shared" si="11"/>
        <v>0.24552429667519182</v>
      </c>
      <c r="Y39" s="158">
        <f t="shared" si="12"/>
        <v>0.22506393861892582</v>
      </c>
      <c r="Z39" s="158">
        <f t="shared" si="13"/>
        <v>0</v>
      </c>
      <c r="AA39" s="161">
        <f t="shared" si="14"/>
        <v>0</v>
      </c>
      <c r="AB39" s="161">
        <f t="shared" si="15"/>
        <v>5.1150895140664966E-3</v>
      </c>
      <c r="AC39" s="161">
        <f t="shared" si="16"/>
        <v>5.1150895140664966E-3</v>
      </c>
      <c r="AD39" s="27">
        <f t="shared" si="17"/>
        <v>0</v>
      </c>
      <c r="AE39" s="27">
        <f t="shared" si="18"/>
        <v>0</v>
      </c>
      <c r="AF39" s="27">
        <f t="shared" si="19"/>
        <v>0</v>
      </c>
      <c r="AG39" s="166">
        <f t="shared" si="20"/>
        <v>0</v>
      </c>
      <c r="AH39" s="88">
        <f t="shared" si="21"/>
        <v>0.99999999999999989</v>
      </c>
      <c r="AJ39" s="19">
        <f t="shared" si="22"/>
        <v>0.55498721227621484</v>
      </c>
    </row>
    <row r="40" spans="1:36" x14ac:dyDescent="0.3">
      <c r="A40" s="123">
        <v>2016</v>
      </c>
      <c r="B40" s="164"/>
      <c r="C40" s="164">
        <v>14</v>
      </c>
      <c r="D40" s="164"/>
      <c r="E40" s="164">
        <v>285</v>
      </c>
      <c r="F40" s="164">
        <v>13</v>
      </c>
      <c r="G40" s="164">
        <v>48</v>
      </c>
      <c r="H40" s="164">
        <v>137</v>
      </c>
      <c r="I40" s="164"/>
      <c r="J40" s="164"/>
      <c r="K40" s="164">
        <v>14</v>
      </c>
      <c r="L40" s="164"/>
      <c r="M40" s="164"/>
      <c r="N40" s="164"/>
      <c r="O40" s="164"/>
      <c r="P40" s="164"/>
      <c r="Q40" s="164">
        <v>188</v>
      </c>
      <c r="R40" s="12">
        <f t="shared" si="23"/>
        <v>511</v>
      </c>
      <c r="S40" s="155">
        <f t="shared" si="6"/>
        <v>0</v>
      </c>
      <c r="T40" s="155">
        <f t="shared" si="7"/>
        <v>2.7397260273972601E-2</v>
      </c>
      <c r="U40" s="87">
        <f t="shared" si="8"/>
        <v>0</v>
      </c>
      <c r="V40" s="87">
        <f t="shared" si="9"/>
        <v>0.55772994129158515</v>
      </c>
      <c r="W40" s="87">
        <f t="shared" si="10"/>
        <v>2.5440313111545987E-2</v>
      </c>
      <c r="X40" s="158">
        <f t="shared" si="11"/>
        <v>9.393346379647749E-2</v>
      </c>
      <c r="Y40" s="158">
        <f t="shared" si="12"/>
        <v>0.26810176125244617</v>
      </c>
      <c r="Z40" s="158">
        <f t="shared" si="13"/>
        <v>0</v>
      </c>
      <c r="AA40" s="161">
        <f t="shared" si="14"/>
        <v>0</v>
      </c>
      <c r="AB40" s="161">
        <f t="shared" si="15"/>
        <v>2.7397260273972601E-2</v>
      </c>
      <c r="AC40" s="161">
        <f t="shared" si="16"/>
        <v>0</v>
      </c>
      <c r="AD40" s="27">
        <f t="shared" si="17"/>
        <v>0</v>
      </c>
      <c r="AE40" s="27">
        <f t="shared" si="18"/>
        <v>0</v>
      </c>
      <c r="AF40" s="27">
        <f t="shared" si="19"/>
        <v>0</v>
      </c>
      <c r="AG40" s="166">
        <f t="shared" si="20"/>
        <v>0</v>
      </c>
      <c r="AH40" s="88">
        <f t="shared" si="21"/>
        <v>0.99999999999999989</v>
      </c>
      <c r="AJ40" s="19">
        <f t="shared" si="22"/>
        <v>0.67906066536203524</v>
      </c>
    </row>
    <row r="41" spans="1:36" x14ac:dyDescent="0.3">
      <c r="A41" s="123">
        <v>2017</v>
      </c>
      <c r="B41" s="164"/>
      <c r="C41" s="164">
        <v>245</v>
      </c>
      <c r="D41" s="164"/>
      <c r="E41" s="164">
        <v>25</v>
      </c>
      <c r="F41" s="164">
        <v>17</v>
      </c>
      <c r="G41" s="164">
        <v>149</v>
      </c>
      <c r="H41" s="164">
        <v>24</v>
      </c>
      <c r="I41" s="164"/>
      <c r="J41" s="164"/>
      <c r="K41" s="164">
        <v>52</v>
      </c>
      <c r="L41" s="164"/>
      <c r="M41" s="164"/>
      <c r="N41" s="164"/>
      <c r="O41" s="164"/>
      <c r="P41" s="164"/>
      <c r="Q41" s="164">
        <v>198</v>
      </c>
      <c r="R41" s="12">
        <f t="shared" si="23"/>
        <v>512</v>
      </c>
      <c r="S41" s="155">
        <f t="shared" si="6"/>
        <v>0</v>
      </c>
      <c r="T41" s="155">
        <f t="shared" si="7"/>
        <v>0.478515625</v>
      </c>
      <c r="U41" s="87">
        <f t="shared" si="8"/>
        <v>0</v>
      </c>
      <c r="V41" s="87">
        <f t="shared" si="9"/>
        <v>4.8828125E-2</v>
      </c>
      <c r="W41" s="87">
        <f t="shared" si="10"/>
        <v>3.3203125E-2</v>
      </c>
      <c r="X41" s="158">
        <f t="shared" si="11"/>
        <v>0.291015625</v>
      </c>
      <c r="Y41" s="158">
        <f t="shared" si="12"/>
        <v>4.6875E-2</v>
      </c>
      <c r="Z41" s="158">
        <f t="shared" si="13"/>
        <v>0</v>
      </c>
      <c r="AA41" s="161">
        <f t="shared" si="14"/>
        <v>0</v>
      </c>
      <c r="AB41" s="161">
        <f t="shared" si="15"/>
        <v>0.1015625</v>
      </c>
      <c r="AC41" s="161">
        <f t="shared" si="16"/>
        <v>0</v>
      </c>
      <c r="AD41" s="27">
        <f t="shared" si="17"/>
        <v>0</v>
      </c>
      <c r="AE41" s="27">
        <f t="shared" si="18"/>
        <v>0</v>
      </c>
      <c r="AF41" s="27">
        <f t="shared" si="19"/>
        <v>0</v>
      </c>
      <c r="AG41" s="166">
        <f t="shared" si="20"/>
        <v>0</v>
      </c>
      <c r="AH41" s="88">
        <f t="shared" si="21"/>
        <v>1</v>
      </c>
      <c r="AJ41" s="19">
        <f t="shared" si="22"/>
        <v>0.818359375</v>
      </c>
    </row>
    <row r="42" spans="1:36" x14ac:dyDescent="0.3">
      <c r="A42" s="123">
        <v>2018</v>
      </c>
      <c r="B42" s="164"/>
      <c r="C42" s="164">
        <v>25</v>
      </c>
      <c r="D42" s="164"/>
      <c r="E42" s="164">
        <v>447</v>
      </c>
      <c r="F42" s="164"/>
      <c r="G42" s="164">
        <v>29</v>
      </c>
      <c r="H42" s="164">
        <v>42</v>
      </c>
      <c r="I42" s="164"/>
      <c r="J42" s="164"/>
      <c r="K42" s="164">
        <v>6</v>
      </c>
      <c r="L42" s="164"/>
      <c r="M42" s="164"/>
      <c r="N42" s="164"/>
      <c r="O42" s="164"/>
      <c r="P42" s="164"/>
      <c r="Q42" s="164">
        <v>166</v>
      </c>
      <c r="R42" s="12">
        <f t="shared" si="23"/>
        <v>549</v>
      </c>
      <c r="S42" s="155">
        <f t="shared" si="6"/>
        <v>0</v>
      </c>
      <c r="T42" s="155">
        <f t="shared" si="7"/>
        <v>4.553734061930783E-2</v>
      </c>
      <c r="U42" s="87">
        <f t="shared" si="8"/>
        <v>0</v>
      </c>
      <c r="V42" s="87">
        <f t="shared" si="9"/>
        <v>0.81420765027322406</v>
      </c>
      <c r="W42" s="87">
        <f t="shared" si="10"/>
        <v>0</v>
      </c>
      <c r="X42" s="158">
        <f t="shared" si="11"/>
        <v>5.2823315118397086E-2</v>
      </c>
      <c r="Y42" s="158">
        <f t="shared" si="12"/>
        <v>7.650273224043716E-2</v>
      </c>
      <c r="Z42" s="158">
        <f t="shared" si="13"/>
        <v>0</v>
      </c>
      <c r="AA42" s="161">
        <f t="shared" si="14"/>
        <v>0</v>
      </c>
      <c r="AB42" s="161">
        <f t="shared" si="15"/>
        <v>1.092896174863388E-2</v>
      </c>
      <c r="AC42" s="161">
        <f t="shared" si="16"/>
        <v>0</v>
      </c>
      <c r="AD42" s="27">
        <f t="shared" si="17"/>
        <v>0</v>
      </c>
      <c r="AE42" s="27">
        <f t="shared" si="18"/>
        <v>0</v>
      </c>
      <c r="AF42" s="27">
        <f t="shared" si="19"/>
        <v>0</v>
      </c>
      <c r="AG42" s="166">
        <f t="shared" si="20"/>
        <v>0</v>
      </c>
      <c r="AH42" s="88">
        <f t="shared" si="21"/>
        <v>1</v>
      </c>
      <c r="AJ42" s="19">
        <f t="shared" si="22"/>
        <v>0.91256830601092898</v>
      </c>
    </row>
    <row r="43" spans="1:36" x14ac:dyDescent="0.3">
      <c r="A43" s="123"/>
      <c r="E43" s="165"/>
      <c r="F43" s="165"/>
      <c r="G43" s="165"/>
      <c r="H43" s="165"/>
      <c r="I43" s="165"/>
      <c r="J43" s="165"/>
      <c r="K43" s="165"/>
    </row>
    <row r="44" spans="1:36" x14ac:dyDescent="0.3">
      <c r="A44" s="125"/>
      <c r="R44" s="167" t="s">
        <v>153</v>
      </c>
      <c r="S44" s="168">
        <f>AVERAGE(S6:S42)</f>
        <v>2.1744600877412459E-4</v>
      </c>
      <c r="T44" s="168">
        <f t="shared" ref="T44:AG44" si="24">AVERAGE(T6:T42)</f>
        <v>4.0289908479835469E-2</v>
      </c>
      <c r="U44" s="168">
        <f t="shared" si="24"/>
        <v>4.488065836606928E-4</v>
      </c>
      <c r="V44" s="168">
        <f t="shared" si="24"/>
        <v>0.213115363794013</v>
      </c>
      <c r="W44" s="168">
        <f t="shared" si="24"/>
        <v>3.1537247027009732E-2</v>
      </c>
      <c r="X44" s="168">
        <f t="shared" si="24"/>
        <v>0.31309931764956805</v>
      </c>
      <c r="Y44" s="168">
        <f t="shared" si="24"/>
        <v>0.2154362491616699</v>
      </c>
      <c r="Z44" s="168">
        <f t="shared" si="24"/>
        <v>4.0523140547183193E-4</v>
      </c>
      <c r="AA44" s="168">
        <f t="shared" si="24"/>
        <v>3.4634929416770825E-3</v>
      </c>
      <c r="AB44" s="168">
        <f t="shared" si="24"/>
        <v>0.1714821040810664</v>
      </c>
      <c r="AC44" s="168">
        <f t="shared" si="24"/>
        <v>5.4179043620064451E-3</v>
      </c>
      <c r="AD44" s="168">
        <f t="shared" si="24"/>
        <v>2.1373587270124414E-3</v>
      </c>
      <c r="AE44" s="168">
        <f t="shared" si="24"/>
        <v>2.8995848339409863E-3</v>
      </c>
      <c r="AF44" s="168">
        <f t="shared" si="24"/>
        <v>3.7639265281541705E-5</v>
      </c>
      <c r="AG44" s="168">
        <f t="shared" si="24"/>
        <v>1.234567901234568E-5</v>
      </c>
      <c r="AH44" s="88">
        <f t="shared" si="21"/>
        <v>1.0000000000000002</v>
      </c>
    </row>
    <row r="46" spans="1:36" x14ac:dyDescent="0.3">
      <c r="R46" s="167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spans="1:36" x14ac:dyDescent="0.3">
      <c r="R47" s="167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spans="1:36" x14ac:dyDescent="0.3">
      <c r="R48" s="167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spans="18:33" x14ac:dyDescent="0.3">
      <c r="R49" s="167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spans="18:33" x14ac:dyDescent="0.3">
      <c r="R50" s="167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spans="18:33" x14ac:dyDescent="0.3">
      <c r="R51" s="167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spans="18:33" x14ac:dyDescent="0.3">
      <c r="R52" s="167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spans="18:33" x14ac:dyDescent="0.3">
      <c r="R53" s="167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spans="18:33" x14ac:dyDescent="0.3">
      <c r="R54" s="167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spans="18:33" x14ac:dyDescent="0.3">
      <c r="R55" s="167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spans="18:33" x14ac:dyDescent="0.3">
      <c r="R56" s="167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spans="18:33" x14ac:dyDescent="0.3">
      <c r="R57" s="167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spans="18:33" x14ac:dyDescent="0.3">
      <c r="R58" s="167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spans="18:33" x14ac:dyDescent="0.3">
      <c r="R59" s="167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spans="18:33" x14ac:dyDescent="0.3">
      <c r="R60" s="167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spans="18:33" x14ac:dyDescent="0.3">
      <c r="R61" s="167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spans="18:33" x14ac:dyDescent="0.3">
      <c r="R62" s="167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spans="18:33" x14ac:dyDescent="0.3">
      <c r="R63" s="167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spans="18:33" x14ac:dyDescent="0.3">
      <c r="R64" s="167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spans="18:33" x14ac:dyDescent="0.3">
      <c r="R65" s="167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spans="18:33" x14ac:dyDescent="0.3">
      <c r="R66" s="167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spans="18:33" x14ac:dyDescent="0.3">
      <c r="R67" s="167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spans="18:33" x14ac:dyDescent="0.3">
      <c r="R68" s="167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spans="18:33" x14ac:dyDescent="0.3">
      <c r="R69" s="167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spans="18:33" x14ac:dyDescent="0.3">
      <c r="R70" s="167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spans="18:33" x14ac:dyDescent="0.3">
      <c r="R71" s="167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spans="18:33" x14ac:dyDescent="0.3">
      <c r="R72" s="167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spans="18:33" x14ac:dyDescent="0.3">
      <c r="R73" s="167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18:33" x14ac:dyDescent="0.3">
      <c r="R74" s="167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spans="18:33" x14ac:dyDescent="0.3">
      <c r="R75" s="167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spans="18:33" x14ac:dyDescent="0.3">
      <c r="R76" s="167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spans="18:33" x14ac:dyDescent="0.3">
      <c r="R77" s="167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</sheetData>
  <phoneticPr fontId="29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D581-012E-4139-AA93-BD6469BD859E}">
  <dimension ref="A1:AE98"/>
  <sheetViews>
    <sheetView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defaultColWidth="9.109375" defaultRowHeight="14.4" x14ac:dyDescent="0.3"/>
  <cols>
    <col min="1" max="1" width="9.109375" style="12"/>
    <col min="2" max="2" width="11.33203125" style="11" bestFit="1" customWidth="1"/>
    <col min="3" max="5" width="9.33203125" style="11" customWidth="1"/>
    <col min="6" max="6" width="7.6640625" style="20" customWidth="1"/>
    <col min="7" max="8" width="6.6640625" style="11" customWidth="1"/>
    <col min="9" max="9" width="6.6640625" style="20" customWidth="1"/>
    <col min="10" max="12" width="6.6640625" style="11" customWidth="1"/>
    <col min="13" max="13" width="6.6640625" style="20" customWidth="1"/>
    <col min="14" max="16" width="6.6640625" style="11" customWidth="1"/>
    <col min="17" max="17" width="6.6640625" style="20" customWidth="1"/>
    <col min="18" max="20" width="6.6640625" style="11" customWidth="1"/>
    <col min="21" max="21" width="6.6640625" style="20" customWidth="1"/>
    <col min="22" max="24" width="6.6640625" style="11" customWidth="1"/>
    <col min="25" max="25" width="6.6640625" style="20" customWidth="1"/>
    <col min="26" max="26" width="6.6640625" style="11" customWidth="1"/>
    <col min="27" max="27" width="7.33203125" style="11" customWidth="1"/>
    <col min="28" max="28" width="7.88671875" style="12" customWidth="1"/>
    <col min="29" max="30" width="6.6640625" style="17" customWidth="1"/>
    <col min="31" max="31" width="6.6640625" style="12" customWidth="1"/>
    <col min="32" max="16384" width="9.109375" style="12"/>
  </cols>
  <sheetData>
    <row r="1" spans="1:31" ht="18" x14ac:dyDescent="0.35">
      <c r="A1" s="74" t="s">
        <v>159</v>
      </c>
    </row>
    <row r="2" spans="1:31" ht="15.6" x14ac:dyDescent="0.3">
      <c r="A2" s="59"/>
    </row>
    <row r="3" spans="1:31" x14ac:dyDescent="0.3">
      <c r="A3" s="1"/>
      <c r="B3" s="3"/>
      <c r="C3" s="3"/>
      <c r="D3" s="3"/>
      <c r="E3" s="3"/>
      <c r="F3" s="193"/>
      <c r="G3" s="3"/>
      <c r="H3" s="3"/>
      <c r="I3" s="131"/>
      <c r="J3" s="3"/>
      <c r="K3" s="3"/>
      <c r="L3" s="3"/>
      <c r="M3" s="131"/>
      <c r="N3" s="3"/>
      <c r="O3" s="3"/>
      <c r="P3" s="3"/>
      <c r="Q3" s="131"/>
      <c r="R3" s="3"/>
      <c r="S3" s="3"/>
      <c r="T3" s="3"/>
      <c r="U3" s="131"/>
      <c r="V3" s="3"/>
      <c r="W3" s="3"/>
      <c r="X3" s="3"/>
      <c r="Y3" s="131"/>
      <c r="Z3" s="3"/>
      <c r="AA3" s="3"/>
      <c r="AB3" s="1"/>
      <c r="AC3" s="4"/>
      <c r="AD3" s="4"/>
    </row>
    <row r="4" spans="1:31" x14ac:dyDescent="0.3">
      <c r="A4" s="194"/>
      <c r="B4" s="128"/>
      <c r="C4" s="195"/>
      <c r="D4" s="195"/>
      <c r="E4" s="195"/>
      <c r="F4" s="196" t="s">
        <v>50</v>
      </c>
      <c r="G4" s="197"/>
      <c r="H4" s="197"/>
      <c r="I4" s="198"/>
      <c r="J4" s="199"/>
      <c r="K4" s="199"/>
      <c r="L4" s="199"/>
      <c r="M4" s="200"/>
      <c r="N4" s="199"/>
      <c r="O4" s="199"/>
      <c r="P4" s="199"/>
      <c r="Q4" s="200"/>
      <c r="R4" s="199"/>
      <c r="S4" s="199"/>
      <c r="T4" s="199"/>
      <c r="U4" s="200"/>
      <c r="V4" s="199"/>
      <c r="W4" s="199"/>
      <c r="X4" s="199"/>
      <c r="Y4" s="200"/>
      <c r="Z4" s="199"/>
      <c r="AA4" s="3"/>
      <c r="AB4" s="201"/>
      <c r="AC4" s="4"/>
      <c r="AD4" s="4"/>
    </row>
    <row r="5" spans="1:31" x14ac:dyDescent="0.3">
      <c r="A5" s="1"/>
      <c r="B5" s="131"/>
      <c r="C5" s="2"/>
      <c r="D5" s="2"/>
      <c r="E5" s="2"/>
      <c r="F5" s="202"/>
      <c r="G5" s="203" t="s">
        <v>43</v>
      </c>
      <c r="H5" s="204"/>
      <c r="I5" s="205"/>
      <c r="J5" s="203" t="s">
        <v>44</v>
      </c>
      <c r="K5" s="107"/>
      <c r="L5" s="107"/>
      <c r="M5" s="203"/>
      <c r="N5" s="203" t="s">
        <v>45</v>
      </c>
      <c r="O5" s="107"/>
      <c r="P5" s="107"/>
      <c r="Q5" s="203"/>
      <c r="R5" s="203" t="s">
        <v>46</v>
      </c>
      <c r="S5" s="203"/>
      <c r="T5" s="203"/>
      <c r="U5" s="203"/>
      <c r="V5" s="203" t="s">
        <v>47</v>
      </c>
      <c r="W5" s="203"/>
      <c r="X5" s="203"/>
      <c r="Y5" s="203"/>
      <c r="Z5" s="203" t="s">
        <v>48</v>
      </c>
      <c r="AA5" s="3"/>
      <c r="AB5" s="201"/>
      <c r="AC5" s="4"/>
      <c r="AD5" s="4"/>
    </row>
    <row r="6" spans="1:31" x14ac:dyDescent="0.3">
      <c r="A6" s="132" t="s">
        <v>0</v>
      </c>
      <c r="B6" s="133" t="s">
        <v>1</v>
      </c>
      <c r="C6" s="133" t="s">
        <v>9</v>
      </c>
      <c r="D6" s="133" t="s">
        <v>27</v>
      </c>
      <c r="E6" s="133" t="s">
        <v>13</v>
      </c>
      <c r="F6" s="206" t="s">
        <v>0</v>
      </c>
      <c r="G6" s="207" t="s">
        <v>28</v>
      </c>
      <c r="H6" s="207" t="s">
        <v>30</v>
      </c>
      <c r="I6" s="206"/>
      <c r="J6" s="207" t="s">
        <v>29</v>
      </c>
      <c r="K6" s="207" t="s">
        <v>31</v>
      </c>
      <c r="L6" s="207" t="s">
        <v>34</v>
      </c>
      <c r="M6" s="206"/>
      <c r="N6" s="207" t="s">
        <v>32</v>
      </c>
      <c r="O6" s="207" t="s">
        <v>35</v>
      </c>
      <c r="P6" s="207" t="s">
        <v>38</v>
      </c>
      <c r="Q6" s="206"/>
      <c r="R6" s="207" t="s">
        <v>33</v>
      </c>
      <c r="S6" s="207" t="s">
        <v>36</v>
      </c>
      <c r="T6" s="207" t="s">
        <v>39</v>
      </c>
      <c r="U6" s="208"/>
      <c r="V6" s="207" t="s">
        <v>37</v>
      </c>
      <c r="W6" s="207" t="s">
        <v>40</v>
      </c>
      <c r="X6" s="207" t="s">
        <v>42</v>
      </c>
      <c r="Y6" s="208"/>
      <c r="Z6" s="207" t="s">
        <v>41</v>
      </c>
      <c r="AA6" s="7"/>
      <c r="AB6" s="2"/>
      <c r="AC6" s="2"/>
      <c r="AD6" s="4"/>
      <c r="AE6" s="16"/>
    </row>
    <row r="7" spans="1:31" x14ac:dyDescent="0.3">
      <c r="A7" s="4">
        <v>1982</v>
      </c>
      <c r="B7" s="3">
        <f>'Summary Data'!C6</f>
        <v>455.8408662342689</v>
      </c>
      <c r="C7" s="3">
        <f>'Summary Data'!H6</f>
        <v>97</v>
      </c>
      <c r="D7" s="3">
        <f>SUM(B7:C7)</f>
        <v>552.8408662342689</v>
      </c>
      <c r="E7" s="3">
        <f>SUM(G7:H7,J7:L7,N7:P7,R7:T7,V7:X7,Z7)</f>
        <v>6855.6678088028239</v>
      </c>
      <c r="F7" s="209">
        <v>1985</v>
      </c>
      <c r="G7" s="107">
        <f>$B10*'Escapement Age'!S9+$C10*'Escapement Age'!S9</f>
        <v>0</v>
      </c>
      <c r="H7" s="107">
        <f>$B10*'Escapement Age'!T9</f>
        <v>75.455570010196638</v>
      </c>
      <c r="I7" s="209">
        <v>1986</v>
      </c>
      <c r="J7" s="107">
        <f>$B11*'Escapement Age'!U10+$C11*'Escapement Age'!U10</f>
        <v>7.7012999044963868</v>
      </c>
      <c r="K7" s="107">
        <f>$B11*'Escapement Age'!V10+$C11*'Escapement Age'!V10</f>
        <v>1601.8703801352485</v>
      </c>
      <c r="L7" s="107">
        <f>$B11*'Escapement Age'!W10</f>
        <v>198.25091813947415</v>
      </c>
      <c r="M7" s="209">
        <v>1987</v>
      </c>
      <c r="N7" s="107">
        <f>$B12*'Escapement Age'!X11+$C12*'Escapement Age'!X11</f>
        <v>2813.9315069517138</v>
      </c>
      <c r="O7" s="107">
        <f>$B12*'Escapement Age'!Y11+$C12*'Escapement Age'!Y11</f>
        <v>1798.1708654179245</v>
      </c>
      <c r="P7" s="107">
        <f>$B12*'Escapement Age'!Z11</f>
        <v>0</v>
      </c>
      <c r="Q7" s="209">
        <v>1988</v>
      </c>
      <c r="R7" s="107">
        <f>$D13*'Escapement Age'!AA12</f>
        <v>0</v>
      </c>
      <c r="S7" s="107">
        <f>$D13*'Escapement Age'!AB12</f>
        <v>339.78668492119067</v>
      </c>
      <c r="T7" s="107">
        <f>$D13*'Escapement Age'!AC12</f>
        <v>0</v>
      </c>
      <c r="U7" s="209">
        <v>1989</v>
      </c>
      <c r="V7" s="107">
        <f>$D14*'Escapement Age'!AD13</f>
        <v>0</v>
      </c>
      <c r="W7" s="107">
        <f>$D14*'Escapement Age'!AE13</f>
        <v>20.500583322578361</v>
      </c>
      <c r="X7" s="107">
        <f>$D14*'Escapement Age'!AF13</f>
        <v>0</v>
      </c>
      <c r="Y7" s="209">
        <v>1990</v>
      </c>
      <c r="Z7" s="107">
        <f>$D15*'Escapement Age'!AG14</f>
        <v>0</v>
      </c>
      <c r="AA7" s="3"/>
      <c r="AB7" s="2">
        <v>6838.5309045418471</v>
      </c>
      <c r="AC7" s="2">
        <f t="shared" ref="AC7:AC15" si="0">AB7-E7</f>
        <v>-17.136904260976735</v>
      </c>
      <c r="AD7" s="4"/>
      <c r="AE7" s="18"/>
    </row>
    <row r="8" spans="1:31" x14ac:dyDescent="0.3">
      <c r="A8" s="4">
        <v>1983</v>
      </c>
      <c r="B8" s="3">
        <f>'Summary Data'!C7</f>
        <v>2539.7855103785087</v>
      </c>
      <c r="C8" s="3">
        <f>'Summary Data'!H7</f>
        <v>36</v>
      </c>
      <c r="D8" s="3">
        <f t="shared" ref="D8:D40" si="1">SUM(B8:C8)</f>
        <v>2575.7855103785087</v>
      </c>
      <c r="E8" s="3">
        <f t="shared" ref="E8:E37" si="2">SUM(G8:H8,J8:L8,N8:P8,R8:T8,V8:X8,Z8)</f>
        <v>12843.28833940016</v>
      </c>
      <c r="F8" s="209">
        <v>1986</v>
      </c>
      <c r="G8" s="107">
        <f>$B11*'Escapement Age'!S10+$C11*'Escapement Age'!S10</f>
        <v>0</v>
      </c>
      <c r="H8" s="107">
        <f>$B11*'Escapement Age'!T10</f>
        <v>68.625317817510279</v>
      </c>
      <c r="I8" s="209">
        <v>1987</v>
      </c>
      <c r="J8" s="107">
        <f>$B12*'Escapement Age'!U11+$C12*'Escapement Age'!U11</f>
        <v>0</v>
      </c>
      <c r="K8" s="107">
        <f>$B12*'Escapement Age'!V11+$C12*'Escapement Age'!V11</f>
        <v>3459.076779277229</v>
      </c>
      <c r="L8" s="107">
        <f>$B12*'Escapement Age'!W11</f>
        <v>2489.6140684237089</v>
      </c>
      <c r="M8" s="209">
        <v>1988</v>
      </c>
      <c r="N8" s="107">
        <f>$B13*'Escapement Age'!X12+$C13*'Escapement Age'!X12</f>
        <v>708.69794283562624</v>
      </c>
      <c r="O8" s="107">
        <f>$B13*'Escapement Age'!Y12+$C13*'Escapement Age'!Y12</f>
        <v>2077.5528735181369</v>
      </c>
      <c r="P8" s="107">
        <f>$B13*'Escapement Age'!Z12</f>
        <v>0</v>
      </c>
      <c r="Q8" s="209">
        <v>1989</v>
      </c>
      <c r="R8" s="107">
        <f>$D14*'Escapement Age'!AA13</f>
        <v>0</v>
      </c>
      <c r="S8" s="107">
        <f>$D14*'Escapement Age'!AB13</f>
        <v>3833.6090813221535</v>
      </c>
      <c r="T8" s="107">
        <f>$D14*'Escapement Age'!AC13</f>
        <v>184.50524990320528</v>
      </c>
      <c r="U8" s="209">
        <v>1990</v>
      </c>
      <c r="V8" s="107">
        <f>$D15*'Escapement Age'!AD14</f>
        <v>0</v>
      </c>
      <c r="W8" s="107">
        <f>$D15*'Escapement Age'!AE14</f>
        <v>0</v>
      </c>
      <c r="X8" s="107">
        <f>$D15*'Escapement Age'!AF14</f>
        <v>0</v>
      </c>
      <c r="Y8" s="209">
        <v>1991</v>
      </c>
      <c r="Z8" s="107">
        <f>$D16*'Escapement Age'!AG15</f>
        <v>21.60702630259123</v>
      </c>
      <c r="AA8" s="3"/>
      <c r="AB8" s="2">
        <v>12951.494396840435</v>
      </c>
      <c r="AC8" s="2">
        <f t="shared" si="0"/>
        <v>108.20605744027489</v>
      </c>
      <c r="AD8" s="4"/>
      <c r="AE8" s="18"/>
    </row>
    <row r="9" spans="1:31" x14ac:dyDescent="0.3">
      <c r="A9" s="4">
        <v>1984</v>
      </c>
      <c r="B9" s="3">
        <f>'Summary Data'!C8</f>
        <v>11579.406940083547</v>
      </c>
      <c r="C9" s="3">
        <f>'Summary Data'!H8</f>
        <v>175</v>
      </c>
      <c r="D9" s="3">
        <f t="shared" si="1"/>
        <v>11754.406940083547</v>
      </c>
      <c r="E9" s="3">
        <f t="shared" si="2"/>
        <v>50074.937573870651</v>
      </c>
      <c r="F9" s="209">
        <v>1987</v>
      </c>
      <c r="G9" s="107">
        <f>$B12*'Escapement Age'!S11+$C12*'Escapement Age'!S11</f>
        <v>0</v>
      </c>
      <c r="H9" s="107">
        <f>$B12*'Escapement Age'!T11</f>
        <v>94.201613399815997</v>
      </c>
      <c r="I9" s="209">
        <v>1988</v>
      </c>
      <c r="J9" s="107">
        <f>$B13*'Escapement Age'!U12+$C13*'Escapement Age'!U12</f>
        <v>0</v>
      </c>
      <c r="K9" s="107">
        <f>$B13*'Escapement Age'!V12+$C13*'Escapement Age'!V12</f>
        <v>465.99316789191863</v>
      </c>
      <c r="L9" s="107">
        <f>$B13*'Escapement Age'!W12</f>
        <v>0</v>
      </c>
      <c r="M9" s="209">
        <v>1989</v>
      </c>
      <c r="N9" s="107">
        <f>$B14*'Escapement Age'!X13+$C14*'Escapement Age'!X13</f>
        <v>7913.2251625152476</v>
      </c>
      <c r="O9" s="107">
        <f>$B14*'Escapement Age'!Y13+$C14*'Escapement Age'!Y13</f>
        <v>19270.548323223662</v>
      </c>
      <c r="P9" s="107">
        <f>$B14*'Escapement Age'!Z13</f>
        <v>18.89316261641439</v>
      </c>
      <c r="Q9" s="209">
        <v>1990</v>
      </c>
      <c r="R9" s="107">
        <f>$D15*'Escapement Age'!AA14</f>
        <v>63.115196541844021</v>
      </c>
      <c r="S9" s="107">
        <f>$D15*'Escapement Age'!AB14</f>
        <v>20701.784465724839</v>
      </c>
      <c r="T9" s="107">
        <f>$D15*'Escapement Age'!AC14</f>
        <v>315.57598270922011</v>
      </c>
      <c r="U9" s="209">
        <v>1991</v>
      </c>
      <c r="V9" s="107">
        <f>$D16*'Escapement Age'!AD15</f>
        <v>86.428105210364919</v>
      </c>
      <c r="W9" s="107">
        <f>$D16*'Escapement Age'!AE15</f>
        <v>1145.1723940373352</v>
      </c>
      <c r="X9" s="107">
        <f>$D16*'Escapement Age'!AF15</f>
        <v>0</v>
      </c>
      <c r="Y9" s="209">
        <v>1992</v>
      </c>
      <c r="Z9" s="107">
        <f>$D17*'Escapement Age'!AG16</f>
        <v>0</v>
      </c>
      <c r="AA9" s="3"/>
      <c r="AB9" s="2">
        <v>50515.565254398585</v>
      </c>
      <c r="AC9" s="2">
        <f t="shared" si="0"/>
        <v>440.62768052793399</v>
      </c>
      <c r="AD9" s="4"/>
      <c r="AE9" s="18"/>
    </row>
    <row r="10" spans="1:31" x14ac:dyDescent="0.3">
      <c r="A10" s="4">
        <v>1985</v>
      </c>
      <c r="B10" s="3">
        <f>'Summary Data'!C9</f>
        <v>10991.361364818644</v>
      </c>
      <c r="C10" s="3">
        <f>'Summary Data'!H9</f>
        <v>238</v>
      </c>
      <c r="D10" s="3">
        <f t="shared" si="1"/>
        <v>11229.361364818644</v>
      </c>
      <c r="E10" s="3">
        <f t="shared" si="2"/>
        <v>96153.770907218423</v>
      </c>
      <c r="F10" s="209">
        <v>1988</v>
      </c>
      <c r="G10" s="107">
        <f>$B13*'Escapement Age'!S12+$C13*'Escapement Age'!S12</f>
        <v>0</v>
      </c>
      <c r="H10" s="107">
        <f>$B13*'Escapement Age'!T12</f>
        <v>0</v>
      </c>
      <c r="I10" s="209">
        <v>1989</v>
      </c>
      <c r="J10" s="107">
        <f>$B14*'Escapement Age'!U13+$C14*'Escapement Age'!U13</f>
        <v>0</v>
      </c>
      <c r="K10" s="107">
        <f>$B14*'Escapement Age'!V13+$C14*'Escapement Age'!V13</f>
        <v>1906.5542489997877</v>
      </c>
      <c r="L10" s="107">
        <f>$B14*'Escapement Age'!W13</f>
        <v>869.0854803550618</v>
      </c>
      <c r="M10" s="209">
        <v>1990</v>
      </c>
      <c r="N10" s="107">
        <f>$B15*'Escapement Age'!X14+$C15*'Escapement Age'!X14</f>
        <v>7132.0172092283747</v>
      </c>
      <c r="O10" s="107">
        <f>$B15*'Escapement Age'!Y14+$C15*'Escapement Age'!Y14</f>
        <v>46263.439065171668</v>
      </c>
      <c r="P10" s="107">
        <f>$B15*'Escapement Age'!Z14</f>
        <v>0</v>
      </c>
      <c r="Q10" s="209">
        <v>1991</v>
      </c>
      <c r="R10" s="107">
        <f>$D16*'Escapement Age'!AA15</f>
        <v>21.60702630259123</v>
      </c>
      <c r="S10" s="107">
        <f>$D16*'Escapement Age'!AB15</f>
        <v>39692.107317860085</v>
      </c>
      <c r="T10" s="107">
        <f>$D16*'Escapement Age'!AC15</f>
        <v>64.821078907773682</v>
      </c>
      <c r="U10" s="209">
        <v>1992</v>
      </c>
      <c r="V10" s="107">
        <f>$D17*'Escapement Age'!AD16</f>
        <v>180.58492496309896</v>
      </c>
      <c r="W10" s="107">
        <f>$D17*'Escapement Age'!AE16</f>
        <v>23.55455542996943</v>
      </c>
      <c r="X10" s="107">
        <f>$D17*'Escapement Age'!AF16</f>
        <v>0</v>
      </c>
      <c r="Y10" s="209">
        <v>1993</v>
      </c>
      <c r="Z10" s="107">
        <f>$D18*'Escapement Age'!AG17</f>
        <v>0</v>
      </c>
      <c r="AA10" s="3"/>
      <c r="AB10" s="2">
        <v>96372.402277172194</v>
      </c>
      <c r="AC10" s="2">
        <f t="shared" si="0"/>
        <v>218.63136995377135</v>
      </c>
      <c r="AD10" s="4"/>
      <c r="AE10" s="18"/>
    </row>
    <row r="11" spans="1:31" x14ac:dyDescent="0.3">
      <c r="A11" s="4">
        <v>1986</v>
      </c>
      <c r="B11" s="3">
        <f>'Summary Data'!C10</f>
        <v>9798.1703772778565</v>
      </c>
      <c r="C11" s="3">
        <f>'Summary Data'!H10</f>
        <v>98</v>
      </c>
      <c r="D11" s="3">
        <f t="shared" si="1"/>
        <v>9896.1703772778565</v>
      </c>
      <c r="E11" s="3">
        <f t="shared" si="2"/>
        <v>10915.723869799616</v>
      </c>
      <c r="F11" s="209">
        <v>1989</v>
      </c>
      <c r="G11" s="107">
        <f>$B14*'Escapement Age'!S13+$C14*'Escapement Age'!S13</f>
        <v>0</v>
      </c>
      <c r="H11" s="107">
        <f>$B14*'Escapement Age'!T13</f>
        <v>151.14530093131512</v>
      </c>
      <c r="I11" s="209">
        <v>1990</v>
      </c>
      <c r="J11" s="107">
        <f>$B15*'Escapement Age'!U14+$C15*'Escapement Age'!U14</f>
        <v>31.557598270922011</v>
      </c>
      <c r="K11" s="107">
        <f>$B15*'Escapement Age'!V14+$C15*'Escapement Age'!V14</f>
        <v>4102.4877752198618</v>
      </c>
      <c r="L11" s="107">
        <f>$B15*'Escapement Age'!W14</f>
        <v>87.466818717148499</v>
      </c>
      <c r="M11" s="209">
        <v>1991</v>
      </c>
      <c r="N11" s="107">
        <f>$B16*'Escapement Age'!X15+$C16*'Escapement Age'!X15</f>
        <v>1598.919946391751</v>
      </c>
      <c r="O11" s="107">
        <f>$B16*'Escapement Age'!Y15+$C16*'Escapement Age'!Y15</f>
        <v>1598.919946391751</v>
      </c>
      <c r="P11" s="107">
        <f>$B16*'Escapement Age'!Z15</f>
        <v>40.453163716293567</v>
      </c>
      <c r="Q11" s="209">
        <v>1992</v>
      </c>
      <c r="R11" s="107">
        <f>$D17*'Escapement Age'!AA16</f>
        <v>15.703036953312953</v>
      </c>
      <c r="S11" s="107">
        <f>$D17*'Escapement Age'!AB16</f>
        <v>2936.4679102695222</v>
      </c>
      <c r="T11" s="107">
        <f>$D17*'Escapement Age'!AC16</f>
        <v>86.366703243221252</v>
      </c>
      <c r="U11" s="209">
        <v>1993</v>
      </c>
      <c r="V11" s="107">
        <f>$D18*'Escapement Age'!AD17</f>
        <v>12.101621349750744</v>
      </c>
      <c r="W11" s="107">
        <f>$D18*'Escapement Age'!AE17</f>
        <v>254.1340483447656</v>
      </c>
      <c r="X11" s="107">
        <f>$D18*'Escapement Age'!AF17</f>
        <v>0</v>
      </c>
      <c r="Y11" s="209">
        <v>1994</v>
      </c>
      <c r="Z11" s="107">
        <f>$D19*'Escapement Age'!AG18</f>
        <v>0</v>
      </c>
      <c r="AA11" s="3"/>
      <c r="AB11" s="2">
        <v>10922.975854371336</v>
      </c>
      <c r="AC11" s="2">
        <f t="shared" si="0"/>
        <v>7.2519845717197313</v>
      </c>
      <c r="AD11" s="4"/>
      <c r="AE11" s="18"/>
    </row>
    <row r="12" spans="1:31" x14ac:dyDescent="0.3">
      <c r="A12" s="4">
        <v>1987</v>
      </c>
      <c r="B12" s="3">
        <f>'Summary Data'!C11</f>
        <v>14251.358370057878</v>
      </c>
      <c r="C12" s="3">
        <f>'Summary Data'!H11</f>
        <v>285</v>
      </c>
      <c r="D12" s="3">
        <f t="shared" si="1"/>
        <v>14536.358370057878</v>
      </c>
      <c r="E12" s="3">
        <f t="shared" si="2"/>
        <v>14253.97142045392</v>
      </c>
      <c r="F12" s="209">
        <v>1990</v>
      </c>
      <c r="G12" s="107">
        <f>$B15*'Escapement Age'!S14+$C15*'Escapement Age'!S14</f>
        <v>0</v>
      </c>
      <c r="H12" s="107">
        <f>$B15*'Escapement Age'!T14</f>
        <v>466.48969982479201</v>
      </c>
      <c r="I12" s="209">
        <v>1991</v>
      </c>
      <c r="J12" s="107">
        <f>$B16*'Escapement Age'!U15+$C16*'Escapement Age'!U15</f>
        <v>0</v>
      </c>
      <c r="K12" s="107">
        <f>$B16*'Escapement Age'!V15+$C16*'Escapement Age'!V15</f>
        <v>3629.9804188353264</v>
      </c>
      <c r="L12" s="107">
        <f>$B16*'Escapement Age'!W15</f>
        <v>566.34429202810986</v>
      </c>
      <c r="M12" s="209">
        <v>1992</v>
      </c>
      <c r="N12" s="107">
        <f>$B17*'Escapement Age'!X16+$C17*'Escapement Age'!X16</f>
        <v>3156.3104276159033</v>
      </c>
      <c r="O12" s="107">
        <f>$B17*'Escapement Age'!Y16+$C17*'Escapement Age'!Y16</f>
        <v>1476.0854736114177</v>
      </c>
      <c r="P12" s="107">
        <f>$B17*'Escapement Age'!Z16</f>
        <v>62.203714078312053</v>
      </c>
      <c r="Q12" s="209">
        <v>1993</v>
      </c>
      <c r="R12" s="107">
        <f>$D18*'Escapement Age'!AA17</f>
        <v>36.304864049252231</v>
      </c>
      <c r="S12" s="107">
        <f>$D18*'Escapement Age'!AB17</f>
        <v>1960.4626586596205</v>
      </c>
      <c r="T12" s="107">
        <f>$D18*'Escapement Age'!AC17</f>
        <v>2154.0886002556322</v>
      </c>
      <c r="U12" s="209">
        <v>1994</v>
      </c>
      <c r="V12" s="107">
        <f>$D19*'Escapement Age'!AD18</f>
        <v>35.509584356931057</v>
      </c>
      <c r="W12" s="107">
        <f>$D19*'Escapement Age'!AE18</f>
        <v>710.19168713862109</v>
      </c>
      <c r="X12" s="107">
        <f>$D19*'Escapement Age'!AF18</f>
        <v>0</v>
      </c>
      <c r="Y12" s="209">
        <v>1995</v>
      </c>
      <c r="Z12" s="107">
        <f>$D20*'Escapement Age'!AG19</f>
        <v>0</v>
      </c>
      <c r="AA12" s="3"/>
      <c r="AB12" s="2">
        <v>14146.3126905028</v>
      </c>
      <c r="AC12" s="2">
        <f t="shared" si="0"/>
        <v>-107.65872995111931</v>
      </c>
      <c r="AD12" s="4"/>
      <c r="AE12" s="18"/>
    </row>
    <row r="13" spans="1:31" x14ac:dyDescent="0.3">
      <c r="A13" s="4">
        <v>1988</v>
      </c>
      <c r="B13" s="3">
        <f>'Summary Data'!C12</f>
        <v>3252.0306691668725</v>
      </c>
      <c r="C13" s="3">
        <f>'Summary Data'!H12</f>
        <v>340</v>
      </c>
      <c r="D13" s="3">
        <f t="shared" si="1"/>
        <v>3592.0306691668725</v>
      </c>
      <c r="E13" s="3">
        <f t="shared" si="2"/>
        <v>32610.621523604746</v>
      </c>
      <c r="F13" s="209">
        <v>1991</v>
      </c>
      <c r="G13" s="107">
        <f>$B16*'Escapement Age'!S15+$C16*'Escapement Age'!S15</f>
        <v>0</v>
      </c>
      <c r="H13" s="107">
        <f>$B16*'Escapement Age'!T15</f>
        <v>101.13290929073392</v>
      </c>
      <c r="I13" s="209">
        <v>1992</v>
      </c>
      <c r="J13" s="107">
        <f>$B17*'Escapement Age'!U16+$C17*'Escapement Age'!U16</f>
        <v>0</v>
      </c>
      <c r="K13" s="107">
        <f>$B17*'Escapement Age'!V16+$C17*'Escapement Age'!V16</f>
        <v>1075.6580313019374</v>
      </c>
      <c r="L13" s="107">
        <f>$B17*'Escapement Age'!W16</f>
        <v>660.9144620820656</v>
      </c>
      <c r="M13" s="209">
        <v>1993</v>
      </c>
      <c r="N13" s="107">
        <f>$B18*'Escapement Age'!X17+$C18*'Escapement Age'!X17</f>
        <v>2166.1902216053832</v>
      </c>
      <c r="O13" s="107">
        <f>$B18*'Escapement Age'!Y17+$C18*'Escapement Age'!Y17</f>
        <v>11883.79216545523</v>
      </c>
      <c r="P13" s="107">
        <f>$B18*'Escapement Age'!Z17</f>
        <v>0</v>
      </c>
      <c r="Q13" s="209">
        <v>1994</v>
      </c>
      <c r="R13" s="107">
        <f>$D19*'Escapement Age'!AA18</f>
        <v>35.509584356931057</v>
      </c>
      <c r="S13" s="107">
        <f>$D19*'Escapement Age'!AB18</f>
        <v>16565.221102508338</v>
      </c>
      <c r="T13" s="107">
        <f>$D19*'Escapement Age'!AC18</f>
        <v>17.754792178465529</v>
      </c>
      <c r="U13" s="209">
        <v>1995</v>
      </c>
      <c r="V13" s="107">
        <f>$D20*'Escapement Age'!AD19</f>
        <v>104.44825482566539</v>
      </c>
      <c r="W13" s="107">
        <f>$D20*'Escapement Age'!AE19</f>
        <v>0</v>
      </c>
      <c r="X13" s="107">
        <f>$D20*'Escapement Age'!AF19</f>
        <v>0</v>
      </c>
      <c r="Y13" s="209">
        <v>1996</v>
      </c>
      <c r="Z13" s="107">
        <f>$D21*'Escapement Age'!AG20</f>
        <v>0</v>
      </c>
      <c r="AA13" s="3"/>
      <c r="AB13" s="2">
        <v>31782.271387669989</v>
      </c>
      <c r="AC13" s="2">
        <f t="shared" si="0"/>
        <v>-828.35013593475742</v>
      </c>
      <c r="AD13" s="4"/>
      <c r="AE13" s="18"/>
    </row>
    <row r="14" spans="1:31" x14ac:dyDescent="0.3">
      <c r="A14" s="4">
        <v>1989</v>
      </c>
      <c r="B14" s="3">
        <f>'Summary Data'!C13</f>
        <v>31570.474732028444</v>
      </c>
      <c r="C14" s="3">
        <f>'Summary Data'!H13</f>
        <v>2686</v>
      </c>
      <c r="D14" s="3">
        <f t="shared" si="1"/>
        <v>34256.474732028444</v>
      </c>
      <c r="E14" s="3">
        <f t="shared" si="2"/>
        <v>27573.431342598109</v>
      </c>
      <c r="F14" s="209">
        <v>1992</v>
      </c>
      <c r="G14" s="107">
        <f>$B17*'Escapement Age'!S16+$C17*'Escapement Age'!S16</f>
        <v>0</v>
      </c>
      <c r="H14" s="107">
        <f>$B17*'Escapement Age'!T16</f>
        <v>738.66910467995558</v>
      </c>
      <c r="I14" s="209">
        <v>1993</v>
      </c>
      <c r="J14" s="107">
        <f>$B18*'Escapement Age'!U17+$C18*'Escapement Age'!U17</f>
        <v>12.101621349750744</v>
      </c>
      <c r="K14" s="107">
        <f>$B18*'Escapement Age'!V17+$C18*'Escapement Age'!V17</f>
        <v>8749.4722358697873</v>
      </c>
      <c r="L14" s="107">
        <f>$B18*'Escapement Age'!W17</f>
        <v>559.07201968424533</v>
      </c>
      <c r="M14" s="209">
        <v>1994</v>
      </c>
      <c r="N14" s="107">
        <f>$B19*'Escapement Age'!X18+$C19*'Escapement Age'!X18</f>
        <v>13919.757067916975</v>
      </c>
      <c r="O14" s="107">
        <f>$B19*'Escapement Age'!Y18+$C19*'Escapement Age'!Y18</f>
        <v>1509.1573351695697</v>
      </c>
      <c r="P14" s="107">
        <f>$B19*'Escapement Age'!Z18</f>
        <v>15.367795274440761</v>
      </c>
      <c r="Q14" s="209">
        <v>1995</v>
      </c>
      <c r="R14" s="107">
        <f>$D20*'Escapement Age'!AA19</f>
        <v>121.85629729660963</v>
      </c>
      <c r="S14" s="107">
        <f>$D20*'Escapement Age'!AB19</f>
        <v>1932.2927142748097</v>
      </c>
      <c r="T14" s="107">
        <f>$D20*'Escapement Age'!AC19</f>
        <v>0</v>
      </c>
      <c r="U14" s="209">
        <v>1996</v>
      </c>
      <c r="V14" s="107">
        <f>$D21*'Escapement Age'!AD20</f>
        <v>15.68515108196841</v>
      </c>
      <c r="W14" s="107">
        <f>$D21*'Escapement Age'!AE20</f>
        <v>0</v>
      </c>
      <c r="X14" s="107">
        <f>$D21*'Escapement Age'!AF20</f>
        <v>0</v>
      </c>
      <c r="Y14" s="209">
        <v>1997</v>
      </c>
      <c r="Z14" s="107">
        <f>$D22*'Escapement Age'!AG21</f>
        <v>0</v>
      </c>
      <c r="AA14" s="3"/>
      <c r="AB14" s="2">
        <v>26816.691526300805</v>
      </c>
      <c r="AC14" s="2">
        <f t="shared" si="0"/>
        <v>-756.73981629730406</v>
      </c>
      <c r="AD14" s="4"/>
      <c r="AE14" s="18"/>
    </row>
    <row r="15" spans="1:31" x14ac:dyDescent="0.3">
      <c r="A15" s="4">
        <v>1990</v>
      </c>
      <c r="B15" s="3">
        <f>'Summary Data'!C14</f>
        <v>73180.571660014248</v>
      </c>
      <c r="C15" s="3">
        <f>'Summary Data'!H14</f>
        <v>6029</v>
      </c>
      <c r="D15" s="3">
        <f t="shared" si="1"/>
        <v>79209.571660014248</v>
      </c>
      <c r="E15" s="3">
        <f t="shared" si="2"/>
        <v>44788.022839745056</v>
      </c>
      <c r="F15" s="209">
        <v>1993</v>
      </c>
      <c r="G15" s="107">
        <f>$B18*'Escapement Age'!S17+$C18*'Escapement Age'!S17</f>
        <v>0</v>
      </c>
      <c r="H15" s="107">
        <f>$B18*'Escapement Age'!T17</f>
        <v>268.78462484819488</v>
      </c>
      <c r="I15" s="209">
        <v>1994</v>
      </c>
      <c r="J15" s="107">
        <f>$B19*'Escapement Age'!U18+$C19*'Escapement Age'!U18</f>
        <v>0</v>
      </c>
      <c r="K15" s="107">
        <f>$B19*'Escapement Age'!V18+$C19*'Escapement Age'!V18</f>
        <v>12304.070979676611</v>
      </c>
      <c r="L15" s="107">
        <f>$B19*'Escapement Age'!W18</f>
        <v>276.62031493993368</v>
      </c>
      <c r="M15" s="209">
        <v>1995</v>
      </c>
      <c r="N15" s="107">
        <f>$B20*'Escapement Age'!X19+$C20*'Escapement Age'!X19</f>
        <v>26477.632598306172</v>
      </c>
      <c r="O15" s="107">
        <f>$B20*'Escapement Age'!Y19+$C20*'Escapement Age'!Y19</f>
        <v>2402.3098609903041</v>
      </c>
      <c r="P15" s="107">
        <f>$B20*'Escapement Age'!Z19</f>
        <v>0</v>
      </c>
      <c r="Q15" s="209">
        <v>1996</v>
      </c>
      <c r="R15" s="107">
        <f>$D21*'Escapement Age'!AA20</f>
        <v>188.22181298362094</v>
      </c>
      <c r="S15" s="107">
        <f>$D21*'Escapement Age'!AB20</f>
        <v>2807.6420436723456</v>
      </c>
      <c r="T15" s="107">
        <f>$D21*'Escapement Age'!AC20</f>
        <v>62.740604327873641</v>
      </c>
      <c r="U15" s="209">
        <v>1997</v>
      </c>
      <c r="V15" s="107">
        <f>$D22*'Escapement Age'!AD21</f>
        <v>0</v>
      </c>
      <c r="W15" s="107">
        <f>$D22*'Escapement Age'!AE21</f>
        <v>0</v>
      </c>
      <c r="X15" s="107">
        <f>$D22*'Escapement Age'!AF21</f>
        <v>0</v>
      </c>
      <c r="Y15" s="209">
        <v>1998</v>
      </c>
      <c r="Z15" s="210">
        <v>0</v>
      </c>
      <c r="AA15" s="3"/>
      <c r="AB15" s="2">
        <v>42923.334123087763</v>
      </c>
      <c r="AC15" s="2">
        <f t="shared" si="0"/>
        <v>-1864.6887166572924</v>
      </c>
      <c r="AD15" s="4"/>
      <c r="AE15" s="18"/>
    </row>
    <row r="16" spans="1:31" x14ac:dyDescent="0.3">
      <c r="A16" s="4">
        <v>1991</v>
      </c>
      <c r="B16" s="3">
        <f>'Summary Data'!C15</f>
        <v>45509.809180830263</v>
      </c>
      <c r="C16" s="3">
        <f>'Summary Data'!H15</f>
        <v>3106</v>
      </c>
      <c r="D16" s="3">
        <f t="shared" si="1"/>
        <v>48615.809180830263</v>
      </c>
      <c r="E16" s="3"/>
      <c r="F16" s="209"/>
      <c r="G16" s="107"/>
      <c r="H16" s="107"/>
      <c r="I16" s="209"/>
      <c r="J16" s="107"/>
      <c r="K16" s="107"/>
      <c r="L16" s="107"/>
      <c r="M16" s="209"/>
      <c r="N16" s="107"/>
      <c r="O16" s="107"/>
      <c r="P16" s="107"/>
      <c r="Q16" s="209"/>
      <c r="R16" s="107"/>
      <c r="S16" s="107"/>
      <c r="T16" s="107"/>
      <c r="U16" s="209"/>
      <c r="V16" s="210"/>
      <c r="W16" s="210"/>
      <c r="X16" s="210"/>
      <c r="Y16" s="209"/>
      <c r="Z16" s="107"/>
      <c r="AA16" s="3"/>
      <c r="AB16" s="2"/>
      <c r="AC16" s="2"/>
      <c r="AD16" s="4"/>
      <c r="AE16" s="18"/>
    </row>
    <row r="17" spans="1:31" x14ac:dyDescent="0.3">
      <c r="A17" s="4">
        <v>1992</v>
      </c>
      <c r="B17" s="3">
        <f>'Summary Data'!C16</f>
        <v>10325.816536999801</v>
      </c>
      <c r="C17" s="3">
        <f>'Summary Data'!H16</f>
        <v>101</v>
      </c>
      <c r="D17" s="3">
        <f t="shared" si="1"/>
        <v>10426.816536999801</v>
      </c>
      <c r="E17" s="3"/>
      <c r="F17" s="209"/>
      <c r="G17" s="107"/>
      <c r="H17" s="107"/>
      <c r="I17" s="209"/>
      <c r="J17" s="107"/>
      <c r="K17" s="107"/>
      <c r="L17" s="107"/>
      <c r="M17" s="209"/>
      <c r="N17" s="107"/>
      <c r="O17" s="107"/>
      <c r="P17" s="107"/>
      <c r="Q17" s="209"/>
      <c r="R17" s="210"/>
      <c r="S17" s="210"/>
      <c r="T17" s="210"/>
      <c r="U17" s="209"/>
      <c r="V17" s="107"/>
      <c r="W17" s="107"/>
      <c r="X17" s="107"/>
      <c r="Y17" s="209"/>
      <c r="Z17" s="107"/>
      <c r="AA17" s="3"/>
      <c r="AB17" s="2"/>
      <c r="AC17" s="2"/>
      <c r="AD17" s="4"/>
      <c r="AE17" s="18"/>
    </row>
    <row r="18" spans="1:31" x14ac:dyDescent="0.3">
      <c r="A18" s="4">
        <v>1993</v>
      </c>
      <c r="B18" s="3">
        <f>'Summary Data'!C17</f>
        <v>25018.47288086998</v>
      </c>
      <c r="C18" s="3">
        <f>'Summary Data'!H17</f>
        <v>3142</v>
      </c>
      <c r="D18" s="3">
        <f t="shared" si="1"/>
        <v>28160.47288086998</v>
      </c>
      <c r="E18" s="3"/>
      <c r="F18" s="209"/>
      <c r="G18" s="107"/>
      <c r="H18" s="107"/>
      <c r="I18" s="209"/>
      <c r="J18" s="107"/>
      <c r="K18" s="107"/>
      <c r="L18" s="107"/>
      <c r="M18" s="209"/>
      <c r="N18" s="210"/>
      <c r="O18" s="210"/>
      <c r="P18" s="210"/>
      <c r="Q18" s="209"/>
      <c r="R18" s="107"/>
      <c r="S18" s="107"/>
      <c r="T18" s="107"/>
      <c r="U18" s="209"/>
      <c r="V18" s="107"/>
      <c r="W18" s="107"/>
      <c r="X18" s="107"/>
      <c r="Y18" s="209"/>
      <c r="Z18" s="107"/>
      <c r="AA18" s="3"/>
      <c r="AB18" s="2"/>
      <c r="AC18" s="2"/>
      <c r="AD18" s="4"/>
      <c r="AE18" s="18"/>
    </row>
    <row r="19" spans="1:31" x14ac:dyDescent="0.3">
      <c r="A19" s="4">
        <v>1994</v>
      </c>
      <c r="B19" s="3">
        <f>'Summary Data'!C18</f>
        <v>39710.382989154925</v>
      </c>
      <c r="C19" s="3">
        <f>'Summary Data'!H18</f>
        <v>6168</v>
      </c>
      <c r="D19" s="3">
        <f t="shared" si="1"/>
        <v>45878.382989154925</v>
      </c>
      <c r="E19" s="3"/>
      <c r="F19" s="209"/>
      <c r="G19" s="107"/>
      <c r="H19" s="107"/>
      <c r="I19" s="209"/>
      <c r="J19" s="210"/>
      <c r="K19" s="210"/>
      <c r="L19" s="210"/>
      <c r="M19" s="209"/>
      <c r="N19" s="107"/>
      <c r="O19" s="107"/>
      <c r="P19" s="107"/>
      <c r="Q19" s="209"/>
      <c r="R19" s="107"/>
      <c r="S19" s="107"/>
      <c r="T19" s="107"/>
      <c r="U19" s="209"/>
      <c r="V19" s="107"/>
      <c r="W19" s="107"/>
      <c r="X19" s="107"/>
      <c r="Y19" s="209"/>
      <c r="Z19" s="107"/>
      <c r="AA19" s="3"/>
      <c r="AB19" s="2"/>
      <c r="AC19" s="2"/>
      <c r="AD19" s="4"/>
      <c r="AE19" s="18"/>
    </row>
    <row r="20" spans="1:31" x14ac:dyDescent="0.3">
      <c r="A20" s="4">
        <v>1995</v>
      </c>
      <c r="B20" s="3">
        <f>'Summary Data'!C19</f>
        <v>34797.618320235895</v>
      </c>
      <c r="C20" s="3">
        <f>'Summary Data'!H19</f>
        <v>5502</v>
      </c>
      <c r="D20" s="3">
        <f t="shared" si="1"/>
        <v>40299.618320235895</v>
      </c>
      <c r="E20" s="3"/>
      <c r="F20" s="209"/>
      <c r="G20" s="210"/>
      <c r="H20" s="210"/>
      <c r="I20" s="209"/>
      <c r="J20" s="107"/>
      <c r="K20" s="107"/>
      <c r="L20" s="107"/>
      <c r="M20" s="209"/>
      <c r="N20" s="107"/>
      <c r="O20" s="107"/>
      <c r="P20" s="107"/>
      <c r="Q20" s="209"/>
      <c r="R20" s="107"/>
      <c r="S20" s="107"/>
      <c r="T20" s="107"/>
      <c r="U20" s="209"/>
      <c r="V20" s="107"/>
      <c r="W20" s="107"/>
      <c r="X20" s="107"/>
      <c r="Y20" s="209"/>
      <c r="Z20" s="107"/>
      <c r="AA20" s="3"/>
      <c r="AB20" s="2"/>
      <c r="AC20" s="2"/>
      <c r="AD20" s="4"/>
      <c r="AE20" s="18"/>
    </row>
    <row r="21" spans="1:31" x14ac:dyDescent="0.3">
      <c r="A21" s="4">
        <v>1996</v>
      </c>
      <c r="B21" s="3">
        <f>'Summary Data'!C20</f>
        <v>19209.334767083867</v>
      </c>
      <c r="C21" s="3">
        <f>'Summary Data'!H20</f>
        <v>5683</v>
      </c>
      <c r="D21" s="3">
        <f t="shared" si="1"/>
        <v>24892.334767083867</v>
      </c>
      <c r="E21" s="3">
        <f t="shared" si="2"/>
        <v>7433.8898524219394</v>
      </c>
      <c r="F21" s="209">
        <v>1999</v>
      </c>
      <c r="G21" s="107">
        <f>$B24*'Escapement Age'!S23+$C24*'Escapement Age'!S23</f>
        <v>0</v>
      </c>
      <c r="H21" s="107">
        <f>$B24*'Escapement Age'!T23</f>
        <v>130.8121655801767</v>
      </c>
      <c r="I21" s="209">
        <v>2000</v>
      </c>
      <c r="J21" s="107">
        <f>$B25*'Escapement Age'!U24+$C25*'Escapement Age'!U24</f>
        <v>8.3868958372322027</v>
      </c>
      <c r="K21" s="107">
        <f>$B25*'Escapement Age'!V24+$C25*'Escapement Age'!V24</f>
        <v>1025.9969240880728</v>
      </c>
      <c r="L21" s="107">
        <f>$B25*'Escapement Age'!W24</f>
        <v>4.4136801942537831</v>
      </c>
      <c r="M21" s="209">
        <v>2001</v>
      </c>
      <c r="N21" s="107">
        <f>$B26*'Escapement Age'!X25+$C26*'Escapement Age'!X25</f>
        <v>3432.0231333637876</v>
      </c>
      <c r="O21" s="107">
        <f>$B26*'Escapement Age'!Y25+$C26*'Escapement Age'!Y25</f>
        <v>74.880504727937193</v>
      </c>
      <c r="P21" s="107">
        <f>$B26*'Escapement Age'!Z25</f>
        <v>2.9788745067285256</v>
      </c>
      <c r="Q21" s="209">
        <v>2002</v>
      </c>
      <c r="R21" s="107">
        <f>$D27*'Escapement Age'!AA26</f>
        <v>24.859012312725824</v>
      </c>
      <c r="S21" s="107">
        <f>$D27*'Escapement Age'!AB26</f>
        <v>2635.0553051489374</v>
      </c>
      <c r="T21" s="107">
        <f>$D27*'Escapement Age'!AC26</f>
        <v>12.429506156362912</v>
      </c>
      <c r="U21" s="209">
        <v>2003</v>
      </c>
      <c r="V21" s="107">
        <f>$D28*'Escapement Age'!AD27</f>
        <v>82.053850505723574</v>
      </c>
      <c r="W21" s="107">
        <f>$D28*'Escapement Age'!AE27</f>
        <v>0</v>
      </c>
      <c r="X21" s="107">
        <f>$D28*'Escapement Age'!AF27</f>
        <v>0</v>
      </c>
      <c r="Y21" s="209">
        <v>2004</v>
      </c>
      <c r="Z21" s="107">
        <f>$D29*'Escapement Age'!AG28</f>
        <v>0</v>
      </c>
      <c r="AA21" s="3"/>
      <c r="AB21" s="2">
        <v>6152.7301461752777</v>
      </c>
      <c r="AC21" s="2">
        <f t="shared" ref="AC21:AC38" si="3">AB21-E21</f>
        <v>-1281.1597062466617</v>
      </c>
      <c r="AD21" s="4"/>
      <c r="AE21" s="18"/>
    </row>
    <row r="22" spans="1:31" x14ac:dyDescent="0.3">
      <c r="A22" s="4">
        <v>1997</v>
      </c>
      <c r="B22" s="3">
        <f>'Summary Data'!C21</f>
        <v>28898.406062239013</v>
      </c>
      <c r="C22" s="3">
        <f>'Summary Data'!H21</f>
        <v>9256</v>
      </c>
      <c r="D22" s="3">
        <f t="shared" si="1"/>
        <v>38154.40606223901</v>
      </c>
      <c r="E22" s="3">
        <f t="shared" si="2"/>
        <v>27191.066734719847</v>
      </c>
      <c r="F22" s="209">
        <v>2000</v>
      </c>
      <c r="G22" s="107">
        <f>$B25*'Escapement Age'!S24+$C25*'Escapement Age'!S24</f>
        <v>2.7956319457440677</v>
      </c>
      <c r="H22" s="107">
        <f>$B25*'Escapement Age'!T24</f>
        <v>77.239403399441201</v>
      </c>
      <c r="I22" s="209">
        <v>2001</v>
      </c>
      <c r="J22" s="107">
        <f>$B26*'Escapement Age'!U25+$C26*'Escapement Age'!U25</f>
        <v>8.3200560808819084</v>
      </c>
      <c r="K22" s="107">
        <f>$B26*'Escapement Age'!V25+$C26*'Escapement Age'!V25</f>
        <v>1185.6079915256721</v>
      </c>
      <c r="L22" s="107">
        <f>$B26*'Escapement Age'!W25</f>
        <v>89.366235201855773</v>
      </c>
      <c r="M22" s="209">
        <v>2002</v>
      </c>
      <c r="N22" s="107">
        <f>$B27*'Escapement Age'!X26+$C27*'Escapement Age'!X26</f>
        <v>2411.3241943344051</v>
      </c>
      <c r="O22" s="107">
        <f>$B27*'Escapement Age'!Y26+$C27*'Escapement Age'!Y26</f>
        <v>10739.093319097556</v>
      </c>
      <c r="P22" s="107">
        <f>$B27*'Escapement Age'!Z26</f>
        <v>0</v>
      </c>
      <c r="Q22" s="209">
        <v>2003</v>
      </c>
      <c r="R22" s="107">
        <f>$D28*'Escapement Age'!AA27</f>
        <v>41.026925252861787</v>
      </c>
      <c r="S22" s="107">
        <f>$D28*'Escapement Age'!AB27</f>
        <v>12636.292977881432</v>
      </c>
      <c r="T22" s="107">
        <f>$D28*'Escapement Age'!AC27</f>
        <v>0</v>
      </c>
      <c r="U22" s="209">
        <v>2004</v>
      </c>
      <c r="V22" s="107">
        <f>$D29*'Escapement Age'!AD28</f>
        <v>0</v>
      </c>
      <c r="W22" s="107">
        <f>$D29*'Escapement Age'!AE28</f>
        <v>0</v>
      </c>
      <c r="X22" s="107">
        <f>$D29*'Escapement Age'!AF28</f>
        <v>0</v>
      </c>
      <c r="Y22" s="209">
        <v>2005</v>
      </c>
      <c r="Z22" s="107">
        <f>$D30*'Escapement Age'!AG29</f>
        <v>0</v>
      </c>
      <c r="AA22" s="3"/>
      <c r="AB22" s="2">
        <v>26209.238411928578</v>
      </c>
      <c r="AC22" s="2">
        <f t="shared" si="3"/>
        <v>-981.82832279126887</v>
      </c>
      <c r="AD22" s="4"/>
      <c r="AE22" s="18"/>
    </row>
    <row r="23" spans="1:31" x14ac:dyDescent="0.3">
      <c r="A23" s="4">
        <v>1998</v>
      </c>
      <c r="B23" s="193"/>
      <c r="C23" s="3">
        <f>'Summary Data'!H22</f>
        <v>8934</v>
      </c>
      <c r="D23" s="193"/>
      <c r="E23" s="3">
        <f t="shared" si="2"/>
        <v>81474.62912718326</v>
      </c>
      <c r="F23" s="209">
        <v>2001</v>
      </c>
      <c r="G23" s="107">
        <f>$B26*'Escapement Age'!S25+$C26*'Escapement Age'!S25</f>
        <v>0</v>
      </c>
      <c r="H23" s="107">
        <f>$B26*'Escapement Age'!T25</f>
        <v>137.02822730951218</v>
      </c>
      <c r="I23" s="209">
        <v>2002</v>
      </c>
      <c r="J23" s="107">
        <f>$B27*'Escapement Age'!U26+$C27*'Escapement Age'!U26</f>
        <v>0</v>
      </c>
      <c r="K23" s="107">
        <f>$B27*'Escapement Age'!V26+$C27*'Escapement Age'!V26</f>
        <v>10502.932702126662</v>
      </c>
      <c r="L23" s="107">
        <f>$B27*'Escapement Age'!W26</f>
        <v>234.73537951661277</v>
      </c>
      <c r="M23" s="209">
        <v>2003</v>
      </c>
      <c r="N23" s="107">
        <f>$B28*'Escapement Age'!X27+$C28*'Escapement Age'!X27</f>
        <v>6687.3888162164722</v>
      </c>
      <c r="O23" s="107">
        <f>$B28*'Escapement Age'!Y27+$C28*'Escapement Age'!Y27</f>
        <v>58012.072307546579</v>
      </c>
      <c r="P23" s="107">
        <f>$B28*'Escapement Age'!Z27</f>
        <v>0</v>
      </c>
      <c r="Q23" s="209">
        <v>2004</v>
      </c>
      <c r="R23" s="107">
        <f>$D29*'Escapement Age'!AA28</f>
        <v>0</v>
      </c>
      <c r="S23" s="107">
        <f>$D29*'Escapement Age'!AB28</f>
        <v>5838.8078036837824</v>
      </c>
      <c r="T23" s="107">
        <f>$D29*'Escapement Age'!AC28</f>
        <v>0</v>
      </c>
      <c r="U23" s="209">
        <v>2005</v>
      </c>
      <c r="V23" s="107">
        <f>$D30*'Escapement Age'!AD29</f>
        <v>61.663890783627785</v>
      </c>
      <c r="W23" s="107">
        <f>$D30*'Escapement Age'!AE29</f>
        <v>0</v>
      </c>
      <c r="X23" s="107">
        <f>$D30*'Escapement Age'!AF29</f>
        <v>0</v>
      </c>
      <c r="Y23" s="209">
        <v>2006</v>
      </c>
      <c r="Z23" s="107">
        <f>$D31*'Escapement Age'!AG30</f>
        <v>0</v>
      </c>
      <c r="AA23" s="3"/>
      <c r="AB23" s="2">
        <v>80825.894835902407</v>
      </c>
      <c r="AC23" s="2">
        <f t="shared" si="3"/>
        <v>-648.73429128085263</v>
      </c>
      <c r="AD23" s="4"/>
      <c r="AE23" s="18"/>
    </row>
    <row r="24" spans="1:31" x14ac:dyDescent="0.3">
      <c r="A24" s="4">
        <v>1999</v>
      </c>
      <c r="B24" s="3">
        <f>'Summary Data'!C23</f>
        <v>57753.571103648006</v>
      </c>
      <c r="C24" s="3">
        <f>'Summary Data'!H23</f>
        <v>12694</v>
      </c>
      <c r="D24" s="3">
        <f t="shared" si="1"/>
        <v>70447.571103648006</v>
      </c>
      <c r="E24" s="3">
        <f t="shared" si="2"/>
        <v>62003.178240850131</v>
      </c>
      <c r="F24" s="209">
        <v>2002</v>
      </c>
      <c r="G24" s="107">
        <f>$B27*'Escapement Age'!S26+$C27*'Escapement Age'!S26</f>
        <v>0</v>
      </c>
      <c r="H24" s="107">
        <f>$B27*'Escapement Age'!T26</f>
        <v>44.71150086030719</v>
      </c>
      <c r="I24" s="209">
        <v>2003</v>
      </c>
      <c r="J24" s="107">
        <f>$B28*'Escapement Age'!U27+$C28*'Escapement Age'!U27</f>
        <v>0</v>
      </c>
      <c r="K24" s="107">
        <f>$B28*'Escapement Age'!V27+$C28*'Escapement Age'!V27</f>
        <v>4020.6386747804559</v>
      </c>
      <c r="L24" s="107">
        <f>$B28*'Escapement Age'!W27</f>
        <v>349.98883189767156</v>
      </c>
      <c r="M24" s="209">
        <v>2004</v>
      </c>
      <c r="N24" s="107">
        <f>$B29*'Escapement Age'!X28+$C29*'Escapement Age'!X28</f>
        <v>49045.985550943777</v>
      </c>
      <c r="O24" s="107">
        <f>$B29*'Escapement Age'!Y28+$C29*'Escapement Age'!Y28</f>
        <v>2406.2965493969527</v>
      </c>
      <c r="P24" s="107">
        <f>$B29*'Escapement Age'!Z28</f>
        <v>0</v>
      </c>
      <c r="Q24" s="209">
        <v>2005</v>
      </c>
      <c r="R24" s="107">
        <f>$D30*'Escapement Age'!AA29</f>
        <v>123.32778156725557</v>
      </c>
      <c r="S24" s="107">
        <f>$D30*'Escapement Age'!AB29</f>
        <v>6012.2293514037092</v>
      </c>
      <c r="T24" s="107">
        <f>$D30*'Escapement Age'!AC29</f>
        <v>0</v>
      </c>
      <c r="U24" s="209">
        <v>2006</v>
      </c>
      <c r="V24" s="107">
        <f>$D31*'Escapement Age'!AD30</f>
        <v>0</v>
      </c>
      <c r="W24" s="107">
        <f>$D31*'Escapement Age'!AE30</f>
        <v>0</v>
      </c>
      <c r="X24" s="107">
        <f>$D31*'Escapement Age'!AF30</f>
        <v>0</v>
      </c>
      <c r="Y24" s="209">
        <v>2007</v>
      </c>
      <c r="Z24" s="107">
        <f>$D32*'Escapement Age'!AG31</f>
        <v>0</v>
      </c>
      <c r="AA24" s="3"/>
      <c r="AB24" s="2">
        <v>61920.781131380769</v>
      </c>
      <c r="AC24" s="2">
        <f t="shared" si="3"/>
        <v>-82.397109469362476</v>
      </c>
      <c r="AD24" s="4"/>
      <c r="AE24" s="18"/>
    </row>
    <row r="25" spans="1:31" x14ac:dyDescent="0.3">
      <c r="A25" s="4">
        <v>2000</v>
      </c>
      <c r="B25" s="3">
        <f>'Summary Data'!C24</f>
        <v>3032.1982934523489</v>
      </c>
      <c r="C25" s="3">
        <f>'Summary Data'!H24</f>
        <v>809</v>
      </c>
      <c r="D25" s="3">
        <f t="shared" si="1"/>
        <v>3841.1982934523489</v>
      </c>
      <c r="E25" s="3">
        <f t="shared" si="2"/>
        <v>90543.46945646884</v>
      </c>
      <c r="F25" s="209">
        <v>2003</v>
      </c>
      <c r="G25" s="107">
        <f>$B28*'Escapement Age'!S27+$C28*'Escapement Age'!S27</f>
        <v>0</v>
      </c>
      <c r="H25" s="107">
        <f>$B28*'Escapement Age'!T27</f>
        <v>34.998883189767149</v>
      </c>
      <c r="I25" s="209">
        <v>2004</v>
      </c>
      <c r="J25" s="107">
        <f>$B29*'Escapement Age'!U28+$C29*'Escapement Age'!U28</f>
        <v>0</v>
      </c>
      <c r="K25" s="107">
        <f>$B29*'Escapement Age'!V28+$C29*'Escapement Age'!V28</f>
        <v>31281.855142160392</v>
      </c>
      <c r="L25" s="107">
        <f>$B29*'Escapement Age'!W28</f>
        <v>545.59796390413192</v>
      </c>
      <c r="M25" s="209">
        <v>2005</v>
      </c>
      <c r="N25" s="107">
        <f>$B30*'Escapement Age'!X29+$C30*'Escapement Age'!X29</f>
        <v>32897.685733065424</v>
      </c>
      <c r="O25" s="107">
        <f>$B30*'Escapement Age'!Y29+$C30*'Escapement Age'!Y29</f>
        <v>13226.904573088161</v>
      </c>
      <c r="P25" s="107">
        <f>$B30*'Escapement Age'!Z29</f>
        <v>0</v>
      </c>
      <c r="Q25" s="209">
        <v>2006</v>
      </c>
      <c r="R25" s="107">
        <f>$D31*'Escapement Age'!AA30</f>
        <v>0</v>
      </c>
      <c r="S25" s="107">
        <f>$D31*'Escapement Age'!AB30</f>
        <v>12377.087934789188</v>
      </c>
      <c r="T25" s="107">
        <f>$D31*'Escapement Age'!AC30</f>
        <v>0</v>
      </c>
      <c r="U25" s="209">
        <v>2007</v>
      </c>
      <c r="V25" s="107">
        <f>$D32*'Escapement Age'!AD31</f>
        <v>179.33922627177168</v>
      </c>
      <c r="W25" s="107">
        <f>$D32*'Escapement Age'!AE31</f>
        <v>0</v>
      </c>
      <c r="X25" s="107">
        <f>$D32*'Escapement Age'!AF31</f>
        <v>0</v>
      </c>
      <c r="Y25" s="209">
        <v>2008</v>
      </c>
      <c r="Z25" s="107">
        <f>$D33*'Escapement Age'!AG32</f>
        <v>0</v>
      </c>
      <c r="AA25" s="3"/>
      <c r="AB25" s="2">
        <v>90349.48965517836</v>
      </c>
      <c r="AC25" s="2">
        <f t="shared" si="3"/>
        <v>-193.97980129047937</v>
      </c>
      <c r="AD25" s="4"/>
      <c r="AE25" s="18"/>
    </row>
    <row r="26" spans="1:31" x14ac:dyDescent="0.3">
      <c r="A26" s="4">
        <v>2001</v>
      </c>
      <c r="B26" s="3">
        <f>'Summary Data'!C25</f>
        <v>3666.9945177828154</v>
      </c>
      <c r="C26" s="3">
        <f>'Summary Data'!H25</f>
        <v>1454</v>
      </c>
      <c r="D26" s="3">
        <f t="shared" si="1"/>
        <v>5120.9945177828158</v>
      </c>
      <c r="E26" s="3">
        <f t="shared" si="2"/>
        <v>74923.083177855151</v>
      </c>
      <c r="F26" s="209">
        <v>2004</v>
      </c>
      <c r="G26" s="107">
        <f>$B29*'Escapement Age'!S28+$C29*'Escapement Age'!S28</f>
        <v>0</v>
      </c>
      <c r="H26" s="107">
        <f>$B29*'Escapement Age'!T28</f>
        <v>848.70794385087186</v>
      </c>
      <c r="I26" s="209">
        <v>2005</v>
      </c>
      <c r="J26" s="107">
        <f>$B30*'Escapement Age'!U29+$C30*'Escapement Age'!U29</f>
        <v>0</v>
      </c>
      <c r="K26" s="107">
        <f>$B30*'Escapement Age'!V29+$C30*'Escapement Age'!V29</f>
        <v>12147.786484374676</v>
      </c>
      <c r="L26" s="107">
        <f>$B30*'Escapement Age'!W29</f>
        <v>6326.699610195783</v>
      </c>
      <c r="M26" s="209">
        <v>2006</v>
      </c>
      <c r="N26" s="107">
        <f>$B31*'Escapement Age'!X30+$C31*'Escapement Age'!X30</f>
        <v>24754.175869578379</v>
      </c>
      <c r="O26" s="107">
        <f>$B31*'Escapement Age'!Y30+$C31*'Escapement Age'!Y30</f>
        <v>19854.911895390989</v>
      </c>
      <c r="P26" s="107">
        <f>$B31*'Escapement Age'!Z30</f>
        <v>0</v>
      </c>
      <c r="Q26" s="209">
        <v>2007</v>
      </c>
      <c r="R26" s="107">
        <f>$D32*'Escapement Age'!AA31</f>
        <v>358.67845254354336</v>
      </c>
      <c r="S26" s="107">
        <f>$D32*'Escapement Age'!AB31</f>
        <v>10581.014350034529</v>
      </c>
      <c r="T26" s="107">
        <f>$D32*'Escapement Age'!AC31</f>
        <v>0</v>
      </c>
      <c r="U26" s="209">
        <v>2008</v>
      </c>
      <c r="V26" s="107">
        <f>$D33*'Escapement Age'!AD32</f>
        <v>51.108571886382911</v>
      </c>
      <c r="W26" s="107">
        <f>$D33*'Escapement Age'!AE32</f>
        <v>0</v>
      </c>
      <c r="X26" s="107">
        <f>$D33*'Escapement Age'!AF32</f>
        <v>0</v>
      </c>
      <c r="Y26" s="209">
        <v>2009</v>
      </c>
      <c r="Z26" s="107">
        <f>$D34*'Escapement Age'!AG33</f>
        <v>0</v>
      </c>
      <c r="AA26" s="3"/>
      <c r="AB26" s="2">
        <v>74696.103749173824</v>
      </c>
      <c r="AC26" s="2">
        <f t="shared" si="3"/>
        <v>-226.97942868132668</v>
      </c>
      <c r="AD26" s="4"/>
      <c r="AE26" s="18"/>
    </row>
    <row r="27" spans="1:31" x14ac:dyDescent="0.3">
      <c r="A27" s="4">
        <v>2002</v>
      </c>
      <c r="B27" s="3">
        <f>'Summary Data'!C26</f>
        <v>23987.72021155481</v>
      </c>
      <c r="C27" s="3">
        <f>'Summary Data'!H26</f>
        <v>2686</v>
      </c>
      <c r="D27" s="3">
        <f t="shared" si="1"/>
        <v>26673.72021155481</v>
      </c>
      <c r="E27" s="3">
        <f t="shared" si="2"/>
        <v>142828.13952400896</v>
      </c>
      <c r="F27" s="209">
        <v>2005</v>
      </c>
      <c r="G27" s="107">
        <f>$B30*'Escapement Age'!S29+$C30*'Escapement Age'!S29</f>
        <v>30.831945391813893</v>
      </c>
      <c r="H27" s="107">
        <f>$B30*'Escapement Age'!T29</f>
        <v>1276.4393950395001</v>
      </c>
      <c r="I27" s="209">
        <v>2006</v>
      </c>
      <c r="J27" s="107">
        <f>$B31*'Escapement Age'!U30+$C31*'Escapement Age'!U30</f>
        <v>0</v>
      </c>
      <c r="K27" s="107">
        <f>$B31*'Escapement Age'!V30+$C31*'Escapement Age'!V30</f>
        <v>72199.679619603601</v>
      </c>
      <c r="L27" s="107">
        <f>$B31*'Escapement Age'!W30</f>
        <v>0</v>
      </c>
      <c r="M27" s="209">
        <v>2007</v>
      </c>
      <c r="N27" s="107">
        <f>$B32*'Escapement Age'!X31+$C32*'Escapement Age'!X31</f>
        <v>63844.764552750719</v>
      </c>
      <c r="O27" s="107">
        <f>$B32*'Escapement Age'!Y31+$C32*'Escapement Age'!Y31</f>
        <v>3048.7668466201185</v>
      </c>
      <c r="P27" s="107">
        <f>$B32*'Escapement Age'!Z31</f>
        <v>0</v>
      </c>
      <c r="Q27" s="209">
        <v>2008</v>
      </c>
      <c r="R27" s="107">
        <f>$D33*'Escapement Age'!AA32</f>
        <v>127.77142971595728</v>
      </c>
      <c r="S27" s="107">
        <f>$D33*'Escapement Age'!AB32</f>
        <v>2299.8857348872307</v>
      </c>
      <c r="T27" s="107">
        <f>$D33*'Escapement Age'!AC32</f>
        <v>0</v>
      </c>
      <c r="U27" s="209">
        <v>2009</v>
      </c>
      <c r="V27" s="107">
        <f>$D34*'Escapement Age'!AD33</f>
        <v>0</v>
      </c>
      <c r="W27" s="107">
        <f>$D34*'Escapement Age'!AE33</f>
        <v>0</v>
      </c>
      <c r="X27" s="107">
        <f>$D34*'Escapement Age'!AF33</f>
        <v>0</v>
      </c>
      <c r="Y27" s="209">
        <v>2010</v>
      </c>
      <c r="Z27" s="107">
        <f>$D35*'Escapement Age'!AG34</f>
        <v>0</v>
      </c>
      <c r="AA27" s="3"/>
      <c r="AB27" s="2">
        <v>142055.84364859672</v>
      </c>
      <c r="AC27" s="2">
        <f t="shared" si="3"/>
        <v>-772.29587541223736</v>
      </c>
      <c r="AD27" s="4"/>
      <c r="AE27" s="18"/>
    </row>
    <row r="28" spans="1:31" x14ac:dyDescent="0.3">
      <c r="A28" s="4">
        <v>2003</v>
      </c>
      <c r="B28" s="3">
        <f>'Summary Data'!C27</f>
        <v>69892.769729965003</v>
      </c>
      <c r="C28" s="3">
        <f>'Summary Data'!H27</f>
        <v>12038</v>
      </c>
      <c r="D28" s="3">
        <f t="shared" si="1"/>
        <v>81930.769729965003</v>
      </c>
      <c r="E28" s="3">
        <f t="shared" si="2"/>
        <v>12287.441047702092</v>
      </c>
      <c r="F28" s="209">
        <v>2006</v>
      </c>
      <c r="G28" s="107">
        <f>$B31*'Escapement Age'!S30+$C31*'Escapement Age'!S30</f>
        <v>0</v>
      </c>
      <c r="H28" s="107">
        <f>$B31*'Escapement Age'!T30</f>
        <v>0</v>
      </c>
      <c r="I28" s="209">
        <v>2007</v>
      </c>
      <c r="J28" s="107">
        <f>$B32*'Escapement Age'!U31+$C32*'Escapement Age'!U31</f>
        <v>0</v>
      </c>
      <c r="K28" s="107">
        <f>$B32*'Escapement Age'!V31+$C32*'Escapement Age'!V31</f>
        <v>4662.819883066064</v>
      </c>
      <c r="L28" s="107">
        <f>$B32*'Escapement Age'!W31</f>
        <v>0</v>
      </c>
      <c r="M28" s="209">
        <v>2008</v>
      </c>
      <c r="N28" s="107">
        <f>$B33*'Escapement Age'!X32+$C33*'Escapement Age'!X32</f>
        <v>6771.8857749457347</v>
      </c>
      <c r="O28" s="107">
        <f>$B33*'Escapement Age'!Y32+$C33*'Escapement Age'!Y32</f>
        <v>434.42286103425477</v>
      </c>
      <c r="P28" s="107">
        <f>$B33*'Escapement Age'!Z32</f>
        <v>0</v>
      </c>
      <c r="Q28" s="209">
        <v>2009</v>
      </c>
      <c r="R28" s="107">
        <f>$D34*'Escapement Age'!AA33</f>
        <v>0</v>
      </c>
      <c r="S28" s="107">
        <f>$D34*'Escapement Age'!AB33</f>
        <v>353.9567550166484</v>
      </c>
      <c r="T28" s="107">
        <f>$D34*'Escapement Age'!AC33</f>
        <v>64.35577363939062</v>
      </c>
      <c r="U28" s="209">
        <v>2010</v>
      </c>
      <c r="V28" s="107">
        <f>$D35*'Escapement Age'!AD34</f>
        <v>0</v>
      </c>
      <c r="W28" s="107">
        <f>$D35*'Escapement Age'!AE34</f>
        <v>0</v>
      </c>
      <c r="X28" s="107">
        <f>$D35*'Escapement Age'!AF34</f>
        <v>0</v>
      </c>
      <c r="Y28" s="209">
        <v>2011</v>
      </c>
      <c r="Z28" s="107">
        <f>$D36*'Escapement Age'!AG35</f>
        <v>0</v>
      </c>
      <c r="AA28" s="3"/>
      <c r="AB28" s="2">
        <v>12193.981692327712</v>
      </c>
      <c r="AC28" s="2">
        <f t="shared" si="3"/>
        <v>-93.459355374379811</v>
      </c>
      <c r="AD28" s="4"/>
      <c r="AE28" s="18"/>
    </row>
    <row r="29" spans="1:31" x14ac:dyDescent="0.3">
      <c r="A29" s="4">
        <v>2004</v>
      </c>
      <c r="B29" s="3">
        <f>'Summary Data'!C28</f>
        <v>77262.733888424016</v>
      </c>
      <c r="C29" s="3">
        <f>'Summary Data'!H28</f>
        <v>12938</v>
      </c>
      <c r="D29" s="3">
        <f t="shared" si="1"/>
        <v>90200.733888424016</v>
      </c>
      <c r="E29" s="3">
        <f t="shared" si="2"/>
        <v>17135.228086591396</v>
      </c>
      <c r="F29" s="209">
        <v>2007</v>
      </c>
      <c r="G29" s="107">
        <f>$B32*'Escapement Age'!S31+$C32*'Escapement Age'!S31</f>
        <v>0</v>
      </c>
      <c r="H29" s="107">
        <f>$B32*'Escapement Age'!T31</f>
        <v>0</v>
      </c>
      <c r="I29" s="209">
        <v>2008</v>
      </c>
      <c r="J29" s="107">
        <f>$B33*'Escapement Age'!U32+$C33*'Escapement Age'!U32</f>
        <v>0</v>
      </c>
      <c r="K29" s="107">
        <f>$B33*'Escapement Age'!V32+$C33*'Escapement Age'!V32</f>
        <v>1431.0400128187216</v>
      </c>
      <c r="L29" s="107">
        <f>$B33*'Escapement Age'!W32</f>
        <v>334.72227140951259</v>
      </c>
      <c r="M29" s="209">
        <v>2009</v>
      </c>
      <c r="N29" s="107">
        <f>$B34*'Escapement Age'!X33+$C34*'Escapement Age'!X33</f>
        <v>6017.264835283022</v>
      </c>
      <c r="O29" s="107">
        <f>$B34*'Escapement Age'!Y33+$C34*'Escapement Age'!Y33</f>
        <v>5856.3754011845467</v>
      </c>
      <c r="P29" s="107">
        <f>$B34*'Escapement Age'!Z33</f>
        <v>0</v>
      </c>
      <c r="Q29" s="209">
        <v>2010</v>
      </c>
      <c r="R29" s="107">
        <f>$D35*'Escapement Age'!AA34</f>
        <v>41.616971022566595</v>
      </c>
      <c r="S29" s="107">
        <f>$D35*'Escapement Age'!AB34</f>
        <v>3454.2085948730273</v>
      </c>
      <c r="T29" s="107">
        <f>$D35*'Escapement Age'!AC34</f>
        <v>0</v>
      </c>
      <c r="U29" s="209">
        <v>2011</v>
      </c>
      <c r="V29" s="107">
        <f>$D36*'Escapement Age'!AD35</f>
        <v>0</v>
      </c>
      <c r="W29" s="107">
        <f>$D36*'Escapement Age'!AE35</f>
        <v>0</v>
      </c>
      <c r="X29" s="107">
        <f>$D36*'Escapement Age'!AF35</f>
        <v>0</v>
      </c>
      <c r="Y29" s="209">
        <v>2012</v>
      </c>
      <c r="Z29" s="107">
        <f>$D37*'Escapement Age'!AG36</f>
        <v>0</v>
      </c>
      <c r="AA29" s="3"/>
      <c r="AB29" s="2">
        <v>16855.225189556993</v>
      </c>
      <c r="AC29" s="2">
        <f t="shared" si="3"/>
        <v>-280.00289703440285</v>
      </c>
      <c r="AD29" s="4"/>
    </row>
    <row r="30" spans="1:31" x14ac:dyDescent="0.3">
      <c r="A30" s="4">
        <v>2005</v>
      </c>
      <c r="B30" s="3">
        <f>'Summary Data'!C29</f>
        <v>65653.382797031678</v>
      </c>
      <c r="C30" s="3">
        <f>'Summary Data'!H29</f>
        <v>7295</v>
      </c>
      <c r="D30" s="3">
        <f t="shared" si="1"/>
        <v>72948.382797031678</v>
      </c>
      <c r="E30" s="3">
        <f t="shared" si="2"/>
        <v>10064.964505566295</v>
      </c>
      <c r="F30" s="209">
        <v>2008</v>
      </c>
      <c r="G30" s="107">
        <f>$B33*'Escapement Age'!S32+$C33*'Escapement Age'!S32</f>
        <v>0</v>
      </c>
      <c r="H30" s="107">
        <f>$B33*'Escapement Age'!T32</f>
        <v>22.314818093967506</v>
      </c>
      <c r="I30" s="209">
        <v>2009</v>
      </c>
      <c r="J30" s="107">
        <f>$B34*'Escapement Age'!U33+$C34*'Escapement Age'!U33</f>
        <v>0</v>
      </c>
      <c r="K30" s="107">
        <f>$B34*'Escapement Age'!V33+$C34*'Escapement Age'!V33</f>
        <v>1287.1154727878125</v>
      </c>
      <c r="L30" s="107">
        <f>$B34*'Escapement Age'!W33</f>
        <v>332.21393699052874</v>
      </c>
      <c r="M30" s="209">
        <v>2010</v>
      </c>
      <c r="N30" s="107">
        <f>$B35*'Escapement Age'!X34+$C35*'Escapement Age'!X34</f>
        <v>1955.9976380606299</v>
      </c>
      <c r="O30" s="107">
        <f>$B35*'Escapement Age'!Y34+$C35*'Escapement Age'!Y34</f>
        <v>2871.571000557095</v>
      </c>
      <c r="P30" s="107">
        <f>$B35*'Escapement Age'!Z34</f>
        <v>0</v>
      </c>
      <c r="Q30" s="209">
        <v>2011</v>
      </c>
      <c r="R30" s="107">
        <f>$D36*'Escapement Age'!AA35</f>
        <v>0</v>
      </c>
      <c r="S30" s="107">
        <f>$D36*'Escapement Age'!AB35</f>
        <v>3595.7516390762603</v>
      </c>
      <c r="T30" s="107">
        <f>$D36*'Escapement Age'!AC35</f>
        <v>0</v>
      </c>
      <c r="U30" s="209">
        <v>2012</v>
      </c>
      <c r="V30" s="107">
        <f>$D37*'Escapement Age'!AD36</f>
        <v>0</v>
      </c>
      <c r="W30" s="107">
        <f>$D37*'Escapement Age'!AE36</f>
        <v>0</v>
      </c>
      <c r="X30" s="107">
        <f>$D37*'Escapement Age'!AF36</f>
        <v>0</v>
      </c>
      <c r="Y30" s="209">
        <v>2013</v>
      </c>
      <c r="Z30" s="107">
        <f>$D38*'Escapement Age'!AG37</f>
        <v>0</v>
      </c>
      <c r="AA30" s="3"/>
      <c r="AB30" s="2">
        <v>9927.6969180043543</v>
      </c>
      <c r="AC30" s="2">
        <f t="shared" si="3"/>
        <v>-137.26758756194067</v>
      </c>
      <c r="AD30" s="4"/>
    </row>
    <row r="31" spans="1:31" x14ac:dyDescent="0.3">
      <c r="A31" s="4">
        <v>2006</v>
      </c>
      <c r="B31" s="3">
        <f>'Summary Data'!C30</f>
        <v>103952.85531936215</v>
      </c>
      <c r="C31" s="3">
        <f>'Summary Data'!H30</f>
        <v>25233</v>
      </c>
      <c r="D31" s="3">
        <f t="shared" si="1"/>
        <v>129185.85531936215</v>
      </c>
      <c r="E31" s="3">
        <f t="shared" si="2"/>
        <v>29816.498355008756</v>
      </c>
      <c r="F31" s="209">
        <v>2009</v>
      </c>
      <c r="G31" s="107">
        <f>$B34*'Escapement Age'!S33+$C34*'Escapement Age'!S33</f>
        <v>0</v>
      </c>
      <c r="H31" s="107">
        <f>$B34*'Escapement Age'!T33</f>
        <v>553.68989498421456</v>
      </c>
      <c r="I31" s="209">
        <v>2010</v>
      </c>
      <c r="J31" s="107">
        <f>$B35*'Escapement Age'!U34+$C35*'Escapement Age'!U34</f>
        <v>0</v>
      </c>
      <c r="K31" s="107">
        <f>$B35*'Escapement Age'!V34+$C35*'Escapement Age'!V34</f>
        <v>11694.368857341215</v>
      </c>
      <c r="L31" s="107">
        <f>$B35*'Escapement Age'!W34</f>
        <v>141.49468821397772</v>
      </c>
      <c r="M31" s="209">
        <v>2011</v>
      </c>
      <c r="N31" s="107">
        <f>$B36*'Escapement Age'!X35+$C36*'Escapement Age'!X35</f>
        <v>13458.384706256858</v>
      </c>
      <c r="O31" s="107">
        <f>$B36*'Escapement Age'!Y35+$C36*'Escapement Age'!Y35</f>
        <v>2003.3473417710591</v>
      </c>
      <c r="P31" s="107">
        <f>$B36*'Escapement Age'!Z35</f>
        <v>0</v>
      </c>
      <c r="Q31" s="209">
        <v>2012</v>
      </c>
      <c r="R31" s="107">
        <f>$D37*'Escapement Age'!AA36</f>
        <v>0</v>
      </c>
      <c r="S31" s="107">
        <f>$D37*'Escapement Age'!AB36</f>
        <v>1310.141910960954</v>
      </c>
      <c r="T31" s="107">
        <f>$D37*'Escapement Age'!AC36</f>
        <v>655.07095548047698</v>
      </c>
      <c r="U31" s="209">
        <v>2013</v>
      </c>
      <c r="V31" s="107">
        <f>$D38*'Escapement Age'!AD37</f>
        <v>0</v>
      </c>
      <c r="W31" s="107">
        <f>$D38*'Escapement Age'!AE37</f>
        <v>0</v>
      </c>
      <c r="X31" s="107">
        <f>$D38*'Escapement Age'!AF37</f>
        <v>0</v>
      </c>
      <c r="Y31" s="209">
        <v>2014</v>
      </c>
      <c r="Z31" s="107">
        <f>$D39*'Escapement Age'!AG38</f>
        <v>0</v>
      </c>
      <c r="AA31" s="3"/>
      <c r="AB31" s="2">
        <v>29441.08380148443</v>
      </c>
      <c r="AC31" s="2">
        <f t="shared" si="3"/>
        <v>-375.41455352432604</v>
      </c>
      <c r="AD31" s="4"/>
    </row>
    <row r="32" spans="1:31" x14ac:dyDescent="0.3">
      <c r="A32" s="4">
        <v>2007</v>
      </c>
      <c r="B32" s="3">
        <f>'Summary Data'!C31</f>
        <v>66938.383311286743</v>
      </c>
      <c r="C32" s="3">
        <f>'Summary Data'!H31</f>
        <v>15737</v>
      </c>
      <c r="D32" s="3">
        <f t="shared" si="1"/>
        <v>82675.383311286743</v>
      </c>
      <c r="E32" s="3">
        <f t="shared" si="2"/>
        <v>29874.618392283341</v>
      </c>
      <c r="F32" s="209">
        <v>2010</v>
      </c>
      <c r="G32" s="107">
        <f>$B35*'Escapement Age'!S34+$C35*'Escapement Age'!S34</f>
        <v>0</v>
      </c>
      <c r="H32" s="107">
        <f>$B35*'Escapement Age'!T34</f>
        <v>0</v>
      </c>
      <c r="I32" s="209">
        <v>2011</v>
      </c>
      <c r="J32" s="107">
        <f>$B36*'Escapement Age'!U35+$C36*'Escapement Age'!U35</f>
        <v>0</v>
      </c>
      <c r="K32" s="107">
        <f>$B36*'Escapement Age'!V35+$C36*'Escapement Age'!V35</f>
        <v>1232.8291333975749</v>
      </c>
      <c r="L32" s="107">
        <f>$B36*'Escapement Age'!W35</f>
        <v>2115.6026676220054</v>
      </c>
      <c r="M32" s="209">
        <v>2012</v>
      </c>
      <c r="N32" s="107">
        <f>$B37*'Escapement Age'!X36+$C37*'Escapement Age'!X36</f>
        <v>1719.5612581362523</v>
      </c>
      <c r="O32" s="107">
        <f>$B37*'Escapement Age'!Y36+$C37*'Escapement Age'!Y36</f>
        <v>15230.39971492109</v>
      </c>
      <c r="P32" s="107">
        <f>$B37*'Escapement Age'!Z36</f>
        <v>0</v>
      </c>
      <c r="Q32" s="209">
        <v>2013</v>
      </c>
      <c r="R32" s="107">
        <f>$D38*'Escapement Age'!AA37</f>
        <v>0</v>
      </c>
      <c r="S32" s="107">
        <f>$D38*'Escapement Age'!AB37</f>
        <v>9480.150242337264</v>
      </c>
      <c r="T32" s="107">
        <f>$D38*'Escapement Age'!AC37</f>
        <v>0</v>
      </c>
      <c r="U32" s="209">
        <v>2014</v>
      </c>
      <c r="V32" s="107">
        <f>$D39*'Escapement Age'!AD38</f>
        <v>0</v>
      </c>
      <c r="W32" s="107">
        <f>$D39*'Escapement Age'!AE38</f>
        <v>96.075375869154385</v>
      </c>
      <c r="X32" s="107">
        <f>$D39*'Escapement Age'!AF38</f>
        <v>0</v>
      </c>
      <c r="Y32" s="209">
        <v>2015</v>
      </c>
      <c r="Z32" s="107">
        <f>$D40*'Escapement Age'!AG39</f>
        <v>0</v>
      </c>
      <c r="AA32" s="3"/>
      <c r="AB32" s="2">
        <v>29681.797469337707</v>
      </c>
      <c r="AC32" s="2">
        <f t="shared" si="3"/>
        <v>-192.82092294563336</v>
      </c>
      <c r="AD32" s="4"/>
    </row>
    <row r="33" spans="1:31" x14ac:dyDescent="0.3">
      <c r="A33" s="4">
        <v>2008</v>
      </c>
      <c r="B33" s="3">
        <f>'Summary Data'!C32</f>
        <v>10063.982960379346</v>
      </c>
      <c r="C33" s="3">
        <f>'Summary Data'!H32</f>
        <v>1461</v>
      </c>
      <c r="D33" s="3">
        <f t="shared" si="1"/>
        <v>11524.982960379346</v>
      </c>
      <c r="E33" s="3">
        <f t="shared" si="2"/>
        <v>67741.006921964014</v>
      </c>
      <c r="F33" s="209">
        <v>2011</v>
      </c>
      <c r="G33" s="107">
        <f>$B36*'Escapement Age'!S35+$C36*'Escapement Age'!S35</f>
        <v>0</v>
      </c>
      <c r="H33" s="107">
        <f>$B36*'Escapement Age'!T35</f>
        <v>2437.5422039992668</v>
      </c>
      <c r="I33" s="209">
        <v>2012</v>
      </c>
      <c r="J33" s="107">
        <f>$B37*'Escapement Age'!U36+$C37*'Escapement Age'!U36</f>
        <v>0</v>
      </c>
      <c r="K33" s="107">
        <f>$B37*'Escapement Age'!V36+$C37*'Escapement Age'!V36</f>
        <v>21207.922183680443</v>
      </c>
      <c r="L33" s="107">
        <f>$B37*'Escapement Age'!W36</f>
        <v>2691.8119520270752</v>
      </c>
      <c r="M33" s="209">
        <v>2013</v>
      </c>
      <c r="N33" s="107">
        <f>$B38*'Escapement Age'!X37+$C38*'Escapement Age'!X37</f>
        <v>11598.056147540272</v>
      </c>
      <c r="O33" s="107">
        <f>$B38*'Escapement Age'!Y37+$C38*'Escapement Age'!Y37</f>
        <v>24809.754889520929</v>
      </c>
      <c r="P33" s="107">
        <f>$B38*'Escapement Age'!Z37</f>
        <v>0</v>
      </c>
      <c r="Q33" s="209">
        <v>2014</v>
      </c>
      <c r="R33" s="107">
        <f>$D39*'Escapement Age'!AA38</f>
        <v>96.075375869154385</v>
      </c>
      <c r="S33" s="107">
        <f>$D39*'Escapement Age'!AB38</f>
        <v>4899.8441693268742</v>
      </c>
      <c r="T33" s="107">
        <f>$D39*'Escapement Age'!AC38</f>
        <v>0</v>
      </c>
      <c r="U33" s="209">
        <v>2015</v>
      </c>
      <c r="V33" s="107">
        <f>$D40*'Escapement Age'!AD39</f>
        <v>0</v>
      </c>
      <c r="W33" s="107">
        <f>$D40*'Escapement Age'!AE39</f>
        <v>0</v>
      </c>
      <c r="X33" s="107">
        <f>$D40*'Escapement Age'!AF39</f>
        <v>0</v>
      </c>
      <c r="Y33" s="209">
        <v>2016</v>
      </c>
      <c r="Z33" s="107">
        <f>$D41*'Escapement Age'!AG40</f>
        <v>0</v>
      </c>
      <c r="AA33" s="3"/>
      <c r="AB33" s="2">
        <v>67214.582487658088</v>
      </c>
      <c r="AC33" s="2">
        <f t="shared" si="3"/>
        <v>-526.42443430592539</v>
      </c>
      <c r="AD33" s="4"/>
    </row>
    <row r="34" spans="1:31" x14ac:dyDescent="0.3">
      <c r="A34" s="4">
        <v>2009</v>
      </c>
      <c r="B34" s="3">
        <f>'Summary Data'!C33</f>
        <v>12568.76061614167</v>
      </c>
      <c r="C34" s="3">
        <f>'Summary Data'!H33</f>
        <v>2040</v>
      </c>
      <c r="D34" s="3">
        <f t="shared" si="1"/>
        <v>14608.76061614167</v>
      </c>
      <c r="E34" s="3">
        <f t="shared" si="2"/>
        <v>24216.492181962785</v>
      </c>
      <c r="F34" s="209">
        <v>2012</v>
      </c>
      <c r="G34" s="107">
        <f>$B37*'Escapement Age'!S36+$C37*'Escapement Age'!S36</f>
        <v>0</v>
      </c>
      <c r="H34" s="107">
        <f>$B37*'Escapement Age'!T36</f>
        <v>3541.8578316145727</v>
      </c>
      <c r="I34" s="209">
        <v>2013</v>
      </c>
      <c r="J34" s="107">
        <f>$B38*'Escapement Age'!U37+$C38*'Escapement Age'!U37</f>
        <v>0</v>
      </c>
      <c r="K34" s="107">
        <f>$B38*'Escapement Age'!V37+$C38*'Escapement Age'!V37</f>
        <v>9681.8555666423144</v>
      </c>
      <c r="L34" s="107">
        <f>$B38*'Escapement Age'!W37</f>
        <v>427.16765858870741</v>
      </c>
      <c r="M34" s="209">
        <v>2014</v>
      </c>
      <c r="N34" s="107">
        <f>$B39*'Escapement Age'!X38+$C39*'Escapement Age'!X38</f>
        <v>9895.7637145229019</v>
      </c>
      <c r="O34" s="107">
        <f>$B39*'Escapement Age'!Y38+$C39*'Escapement Age'!Y38</f>
        <v>480.37687934577195</v>
      </c>
      <c r="P34" s="107">
        <f>$B39*'Escapement Age'!Z38</f>
        <v>0</v>
      </c>
      <c r="Q34" s="209">
        <v>2015</v>
      </c>
      <c r="R34" s="107">
        <f>$D40*'Escapement Age'!AA39</f>
        <v>0</v>
      </c>
      <c r="S34" s="107">
        <f>$D40*'Escapement Age'!AB39</f>
        <v>94.735265624256556</v>
      </c>
      <c r="T34" s="107">
        <f>$D40*'Escapement Age'!AC39</f>
        <v>94.735265624256556</v>
      </c>
      <c r="U34" s="209">
        <v>2016</v>
      </c>
      <c r="V34" s="107">
        <f>$D41*'Escapement Age'!AD40</f>
        <v>0</v>
      </c>
      <c r="W34" s="107">
        <f>$D41*'Escapement Age'!AE40</f>
        <v>0</v>
      </c>
      <c r="X34" s="107">
        <f>$D41*'Escapement Age'!AF40</f>
        <v>0</v>
      </c>
      <c r="Y34" s="209">
        <v>2017</v>
      </c>
      <c r="Z34" s="107">
        <f>$D42*'Escapement Age'!AG41</f>
        <v>0</v>
      </c>
      <c r="AA34" s="3"/>
      <c r="AB34" s="2">
        <v>23883.616956812635</v>
      </c>
      <c r="AC34" s="2">
        <f t="shared" si="3"/>
        <v>-332.87522515015007</v>
      </c>
      <c r="AD34" s="4"/>
    </row>
    <row r="35" spans="1:31" x14ac:dyDescent="0.3">
      <c r="A35" s="4">
        <v>2010</v>
      </c>
      <c r="B35" s="3">
        <f>'Summary Data'!C34</f>
        <v>17156.230945944797</v>
      </c>
      <c r="C35" s="3">
        <f>'Summary Data'!H34</f>
        <v>3028</v>
      </c>
      <c r="D35" s="3">
        <f t="shared" si="1"/>
        <v>20184.230945944797</v>
      </c>
      <c r="E35" s="3">
        <f t="shared" si="2"/>
        <v>17254.524568772544</v>
      </c>
      <c r="F35" s="209">
        <v>2013</v>
      </c>
      <c r="G35" s="107">
        <f>$B38*'Escapement Age'!S37+$C38*'Escapement Age'!S37</f>
        <v>0</v>
      </c>
      <c r="H35" s="107">
        <f>$B38*'Escapement Age'!T37</f>
        <v>1623.2371026370881</v>
      </c>
      <c r="I35" s="209">
        <v>2014</v>
      </c>
      <c r="J35" s="107">
        <f>$B39*'Escapement Age'!U38+$C39*'Escapement Age'!U38</f>
        <v>0</v>
      </c>
      <c r="K35" s="107">
        <f>$B39*'Escapement Age'!V38+$C39*'Escapement Age'!V38</f>
        <v>4947.8818572614509</v>
      </c>
      <c r="L35" s="107">
        <f>$B39*'Escapement Age'!W38</f>
        <v>1232.0077467848675</v>
      </c>
      <c r="M35" s="209">
        <v>2015</v>
      </c>
      <c r="N35" s="107">
        <f>$B40*'Escapement Age'!X39+$C40*'Escapement Age'!X39</f>
        <v>4547.2927499643147</v>
      </c>
      <c r="O35" s="107">
        <f>$B40*'Escapement Age'!Y39+$C40*'Escapement Age'!Y39</f>
        <v>4168.3516874672878</v>
      </c>
      <c r="P35" s="107">
        <f>$B40*'Escapement Age'!Z39</f>
        <v>0</v>
      </c>
      <c r="Q35" s="209">
        <v>2016</v>
      </c>
      <c r="R35" s="107">
        <f>$D41*'Escapement Age'!AA40</f>
        <v>0</v>
      </c>
      <c r="S35" s="107">
        <f>$D41*'Escapement Age'!AB40</f>
        <v>735.7534246575342</v>
      </c>
      <c r="T35" s="107">
        <f>$D41*'Escapement Age'!AC40</f>
        <v>0</v>
      </c>
      <c r="U35" s="209">
        <v>2017</v>
      </c>
      <c r="V35" s="107">
        <f>$D42*'Escapement Age'!AD41</f>
        <v>0</v>
      </c>
      <c r="W35" s="107">
        <f>$D42*'Escapement Age'!AE41</f>
        <v>0</v>
      </c>
      <c r="X35" s="107">
        <f>$D42*'Escapement Age'!AF41</f>
        <v>0</v>
      </c>
      <c r="Y35" s="209">
        <v>2018</v>
      </c>
      <c r="Z35" s="107">
        <f>$D43*'Escapement Age'!AG42</f>
        <v>0</v>
      </c>
      <c r="AA35" s="3"/>
      <c r="AB35" s="2">
        <v>16959.993930197277</v>
      </c>
      <c r="AC35" s="2">
        <f t="shared" si="3"/>
        <v>-294.53063857526649</v>
      </c>
      <c r="AD35" s="4"/>
    </row>
    <row r="36" spans="1:31" x14ac:dyDescent="0.3">
      <c r="A36" s="4">
        <v>2011</v>
      </c>
      <c r="B36" s="3">
        <f>'Summary Data'!C35</f>
        <v>22719.73299576675</v>
      </c>
      <c r="C36" s="3">
        <f>'Summary Data'!H35</f>
        <v>2656</v>
      </c>
      <c r="D36" s="3">
        <f t="shared" si="1"/>
        <v>25375.73299576675</v>
      </c>
      <c r="E36" s="3">
        <f t="shared" si="2"/>
        <v>25591.964130734821</v>
      </c>
      <c r="F36" s="209">
        <v>2014</v>
      </c>
      <c r="G36" s="107">
        <f>$B39*'Escapement Age'!S38+$C39*'Escapement Age'!S38</f>
        <v>0</v>
      </c>
      <c r="H36" s="107">
        <f>$B39*'Escapement Age'!T38</f>
        <v>2837.3511744136345</v>
      </c>
      <c r="I36" s="209">
        <v>2015</v>
      </c>
      <c r="J36" s="107">
        <f>$B40*'Escapement Age'!U39+$C40*'Escapement Age'!U39</f>
        <v>0</v>
      </c>
      <c r="K36" s="107">
        <f>$B40*'Escapement Age'!V39+$C40*'Escapement Age'!V39</f>
        <v>3694.6753593460053</v>
      </c>
      <c r="L36" s="107">
        <f>$B40*'Escapement Age'!W39</f>
        <v>2932.4425657863344</v>
      </c>
      <c r="M36" s="209">
        <v>2016</v>
      </c>
      <c r="N36" s="107">
        <f>$B41*'Escapement Age'!X40+$C41*'Escapement Age'!X40</f>
        <v>2522.5831702544028</v>
      </c>
      <c r="O36" s="107">
        <f>$B41*'Escapement Age'!Y40+$C41*'Escapement Age'!Y40</f>
        <v>7199.8727984344423</v>
      </c>
      <c r="P36" s="107">
        <f>$B41*'Escapement Age'!Z40</f>
        <v>0</v>
      </c>
      <c r="Q36" s="209">
        <v>2017</v>
      </c>
      <c r="R36" s="107">
        <f>$D42*'Escapement Age'!AA41</f>
        <v>0</v>
      </c>
      <c r="S36" s="107">
        <f>$D42*'Escapement Age'!AB41</f>
        <v>6405.0390625</v>
      </c>
      <c r="T36" s="107">
        <f>$D42*'Escapement Age'!AC41</f>
        <v>0</v>
      </c>
      <c r="U36" s="209">
        <v>2018</v>
      </c>
      <c r="V36" s="107">
        <f>$D43*'Escapement Age'!AD42</f>
        <v>0</v>
      </c>
      <c r="W36" s="107">
        <f>$D43*'Escapement Age'!AE42</f>
        <v>0</v>
      </c>
      <c r="X36" s="107">
        <f>$D43*'Escapement Age'!AF42</f>
        <v>0</v>
      </c>
      <c r="Y36" s="209">
        <v>2019</v>
      </c>
      <c r="Z36" s="210">
        <v>0</v>
      </c>
      <c r="AA36" s="3"/>
      <c r="AB36" s="2">
        <v>25409.664307371509</v>
      </c>
      <c r="AC36" s="2">
        <f t="shared" si="3"/>
        <v>-182.29982336331159</v>
      </c>
      <c r="AD36" s="4"/>
    </row>
    <row r="37" spans="1:31" x14ac:dyDescent="0.3">
      <c r="A37" s="4">
        <v>2012</v>
      </c>
      <c r="B37" s="3">
        <f>'Summary Data'!C36</f>
        <v>40943.876533464463</v>
      </c>
      <c r="C37" s="3">
        <f>'Summary Data'!H36</f>
        <v>6385</v>
      </c>
      <c r="D37" s="3">
        <f t="shared" si="1"/>
        <v>47328.876533464463</v>
      </c>
      <c r="E37" s="3">
        <f t="shared" si="2"/>
        <v>39575.911583536224</v>
      </c>
      <c r="F37" s="209">
        <v>2015</v>
      </c>
      <c r="G37" s="107">
        <f>$B40*'Escapement Age'!S39+$C40*'Escapement Age'!S39</f>
        <v>0</v>
      </c>
      <c r="H37" s="107">
        <f>$B40*'Escapement Age'!T39</f>
        <v>1537.7442723025902</v>
      </c>
      <c r="I37" s="209">
        <v>2016</v>
      </c>
      <c r="J37" s="107">
        <f>$B41*'Escapement Age'!U40+$C41*'Escapement Age'!U40</f>
        <v>0</v>
      </c>
      <c r="K37" s="107">
        <f>$B41*'Escapement Age'!V40+$C41*'Escapement Age'!V40</f>
        <v>14977.837573385519</v>
      </c>
      <c r="L37" s="107">
        <f>$B41*'Escapement Age'!W40</f>
        <v>579.3776908023483</v>
      </c>
      <c r="M37" s="209">
        <v>2017</v>
      </c>
      <c r="N37" s="107">
        <f>$B42*'Escapement Age'!X41+$C42*'Escapement Age'!X41</f>
        <v>18352.900390625</v>
      </c>
      <c r="O37" s="107">
        <f>$B42*'Escapement Age'!Y41+$C42*'Escapement Age'!Y41</f>
        <v>2956.171875</v>
      </c>
      <c r="P37" s="107">
        <f>$B42*'Escapement Age'!Z41</f>
        <v>0</v>
      </c>
      <c r="Q37" s="209">
        <v>2018</v>
      </c>
      <c r="R37" s="107">
        <f>$D43*'Escapement Age'!AA42</f>
        <v>0</v>
      </c>
      <c r="S37" s="107">
        <f>$D43*'Escapement Age'!AB42</f>
        <v>1171.8797814207651</v>
      </c>
      <c r="T37" s="107">
        <f>$D43*'Escapement Age'!AC42</f>
        <v>0</v>
      </c>
      <c r="U37" s="209">
        <v>2019</v>
      </c>
      <c r="V37" s="210">
        <v>0</v>
      </c>
      <c r="W37" s="210"/>
      <c r="X37" s="210"/>
      <c r="Y37" s="209">
        <v>2020</v>
      </c>
      <c r="Z37" s="210">
        <v>0</v>
      </c>
      <c r="AA37" s="3"/>
      <c r="AB37" s="2">
        <v>39244.753456102568</v>
      </c>
      <c r="AC37" s="2">
        <f t="shared" si="3"/>
        <v>-331.15812743365677</v>
      </c>
      <c r="AD37" s="211"/>
      <c r="AE37" s="19"/>
    </row>
    <row r="38" spans="1:31" x14ac:dyDescent="0.3">
      <c r="A38" s="4">
        <v>2013</v>
      </c>
      <c r="B38" s="3">
        <f>'Summary Data'!C37</f>
        <v>49124.280737701352</v>
      </c>
      <c r="C38" s="3">
        <f>'Summary Data'!H37</f>
        <v>8866</v>
      </c>
      <c r="D38" s="3">
        <f t="shared" si="1"/>
        <v>57990.280737701352</v>
      </c>
      <c r="E38" s="3"/>
      <c r="F38" s="209"/>
      <c r="G38" s="107"/>
      <c r="H38" s="107"/>
      <c r="I38" s="209"/>
      <c r="J38" s="107"/>
      <c r="K38" s="107"/>
      <c r="L38" s="107"/>
      <c r="M38" s="209"/>
      <c r="N38" s="107"/>
      <c r="O38" s="107"/>
      <c r="P38" s="107"/>
      <c r="Q38" s="209"/>
      <c r="R38" s="210"/>
      <c r="S38" s="210"/>
      <c r="T38" s="210"/>
      <c r="U38" s="209"/>
      <c r="V38" s="210"/>
      <c r="W38" s="210"/>
      <c r="X38" s="210"/>
      <c r="Y38" s="209"/>
      <c r="Z38" s="210"/>
      <c r="AA38" s="3"/>
      <c r="AB38" s="2">
        <v>23968.458548376511</v>
      </c>
      <c r="AC38" s="2">
        <f t="shared" si="3"/>
        <v>23968.458548376511</v>
      </c>
      <c r="AD38" s="211"/>
      <c r="AE38" s="19"/>
    </row>
    <row r="39" spans="1:31" x14ac:dyDescent="0.3">
      <c r="A39" s="4">
        <v>2014</v>
      </c>
      <c r="B39" s="3">
        <f>'Summary Data'!C38</f>
        <v>19936.125357064222</v>
      </c>
      <c r="C39" s="3">
        <f>'Summary Data'!H38</f>
        <v>5716</v>
      </c>
      <c r="D39" s="3">
        <f t="shared" si="1"/>
        <v>25652.125357064222</v>
      </c>
      <c r="E39" s="3"/>
      <c r="F39" s="209">
        <v>2017</v>
      </c>
      <c r="G39" s="107">
        <f>$B42*'Escapement Age'!S41+$C42*'Escapement Age'!S41</f>
        <v>0</v>
      </c>
      <c r="H39" s="107">
        <f>$B42*'Escapement Age'!T41</f>
        <v>26654.27734375</v>
      </c>
      <c r="I39" s="209">
        <v>2018</v>
      </c>
      <c r="J39" s="107">
        <f>$B43*'Escapement Age'!U42+$C43*'Escapement Age'!U42</f>
        <v>0</v>
      </c>
      <c r="K39" s="107">
        <f>$B43*'Escapement Age'!V42+$C43*'Escapement Age'!V42</f>
        <v>87305.043715846987</v>
      </c>
      <c r="L39" s="107">
        <f>$B43*'Escapement Age'!W42</f>
        <v>0</v>
      </c>
      <c r="M39" s="209">
        <v>2019</v>
      </c>
      <c r="N39" s="107"/>
      <c r="O39" s="107"/>
      <c r="P39" s="107"/>
      <c r="Q39" s="209">
        <v>2020</v>
      </c>
      <c r="R39" s="107"/>
      <c r="S39" s="107"/>
      <c r="T39" s="107"/>
      <c r="U39" s="209">
        <v>2021</v>
      </c>
      <c r="V39" s="107"/>
      <c r="W39" s="107"/>
      <c r="X39" s="107"/>
      <c r="Y39" s="209">
        <v>2022</v>
      </c>
      <c r="Z39" s="107"/>
      <c r="AA39" s="3"/>
      <c r="AB39" s="212"/>
      <c r="AC39" s="211"/>
      <c r="AD39" s="211"/>
      <c r="AE39" s="19"/>
    </row>
    <row r="40" spans="1:31" x14ac:dyDescent="0.3">
      <c r="A40" s="4">
        <v>2015</v>
      </c>
      <c r="B40" s="3">
        <f>'Summary Data'!C39</f>
        <v>13982.744429542156</v>
      </c>
      <c r="C40" s="3">
        <f>'Summary Data'!H39</f>
        <v>4538</v>
      </c>
      <c r="D40" s="3">
        <f t="shared" si="1"/>
        <v>18520.744429542156</v>
      </c>
      <c r="E40" s="3"/>
      <c r="F40" s="209">
        <v>2018</v>
      </c>
      <c r="G40" s="107">
        <f>$B43*'Escapement Age'!S42+$C43*'Escapement Age'!S42</f>
        <v>0</v>
      </c>
      <c r="H40" s="107">
        <f>$B43*'Escapement Age'!T42</f>
        <v>3361.1111111111109</v>
      </c>
      <c r="I40" s="209">
        <v>2019</v>
      </c>
      <c r="J40" s="107"/>
      <c r="K40" s="107"/>
      <c r="L40" s="107"/>
      <c r="M40" s="209">
        <v>2020</v>
      </c>
      <c r="N40" s="107"/>
      <c r="O40" s="107"/>
      <c r="P40" s="107"/>
      <c r="Q40" s="209">
        <v>2021</v>
      </c>
      <c r="R40" s="107"/>
      <c r="S40" s="107"/>
      <c r="T40" s="107"/>
      <c r="U40" s="209">
        <v>2022</v>
      </c>
      <c r="V40" s="107"/>
      <c r="W40" s="107"/>
      <c r="X40" s="107"/>
      <c r="Y40" s="209">
        <v>2023</v>
      </c>
      <c r="Z40" s="107"/>
      <c r="AA40" s="3"/>
      <c r="AB40" s="212"/>
      <c r="AC40" s="211"/>
      <c r="AD40" s="211"/>
      <c r="AE40" s="19"/>
    </row>
    <row r="41" spans="1:31" x14ac:dyDescent="0.3">
      <c r="A41" s="4">
        <v>2016</v>
      </c>
      <c r="B41" s="3">
        <f>'Summary Data'!C40</f>
        <v>22774</v>
      </c>
      <c r="C41" s="3">
        <f>'Summary Data'!H40</f>
        <v>4081</v>
      </c>
      <c r="D41" s="3">
        <f t="shared" ref="D41" si="4">SUM(B41:C41)</f>
        <v>26855</v>
      </c>
      <c r="E41" s="3"/>
      <c r="F41" s="209"/>
      <c r="G41" s="213"/>
      <c r="H41" s="213"/>
      <c r="I41" s="209"/>
      <c r="J41" s="107"/>
      <c r="K41" s="107"/>
      <c r="L41" s="107"/>
      <c r="M41" s="209"/>
      <c r="N41" s="107"/>
      <c r="O41" s="107"/>
      <c r="P41" s="107"/>
      <c r="Q41" s="209"/>
      <c r="R41" s="107"/>
      <c r="S41" s="107"/>
      <c r="T41" s="107"/>
      <c r="U41" s="209"/>
      <c r="V41" s="107"/>
      <c r="W41" s="107"/>
      <c r="X41" s="107"/>
      <c r="Y41" s="209"/>
      <c r="Z41" s="107"/>
      <c r="AA41" s="3"/>
      <c r="AB41" s="212"/>
      <c r="AC41" s="211"/>
      <c r="AD41" s="211"/>
      <c r="AE41" s="19"/>
    </row>
    <row r="42" spans="1:31" x14ac:dyDescent="0.3">
      <c r="A42" s="4">
        <v>2017</v>
      </c>
      <c r="B42" s="3">
        <f>'Summary Data'!C41</f>
        <v>55702</v>
      </c>
      <c r="C42" s="3">
        <f>'Summary Data'!H41</f>
        <v>7363</v>
      </c>
      <c r="D42" s="3">
        <f t="shared" ref="D42:D43" si="5">SUM(B42:C42)</f>
        <v>63065</v>
      </c>
      <c r="E42" s="3"/>
      <c r="F42" s="209"/>
      <c r="G42" s="213"/>
      <c r="H42" s="213"/>
      <c r="I42" s="209"/>
      <c r="J42" s="107"/>
      <c r="K42" s="107"/>
      <c r="L42" s="107"/>
      <c r="M42" s="209"/>
      <c r="N42" s="107"/>
      <c r="O42" s="107"/>
      <c r="P42" s="107"/>
      <c r="Q42" s="209"/>
      <c r="R42" s="107"/>
      <c r="S42" s="107"/>
      <c r="T42" s="107"/>
      <c r="U42" s="209"/>
      <c r="V42" s="107"/>
      <c r="W42" s="107"/>
      <c r="X42" s="107"/>
      <c r="Y42" s="209"/>
      <c r="Z42" s="107"/>
      <c r="AA42" s="3"/>
      <c r="AB42" s="212"/>
      <c r="AC42" s="211"/>
      <c r="AD42" s="211"/>
    </row>
    <row r="43" spans="1:31" x14ac:dyDescent="0.3">
      <c r="A43" s="4">
        <v>2018</v>
      </c>
      <c r="B43" s="3">
        <f>'Summary Data'!C42</f>
        <v>73810</v>
      </c>
      <c r="C43" s="3">
        <f>'Summary Data'!H42</f>
        <v>33417</v>
      </c>
      <c r="D43" s="3">
        <f t="shared" si="5"/>
        <v>107227</v>
      </c>
      <c r="E43" s="3"/>
      <c r="F43" s="209"/>
      <c r="G43" s="213"/>
      <c r="H43" s="213"/>
      <c r="I43" s="209"/>
      <c r="J43" s="107"/>
      <c r="K43" s="107"/>
      <c r="L43" s="107"/>
      <c r="M43" s="209"/>
      <c r="N43" s="107"/>
      <c r="O43" s="107"/>
      <c r="P43" s="107"/>
      <c r="Q43" s="209"/>
      <c r="R43" s="107"/>
      <c r="S43" s="107"/>
      <c r="T43" s="107"/>
      <c r="U43" s="209"/>
      <c r="V43" s="107"/>
      <c r="W43" s="107"/>
      <c r="X43" s="107"/>
      <c r="Y43" s="209"/>
      <c r="Z43" s="107"/>
      <c r="AA43" s="3"/>
      <c r="AB43" s="212"/>
      <c r="AC43" s="4"/>
      <c r="AD43" s="4"/>
    </row>
    <row r="44" spans="1:31" x14ac:dyDescent="0.3">
      <c r="A44" s="4"/>
      <c r="B44" s="3"/>
      <c r="C44" s="3"/>
      <c r="D44" s="3"/>
      <c r="E44" s="3"/>
      <c r="F44" s="131"/>
      <c r="G44" s="146"/>
      <c r="H44" s="146"/>
      <c r="I44" s="214"/>
      <c r="J44" s="3"/>
      <c r="K44" s="3"/>
      <c r="L44" s="3"/>
      <c r="M44" s="214"/>
      <c r="N44" s="3"/>
      <c r="O44" s="3"/>
      <c r="P44" s="3"/>
      <c r="Q44" s="214"/>
      <c r="R44" s="3"/>
      <c r="S44" s="3"/>
      <c r="T44" s="3"/>
      <c r="U44" s="214"/>
      <c r="V44" s="3"/>
      <c r="W44" s="3"/>
      <c r="X44" s="3"/>
      <c r="Y44" s="214"/>
      <c r="Z44" s="3"/>
      <c r="AA44" s="3"/>
      <c r="AB44" s="212"/>
      <c r="AC44" s="4"/>
      <c r="AD44" s="4"/>
    </row>
    <row r="45" spans="1:31" x14ac:dyDescent="0.3">
      <c r="A45" s="7"/>
      <c r="B45" s="3"/>
      <c r="C45" s="3"/>
      <c r="D45" s="3"/>
      <c r="E45" s="3"/>
      <c r="F45" s="131"/>
      <c r="G45" s="3"/>
      <c r="H45" s="3"/>
      <c r="I45" s="131"/>
      <c r="J45" s="3"/>
      <c r="K45" s="3"/>
      <c r="L45" s="3"/>
      <c r="M45" s="131"/>
      <c r="N45" s="3"/>
      <c r="O45" s="3"/>
      <c r="P45" s="3"/>
      <c r="Q45" s="131"/>
      <c r="R45" s="3"/>
      <c r="S45" s="3"/>
      <c r="T45" s="3"/>
      <c r="U45" s="131"/>
      <c r="V45" s="3"/>
      <c r="W45" s="3"/>
      <c r="X45" s="3"/>
      <c r="Y45" s="131"/>
      <c r="Z45" s="3"/>
      <c r="AA45" s="3"/>
      <c r="AB45" s="1"/>
      <c r="AC45" s="4"/>
      <c r="AD45" s="4"/>
    </row>
    <row r="46" spans="1:31" x14ac:dyDescent="0.3">
      <c r="A46" s="1"/>
      <c r="B46" s="3"/>
      <c r="C46" s="3"/>
      <c r="D46" s="3"/>
      <c r="E46" s="3" t="s">
        <v>180</v>
      </c>
      <c r="F46" s="46" t="s">
        <v>0</v>
      </c>
      <c r="G46" s="44" t="s">
        <v>43</v>
      </c>
      <c r="H46" s="44"/>
      <c r="I46" s="44"/>
      <c r="J46" s="44" t="s">
        <v>44</v>
      </c>
      <c r="K46" s="44"/>
      <c r="L46" s="44"/>
      <c r="M46" s="44"/>
      <c r="N46" s="44" t="s">
        <v>45</v>
      </c>
      <c r="O46" s="44"/>
      <c r="P46" s="44"/>
      <c r="Q46" s="44"/>
      <c r="R46" s="44" t="s">
        <v>46</v>
      </c>
      <c r="S46" s="44"/>
      <c r="T46" s="44"/>
      <c r="U46" s="44"/>
      <c r="V46" s="44" t="s">
        <v>47</v>
      </c>
      <c r="W46" s="44"/>
      <c r="X46" s="44"/>
      <c r="Y46" s="44"/>
      <c r="Z46" s="44" t="s">
        <v>48</v>
      </c>
      <c r="AA46" s="3"/>
      <c r="AB46" s="1"/>
      <c r="AC46" s="130" t="s">
        <v>157</v>
      </c>
      <c r="AD46" s="130" t="s">
        <v>158</v>
      </c>
    </row>
    <row r="47" spans="1:31" x14ac:dyDescent="0.3">
      <c r="A47" s="1"/>
      <c r="B47" s="3"/>
      <c r="C47" s="3"/>
      <c r="D47" s="3"/>
      <c r="E47" s="218">
        <f>A7</f>
        <v>1982</v>
      </c>
      <c r="F47" s="130">
        <v>1985</v>
      </c>
      <c r="G47" s="146">
        <f>G7/$E7</f>
        <v>0</v>
      </c>
      <c r="H47" s="146">
        <f>H7/$E7</f>
        <v>1.1006304872781331E-2</v>
      </c>
      <c r="I47" s="130">
        <v>1986</v>
      </c>
      <c r="J47" s="146">
        <f>J7/$E7</f>
        <v>1.1233478808013063E-3</v>
      </c>
      <c r="K47" s="146">
        <f>K7/$E7</f>
        <v>0.23365635920667172</v>
      </c>
      <c r="L47" s="146">
        <f>L7/$E7</f>
        <v>2.8917812774550678E-2</v>
      </c>
      <c r="M47" s="130">
        <v>1987</v>
      </c>
      <c r="N47" s="146">
        <f>N7/$E7</f>
        <v>0.41045330454001366</v>
      </c>
      <c r="O47" s="146">
        <f>O7/$E7</f>
        <v>0.26228967265727704</v>
      </c>
      <c r="P47" s="146">
        <f>P7/$E7</f>
        <v>0</v>
      </c>
      <c r="Q47" s="130">
        <v>1988</v>
      </c>
      <c r="R47" s="146">
        <f>R7/$E7</f>
        <v>0</v>
      </c>
      <c r="S47" s="146">
        <f>S7/$E7</f>
        <v>4.956288641711859E-2</v>
      </c>
      <c r="T47" s="146">
        <f>T7/$E7</f>
        <v>0</v>
      </c>
      <c r="U47" s="130">
        <v>1989</v>
      </c>
      <c r="V47" s="146">
        <f>V7/$E7</f>
        <v>0</v>
      </c>
      <c r="W47" s="146">
        <f>W7/$E7</f>
        <v>2.990311650785526E-3</v>
      </c>
      <c r="X47" s="146">
        <f>X7/$E7</f>
        <v>0</v>
      </c>
      <c r="Y47" s="130">
        <v>1990</v>
      </c>
      <c r="Z47" s="146">
        <f>Z7/$E7</f>
        <v>0</v>
      </c>
      <c r="AA47" s="146">
        <f>SUM(G47:H47,J47:L47,N47:P47,R47:T47,V47:X47,Z47)</f>
        <v>0.99999999999999978</v>
      </c>
      <c r="AB47" s="1"/>
      <c r="AC47" s="211">
        <f>SUM(H47,K47,N47,R47)</f>
        <v>0.65511596861946675</v>
      </c>
      <c r="AD47" s="211">
        <f>SUM(L47,O47,S47,V47)</f>
        <v>0.34077037184894632</v>
      </c>
    </row>
    <row r="48" spans="1:31" x14ac:dyDescent="0.3">
      <c r="A48" s="1"/>
      <c r="B48" s="3"/>
      <c r="C48" s="3"/>
      <c r="D48" s="3"/>
      <c r="E48" s="218">
        <f t="shared" ref="E48:E77" si="6">A8</f>
        <v>1983</v>
      </c>
      <c r="F48" s="130">
        <v>1986</v>
      </c>
      <c r="G48" s="146">
        <f t="shared" ref="G48:G55" si="7">G8/$E8</f>
        <v>0</v>
      </c>
      <c r="H48" s="146">
        <f t="shared" ref="H48" si="8">H8/$E8</f>
        <v>5.3432824993100946E-3</v>
      </c>
      <c r="I48" s="130">
        <v>1987</v>
      </c>
      <c r="J48" s="146">
        <f t="shared" ref="J48:L48" si="9">J8/$E8</f>
        <v>0</v>
      </c>
      <c r="K48" s="146">
        <f t="shared" si="9"/>
        <v>0.26932952744396482</v>
      </c>
      <c r="L48" s="146">
        <f t="shared" si="9"/>
        <v>0.19384553259511927</v>
      </c>
      <c r="M48" s="130">
        <v>1988</v>
      </c>
      <c r="N48" s="146">
        <f t="shared" ref="N48:P48" si="10">N8/$E8</f>
        <v>5.5180412064837724E-2</v>
      </c>
      <c r="O48" s="146">
        <f t="shared" si="10"/>
        <v>0.16176175591609962</v>
      </c>
      <c r="P48" s="146">
        <f t="shared" si="10"/>
        <v>0</v>
      </c>
      <c r="Q48" s="130">
        <v>1989</v>
      </c>
      <c r="R48" s="146">
        <f t="shared" ref="R48:T48" si="11">R8/$E8</f>
        <v>0</v>
      </c>
      <c r="S48" s="146">
        <f t="shared" si="11"/>
        <v>0.29849124149627249</v>
      </c>
      <c r="T48" s="146">
        <f t="shared" si="11"/>
        <v>1.4365888628162848E-2</v>
      </c>
      <c r="U48" s="130">
        <v>1990</v>
      </c>
      <c r="V48" s="146">
        <f t="shared" ref="V48:X48" si="12">V8/$E8</f>
        <v>0</v>
      </c>
      <c r="W48" s="146">
        <f t="shared" si="12"/>
        <v>0</v>
      </c>
      <c r="X48" s="146">
        <f t="shared" si="12"/>
        <v>0</v>
      </c>
      <c r="Y48" s="130">
        <v>1991</v>
      </c>
      <c r="Z48" s="146">
        <f t="shared" ref="Z48" si="13">Z8/$E8</f>
        <v>1.6823593562332476E-3</v>
      </c>
      <c r="AA48" s="146">
        <f t="shared" ref="AA48:AA55" si="14">SUM(G48:H48,J48:L48,N48:P48,R48:T48,V48:X48,Z48)</f>
        <v>1</v>
      </c>
      <c r="AB48" s="1"/>
      <c r="AC48" s="211">
        <f t="shared" ref="AC48:AC77" si="15">SUM(H48,K48,N48,R48)</f>
        <v>0.32985322200811262</v>
      </c>
      <c r="AD48" s="211">
        <f t="shared" ref="AD48:AD77" si="16">SUM(L48,O48,S48,V48)</f>
        <v>0.65409853000749141</v>
      </c>
    </row>
    <row r="49" spans="1:30" x14ac:dyDescent="0.3">
      <c r="A49" s="1"/>
      <c r="B49" s="3"/>
      <c r="C49" s="3"/>
      <c r="D49" s="3"/>
      <c r="E49" s="218">
        <f t="shared" si="6"/>
        <v>1984</v>
      </c>
      <c r="F49" s="130">
        <v>1987</v>
      </c>
      <c r="G49" s="146">
        <f t="shared" si="7"/>
        <v>0</v>
      </c>
      <c r="H49" s="146">
        <f t="shared" ref="H49" si="17">H9/$E9</f>
        <v>1.8812127975366836E-3</v>
      </c>
      <c r="I49" s="130">
        <v>1988</v>
      </c>
      <c r="J49" s="146">
        <f t="shared" ref="J49:L49" si="18">J9/$E9</f>
        <v>0</v>
      </c>
      <c r="K49" s="146">
        <f t="shared" si="18"/>
        <v>9.3059161023313214E-3</v>
      </c>
      <c r="L49" s="146">
        <f t="shared" si="18"/>
        <v>0</v>
      </c>
      <c r="M49" s="130">
        <v>1989</v>
      </c>
      <c r="N49" s="146">
        <f t="shared" ref="N49:P49" si="19">N9/$E9</f>
        <v>0.15802765906281244</v>
      </c>
      <c r="O49" s="146">
        <f t="shared" si="19"/>
        <v>0.38483419564519095</v>
      </c>
      <c r="P49" s="146">
        <f t="shared" si="19"/>
        <v>3.7729777672799205E-4</v>
      </c>
      <c r="Q49" s="130">
        <v>1990</v>
      </c>
      <c r="R49" s="146">
        <f t="shared" ref="R49:T49" si="20">R9/$E9</f>
        <v>1.2604148821700747E-3</v>
      </c>
      <c r="S49" s="146">
        <f t="shared" si="20"/>
        <v>0.41341608135178448</v>
      </c>
      <c r="T49" s="146">
        <f t="shared" si="20"/>
        <v>6.3020744108503732E-3</v>
      </c>
      <c r="U49" s="130">
        <v>1991</v>
      </c>
      <c r="V49" s="146">
        <f t="shared" ref="V49:X49" si="21">V9/$E9</f>
        <v>1.7259752961821669E-3</v>
      </c>
      <c r="W49" s="146">
        <f t="shared" si="21"/>
        <v>2.2869172674413712E-2</v>
      </c>
      <c r="X49" s="146">
        <f t="shared" si="21"/>
        <v>0</v>
      </c>
      <c r="Y49" s="130">
        <v>1992</v>
      </c>
      <c r="Z49" s="146">
        <f t="shared" ref="Z49" si="22">Z9/$E9</f>
        <v>0</v>
      </c>
      <c r="AA49" s="146">
        <f t="shared" si="14"/>
        <v>1.0000000000000002</v>
      </c>
      <c r="AB49" s="1"/>
      <c r="AC49" s="211">
        <f t="shared" si="15"/>
        <v>0.17047520284485052</v>
      </c>
      <c r="AD49" s="211">
        <f t="shared" si="16"/>
        <v>0.79997625229315761</v>
      </c>
    </row>
    <row r="50" spans="1:30" x14ac:dyDescent="0.3">
      <c r="A50" s="1"/>
      <c r="B50" s="3"/>
      <c r="C50" s="3"/>
      <c r="D50" s="3"/>
      <c r="E50" s="218">
        <f t="shared" si="6"/>
        <v>1985</v>
      </c>
      <c r="F50" s="130">
        <v>1988</v>
      </c>
      <c r="G50" s="146">
        <f t="shared" si="7"/>
        <v>0</v>
      </c>
      <c r="H50" s="146">
        <f t="shared" ref="H50" si="23">H10/$E10</f>
        <v>0</v>
      </c>
      <c r="I50" s="130">
        <v>1989</v>
      </c>
      <c r="J50" s="146">
        <f t="shared" ref="J50:L50" si="24">J10/$E10</f>
        <v>0</v>
      </c>
      <c r="K50" s="146">
        <f t="shared" si="24"/>
        <v>1.9828179706435824E-2</v>
      </c>
      <c r="L50" s="146">
        <f t="shared" si="24"/>
        <v>9.0384960689026718E-3</v>
      </c>
      <c r="M50" s="130">
        <v>1990</v>
      </c>
      <c r="N50" s="146">
        <f t="shared" ref="N50:P50" si="25">N10/$E10</f>
        <v>7.4173037021192503E-2</v>
      </c>
      <c r="O50" s="146">
        <f t="shared" si="25"/>
        <v>0.48114014280118672</v>
      </c>
      <c r="P50" s="146">
        <f t="shared" si="25"/>
        <v>0</v>
      </c>
      <c r="Q50" s="130">
        <v>1991</v>
      </c>
      <c r="R50" s="146">
        <f t="shared" ref="R50:T50" si="26">R10/$E10</f>
        <v>2.2471324939965672E-4</v>
      </c>
      <c r="S50" s="146">
        <f t="shared" si="26"/>
        <v>0.41279823914716934</v>
      </c>
      <c r="T50" s="146">
        <f t="shared" si="26"/>
        <v>6.7413974819897004E-4</v>
      </c>
      <c r="U50" s="130">
        <v>1992</v>
      </c>
      <c r="V50" s="146">
        <f t="shared" ref="V50:X50" si="27">V10/$E10</f>
        <v>1.8780846893394396E-3</v>
      </c>
      <c r="W50" s="146">
        <f t="shared" si="27"/>
        <v>2.449675681747095E-4</v>
      </c>
      <c r="X50" s="146">
        <f t="shared" si="27"/>
        <v>0</v>
      </c>
      <c r="Y50" s="130">
        <v>1993</v>
      </c>
      <c r="Z50" s="146">
        <f t="shared" ref="Z50" si="28">Z10/$E10</f>
        <v>0</v>
      </c>
      <c r="AA50" s="146">
        <f t="shared" si="14"/>
        <v>0.99999999999999989</v>
      </c>
      <c r="AB50" s="1"/>
      <c r="AC50" s="211">
        <f t="shared" si="15"/>
        <v>9.4225929977027986E-2</v>
      </c>
      <c r="AD50" s="211">
        <f t="shared" si="16"/>
        <v>0.90485496270659815</v>
      </c>
    </row>
    <row r="51" spans="1:30" x14ac:dyDescent="0.3">
      <c r="A51" s="1"/>
      <c r="B51" s="3"/>
      <c r="C51" s="3"/>
      <c r="D51" s="3"/>
      <c r="E51" s="218">
        <f t="shared" si="6"/>
        <v>1986</v>
      </c>
      <c r="F51" s="130">
        <v>1989</v>
      </c>
      <c r="G51" s="146">
        <f t="shared" si="7"/>
        <v>0</v>
      </c>
      <c r="H51" s="146">
        <f t="shared" ref="H51" si="29">H11/$E11</f>
        <v>1.3846566909729803E-2</v>
      </c>
      <c r="I51" s="130">
        <v>1990</v>
      </c>
      <c r="J51" s="146">
        <f t="shared" ref="J51:L51" si="30">J11/$E11</f>
        <v>2.8910220382389836E-3</v>
      </c>
      <c r="K51" s="146">
        <f t="shared" si="30"/>
        <v>0.37583286497106788</v>
      </c>
      <c r="L51" s="146">
        <f t="shared" si="30"/>
        <v>8.0129196891047926E-3</v>
      </c>
      <c r="M51" s="130">
        <v>1991</v>
      </c>
      <c r="N51" s="146">
        <f t="shared" ref="N51:P51" si="31">N11/$E11</f>
        <v>0.14647859962960963</v>
      </c>
      <c r="O51" s="146">
        <f t="shared" si="31"/>
        <v>0.14647859962960963</v>
      </c>
      <c r="P51" s="146">
        <f t="shared" si="31"/>
        <v>3.7059533750404571E-3</v>
      </c>
      <c r="Q51" s="130">
        <v>1992</v>
      </c>
      <c r="R51" s="146">
        <f t="shared" ref="R51:T51" si="32">R11/$E11</f>
        <v>1.4385703724842593E-3</v>
      </c>
      <c r="S51" s="146">
        <f t="shared" si="32"/>
        <v>0.26901265965455645</v>
      </c>
      <c r="T51" s="146">
        <f t="shared" si="32"/>
        <v>7.9121370486634271E-3</v>
      </c>
      <c r="U51" s="130">
        <v>1993</v>
      </c>
      <c r="V51" s="146">
        <f t="shared" ref="V51:X51" si="33">V11/$E11</f>
        <v>1.1086412128133924E-3</v>
      </c>
      <c r="W51" s="146">
        <f t="shared" si="33"/>
        <v>2.328146546908124E-2</v>
      </c>
      <c r="X51" s="146">
        <f t="shared" si="33"/>
        <v>0</v>
      </c>
      <c r="Y51" s="130">
        <v>1994</v>
      </c>
      <c r="Z51" s="146">
        <f t="shared" ref="Z51" si="34">Z11/$E11</f>
        <v>0</v>
      </c>
      <c r="AA51" s="146">
        <f t="shared" si="14"/>
        <v>1</v>
      </c>
      <c r="AB51" s="1"/>
      <c r="AC51" s="211">
        <f t="shared" si="15"/>
        <v>0.5375966018828916</v>
      </c>
      <c r="AD51" s="211">
        <f t="shared" si="16"/>
        <v>0.42461282018608426</v>
      </c>
    </row>
    <row r="52" spans="1:30" x14ac:dyDescent="0.3">
      <c r="A52" s="1"/>
      <c r="B52" s="3"/>
      <c r="C52" s="3"/>
      <c r="D52" s="3"/>
      <c r="E52" s="217">
        <f t="shared" si="6"/>
        <v>1987</v>
      </c>
      <c r="F52" s="130">
        <v>1990</v>
      </c>
      <c r="G52" s="146">
        <f t="shared" si="7"/>
        <v>0</v>
      </c>
      <c r="H52" s="146">
        <f t="shared" ref="H52" si="35">H12/$E12</f>
        <v>3.2726998396769381E-2</v>
      </c>
      <c r="I52" s="130">
        <v>1991</v>
      </c>
      <c r="J52" s="146">
        <f t="shared" ref="J52:L52" si="36">J12/$E12</f>
        <v>0</v>
      </c>
      <c r="K52" s="146">
        <f t="shared" si="36"/>
        <v>0.25466449396877838</v>
      </c>
      <c r="L52" s="146">
        <f t="shared" si="36"/>
        <v>3.9732385825849689E-2</v>
      </c>
      <c r="M52" s="130">
        <v>1992</v>
      </c>
      <c r="N52" s="146">
        <f t="shared" ref="N52:P52" si="37">N12/$E12</f>
        <v>0.22143375586446842</v>
      </c>
      <c r="O52" s="146">
        <f t="shared" si="37"/>
        <v>0.10355608483213948</v>
      </c>
      <c r="P52" s="146">
        <f t="shared" si="37"/>
        <v>4.3639566997483968E-3</v>
      </c>
      <c r="Q52" s="130">
        <v>1993</v>
      </c>
      <c r="R52" s="146">
        <f t="shared" ref="R52:T52" si="38">R12/$E12</f>
        <v>2.5469999187143098E-3</v>
      </c>
      <c r="S52" s="146">
        <f t="shared" si="38"/>
        <v>0.13753799561057276</v>
      </c>
      <c r="T52" s="146">
        <f t="shared" si="38"/>
        <v>0.15112199517704905</v>
      </c>
      <c r="U52" s="130">
        <v>1994</v>
      </c>
      <c r="V52" s="146">
        <f t="shared" ref="V52:X52" si="39">V12/$E12</f>
        <v>2.4912063669481001E-3</v>
      </c>
      <c r="W52" s="146">
        <f t="shared" si="39"/>
        <v>4.9824127338961993E-2</v>
      </c>
      <c r="X52" s="146">
        <f t="shared" si="39"/>
        <v>0</v>
      </c>
      <c r="Y52" s="130">
        <v>1995</v>
      </c>
      <c r="Z52" s="146">
        <f t="shared" ref="Z52" si="40">Z12/$E12</f>
        <v>0</v>
      </c>
      <c r="AA52" s="146">
        <f t="shared" si="14"/>
        <v>1</v>
      </c>
      <c r="AB52" s="1"/>
      <c r="AC52" s="211">
        <f t="shared" si="15"/>
        <v>0.5113722481487305</v>
      </c>
      <c r="AD52" s="211">
        <f t="shared" si="16"/>
        <v>0.28331767263551</v>
      </c>
    </row>
    <row r="53" spans="1:30" x14ac:dyDescent="0.3">
      <c r="A53" s="1"/>
      <c r="B53" s="3"/>
      <c r="C53" s="3"/>
      <c r="D53" s="3"/>
      <c r="E53" s="218">
        <f t="shared" si="6"/>
        <v>1988</v>
      </c>
      <c r="F53" s="130">
        <v>1991</v>
      </c>
      <c r="G53" s="146">
        <f t="shared" si="7"/>
        <v>0</v>
      </c>
      <c r="H53" s="146">
        <f t="shared" ref="H53" si="41">H13/$E13</f>
        <v>3.1012260596606622E-3</v>
      </c>
      <c r="I53" s="130">
        <v>1992</v>
      </c>
      <c r="J53" s="146">
        <f t="shared" ref="J53:L53" si="42">J13/$E13</f>
        <v>0</v>
      </c>
      <c r="K53" s="146">
        <f t="shared" si="42"/>
        <v>3.2984898203284388E-2</v>
      </c>
      <c r="L53" s="146">
        <f t="shared" si="42"/>
        <v>2.0266846542733686E-2</v>
      </c>
      <c r="M53" s="130">
        <v>1993</v>
      </c>
      <c r="N53" s="146">
        <f t="shared" ref="N53:P53" si="43">N13/$E13</f>
        <v>6.6425910344499767E-2</v>
      </c>
      <c r="O53" s="146">
        <f t="shared" si="43"/>
        <v>0.36441477071675288</v>
      </c>
      <c r="P53" s="146">
        <f t="shared" si="43"/>
        <v>0</v>
      </c>
      <c r="Q53" s="130">
        <v>1994</v>
      </c>
      <c r="R53" s="146">
        <f t="shared" ref="R53:T53" si="44">R13/$E13</f>
        <v>1.0888962766694875E-3</v>
      </c>
      <c r="S53" s="146">
        <f t="shared" si="44"/>
        <v>0.5079701130663159</v>
      </c>
      <c r="T53" s="146">
        <f t="shared" si="44"/>
        <v>5.4444813833474373E-4</v>
      </c>
      <c r="U53" s="130">
        <v>1995</v>
      </c>
      <c r="V53" s="146">
        <f t="shared" ref="V53:X53" si="45">V13/$E13</f>
        <v>3.2028906517486016E-3</v>
      </c>
      <c r="W53" s="146">
        <f t="shared" si="45"/>
        <v>0</v>
      </c>
      <c r="X53" s="146">
        <f t="shared" si="45"/>
        <v>0</v>
      </c>
      <c r="Y53" s="130">
        <v>1996</v>
      </c>
      <c r="Z53" s="146">
        <f t="shared" ref="Z53" si="46">Z13/$E13</f>
        <v>0</v>
      </c>
      <c r="AA53" s="146">
        <f t="shared" si="14"/>
        <v>1</v>
      </c>
      <c r="AB53" s="1"/>
      <c r="AC53" s="211">
        <f t="shared" si="15"/>
        <v>0.1036009308841143</v>
      </c>
      <c r="AD53" s="211">
        <f t="shared" si="16"/>
        <v>0.89585462097755109</v>
      </c>
    </row>
    <row r="54" spans="1:30" x14ac:dyDescent="0.3">
      <c r="A54" s="1"/>
      <c r="B54" s="3"/>
      <c r="C54" s="3"/>
      <c r="D54" s="3"/>
      <c r="E54" s="218">
        <f t="shared" si="6"/>
        <v>1989</v>
      </c>
      <c r="F54" s="130">
        <v>1992</v>
      </c>
      <c r="G54" s="146">
        <f t="shared" si="7"/>
        <v>0</v>
      </c>
      <c r="H54" s="146">
        <f t="shared" ref="H54" si="47">H14/$E14</f>
        <v>2.6789161475843884E-2</v>
      </c>
      <c r="I54" s="130">
        <v>1993</v>
      </c>
      <c r="J54" s="146">
        <f t="shared" ref="J54:L54" si="48">J14/$E14</f>
        <v>4.3888702858156745E-4</v>
      </c>
      <c r="K54" s="146">
        <f t="shared" si="48"/>
        <v>0.31731532166447324</v>
      </c>
      <c r="L54" s="146">
        <f t="shared" si="48"/>
        <v>2.0275750694130575E-2</v>
      </c>
      <c r="M54" s="130">
        <v>1994</v>
      </c>
      <c r="N54" s="146">
        <f t="shared" ref="N54:P54" si="49">N14/$E14</f>
        <v>0.5048249851447536</v>
      </c>
      <c r="O54" s="146">
        <f t="shared" si="49"/>
        <v>5.4732300685336799E-2</v>
      </c>
      <c r="P54" s="146">
        <f t="shared" si="49"/>
        <v>5.5734069088090254E-4</v>
      </c>
      <c r="Q54" s="130">
        <v>1995</v>
      </c>
      <c r="R54" s="146">
        <f t="shared" ref="R54:T54" si="50">R14/$E14</f>
        <v>4.41933743329051E-3</v>
      </c>
      <c r="S54" s="146">
        <f t="shared" si="50"/>
        <v>7.0078065013606652E-2</v>
      </c>
      <c r="T54" s="146">
        <f t="shared" si="50"/>
        <v>0</v>
      </c>
      <c r="U54" s="130">
        <v>1996</v>
      </c>
      <c r="V54" s="146">
        <f t="shared" ref="V54:X54" si="51">V14/$E14</f>
        <v>5.6885016910232966E-4</v>
      </c>
      <c r="W54" s="146">
        <f t="shared" si="51"/>
        <v>0</v>
      </c>
      <c r="X54" s="146">
        <f t="shared" si="51"/>
        <v>0</v>
      </c>
      <c r="Y54" s="130">
        <v>1997</v>
      </c>
      <c r="Z54" s="146">
        <f t="shared" ref="Z54" si="52">Z14/$E14</f>
        <v>0</v>
      </c>
      <c r="AA54" s="146">
        <f t="shared" si="14"/>
        <v>1</v>
      </c>
      <c r="AB54" s="1"/>
      <c r="AC54" s="211">
        <f t="shared" si="15"/>
        <v>0.85334880571836125</v>
      </c>
      <c r="AD54" s="211">
        <f t="shared" si="16"/>
        <v>0.14565496656217633</v>
      </c>
    </row>
    <row r="55" spans="1:30" x14ac:dyDescent="0.3">
      <c r="A55" s="1"/>
      <c r="B55" s="3"/>
      <c r="C55" s="3"/>
      <c r="D55" s="3"/>
      <c r="E55" s="218">
        <f t="shared" si="6"/>
        <v>1990</v>
      </c>
      <c r="F55" s="130">
        <v>1993</v>
      </c>
      <c r="G55" s="146">
        <f t="shared" si="7"/>
        <v>0</v>
      </c>
      <c r="H55" s="146">
        <f t="shared" ref="H55" si="53">H15/$E15</f>
        <v>6.0012612257952678E-3</v>
      </c>
      <c r="I55" s="130">
        <v>1994</v>
      </c>
      <c r="J55" s="146">
        <f t="shared" ref="J55:L55" si="54">J15/$E15</f>
        <v>0</v>
      </c>
      <c r="K55" s="146">
        <f t="shared" si="54"/>
        <v>0.27471788660333391</v>
      </c>
      <c r="L55" s="146">
        <f t="shared" si="54"/>
        <v>6.176211795052935E-3</v>
      </c>
      <c r="M55" s="130">
        <v>1995</v>
      </c>
      <c r="N55" s="146">
        <f t="shared" ref="N55:P55" si="55">N15/$E15</f>
        <v>0.59117663427664913</v>
      </c>
      <c r="O55" s="146">
        <f t="shared" si="55"/>
        <v>5.36373277647453E-2</v>
      </c>
      <c r="P55" s="146">
        <f t="shared" si="55"/>
        <v>0</v>
      </c>
      <c r="Q55" s="130">
        <v>1996</v>
      </c>
      <c r="R55" s="146">
        <f t="shared" ref="R55:T55" si="56">R15/$E15</f>
        <v>4.2025032821183658E-3</v>
      </c>
      <c r="S55" s="146">
        <f t="shared" si="56"/>
        <v>6.2687340624932295E-2</v>
      </c>
      <c r="T55" s="146">
        <f t="shared" si="56"/>
        <v>1.4008344273727885E-3</v>
      </c>
      <c r="U55" s="130">
        <v>1997</v>
      </c>
      <c r="V55" s="146">
        <f t="shared" ref="V55:X55" si="57">V15/$E15</f>
        <v>0</v>
      </c>
      <c r="W55" s="146">
        <f t="shared" si="57"/>
        <v>0</v>
      </c>
      <c r="X55" s="146">
        <f t="shared" si="57"/>
        <v>0</v>
      </c>
      <c r="Y55" s="130">
        <v>1998</v>
      </c>
      <c r="Z55" s="146">
        <f t="shared" ref="Z55" si="58">Z15/$E15</f>
        <v>0</v>
      </c>
      <c r="AA55" s="146">
        <f t="shared" si="14"/>
        <v>1</v>
      </c>
      <c r="AB55" s="1"/>
      <c r="AC55" s="211">
        <f t="shared" si="15"/>
        <v>0.87609828538789658</v>
      </c>
      <c r="AD55" s="211">
        <f t="shared" si="16"/>
        <v>0.12250088018473053</v>
      </c>
    </row>
    <row r="56" spans="1:30" x14ac:dyDescent="0.3">
      <c r="A56" s="1"/>
      <c r="B56" s="3"/>
      <c r="C56" s="3"/>
      <c r="D56" s="3"/>
      <c r="E56" s="218">
        <f t="shared" si="6"/>
        <v>1991</v>
      </c>
      <c r="F56" s="130">
        <v>1994</v>
      </c>
      <c r="G56" s="146"/>
      <c r="H56" s="146"/>
      <c r="I56" s="130">
        <v>1995</v>
      </c>
      <c r="J56" s="146"/>
      <c r="K56" s="146"/>
      <c r="L56" s="146"/>
      <c r="M56" s="130">
        <v>1996</v>
      </c>
      <c r="N56" s="146"/>
      <c r="O56" s="146"/>
      <c r="P56" s="146"/>
      <c r="Q56" s="130">
        <v>1997</v>
      </c>
      <c r="R56" s="146"/>
      <c r="S56" s="146"/>
      <c r="T56" s="146"/>
      <c r="U56" s="130">
        <v>1998</v>
      </c>
      <c r="V56" s="146"/>
      <c r="W56" s="146"/>
      <c r="X56" s="146"/>
      <c r="Y56" s="130">
        <v>1999</v>
      </c>
      <c r="Z56" s="146"/>
      <c r="AA56" s="3"/>
      <c r="AB56" s="1"/>
      <c r="AC56" s="211"/>
      <c r="AD56" s="211"/>
    </row>
    <row r="57" spans="1:30" x14ac:dyDescent="0.3">
      <c r="A57" s="1"/>
      <c r="B57" s="3"/>
      <c r="C57" s="3"/>
      <c r="D57" s="3"/>
      <c r="E57" s="218">
        <f t="shared" si="6"/>
        <v>1992</v>
      </c>
      <c r="F57" s="130">
        <v>1995</v>
      </c>
      <c r="G57" s="146"/>
      <c r="H57" s="146"/>
      <c r="I57" s="130">
        <v>1996</v>
      </c>
      <c r="J57" s="146"/>
      <c r="K57" s="146"/>
      <c r="L57" s="146"/>
      <c r="M57" s="130">
        <v>1997</v>
      </c>
      <c r="N57" s="146"/>
      <c r="O57" s="146"/>
      <c r="P57" s="146"/>
      <c r="Q57" s="130">
        <v>1998</v>
      </c>
      <c r="R57" s="146"/>
      <c r="S57" s="146"/>
      <c r="T57" s="146"/>
      <c r="U57" s="130">
        <v>1999</v>
      </c>
      <c r="V57" s="146"/>
      <c r="W57" s="146"/>
      <c r="X57" s="146"/>
      <c r="Y57" s="130">
        <v>2000</v>
      </c>
      <c r="Z57" s="146"/>
      <c r="AA57" s="3"/>
      <c r="AB57" s="1"/>
      <c r="AC57" s="211"/>
      <c r="AD57" s="211"/>
    </row>
    <row r="58" spans="1:30" x14ac:dyDescent="0.3">
      <c r="A58" s="1"/>
      <c r="B58" s="3"/>
      <c r="C58" s="3"/>
      <c r="D58" s="3"/>
      <c r="E58" s="218">
        <f t="shared" si="6"/>
        <v>1993</v>
      </c>
      <c r="F58" s="130">
        <v>1996</v>
      </c>
      <c r="G58" s="146"/>
      <c r="H58" s="146"/>
      <c r="I58" s="130">
        <v>1997</v>
      </c>
      <c r="J58" s="146"/>
      <c r="K58" s="146"/>
      <c r="L58" s="146"/>
      <c r="M58" s="130">
        <v>1998</v>
      </c>
      <c r="N58" s="146"/>
      <c r="O58" s="146"/>
      <c r="P58" s="146"/>
      <c r="Q58" s="130">
        <v>1999</v>
      </c>
      <c r="R58" s="146"/>
      <c r="S58" s="146"/>
      <c r="T58" s="146"/>
      <c r="U58" s="130">
        <v>2000</v>
      </c>
      <c r="V58" s="146"/>
      <c r="W58" s="146"/>
      <c r="X58" s="146"/>
      <c r="Y58" s="130">
        <v>2001</v>
      </c>
      <c r="Z58" s="146"/>
      <c r="AA58" s="3"/>
      <c r="AB58" s="1"/>
      <c r="AC58" s="211"/>
      <c r="AD58" s="211"/>
    </row>
    <row r="59" spans="1:30" x14ac:dyDescent="0.3">
      <c r="A59" s="1"/>
      <c r="B59" s="3"/>
      <c r="C59" s="3"/>
      <c r="D59" s="3"/>
      <c r="E59" s="218">
        <f t="shared" si="6"/>
        <v>1994</v>
      </c>
      <c r="F59" s="130">
        <v>1997</v>
      </c>
      <c r="G59" s="146"/>
      <c r="H59" s="146"/>
      <c r="I59" s="130">
        <v>1998</v>
      </c>
      <c r="J59" s="146"/>
      <c r="K59" s="146"/>
      <c r="L59" s="146"/>
      <c r="M59" s="130">
        <v>1999</v>
      </c>
      <c r="N59" s="146"/>
      <c r="O59" s="146"/>
      <c r="P59" s="146"/>
      <c r="Q59" s="130">
        <v>2000</v>
      </c>
      <c r="R59" s="146"/>
      <c r="S59" s="146"/>
      <c r="T59" s="146"/>
      <c r="U59" s="130">
        <v>2001</v>
      </c>
      <c r="V59" s="146"/>
      <c r="W59" s="146"/>
      <c r="X59" s="146"/>
      <c r="Y59" s="130">
        <v>2002</v>
      </c>
      <c r="Z59" s="146"/>
      <c r="AA59" s="3"/>
      <c r="AB59" s="1"/>
      <c r="AC59" s="211"/>
      <c r="AD59" s="211"/>
    </row>
    <row r="60" spans="1:30" x14ac:dyDescent="0.3">
      <c r="A60" s="1"/>
      <c r="B60" s="3"/>
      <c r="C60" s="3"/>
      <c r="D60" s="3"/>
      <c r="E60" s="217">
        <f t="shared" si="6"/>
        <v>1995</v>
      </c>
      <c r="F60" s="130">
        <v>1998</v>
      </c>
      <c r="G60" s="146"/>
      <c r="H60" s="146"/>
      <c r="I60" s="130">
        <v>1999</v>
      </c>
      <c r="J60" s="146"/>
      <c r="K60" s="146"/>
      <c r="L60" s="146"/>
      <c r="M60" s="130">
        <v>2000</v>
      </c>
      <c r="N60" s="146"/>
      <c r="O60" s="146"/>
      <c r="P60" s="146"/>
      <c r="Q60" s="130">
        <v>2001</v>
      </c>
      <c r="R60" s="146"/>
      <c r="S60" s="146"/>
      <c r="T60" s="146"/>
      <c r="U60" s="130">
        <v>2002</v>
      </c>
      <c r="V60" s="146"/>
      <c r="W60" s="146"/>
      <c r="X60" s="146"/>
      <c r="Y60" s="130">
        <v>2003</v>
      </c>
      <c r="Z60" s="146"/>
      <c r="AA60" s="3"/>
      <c r="AB60" s="1"/>
      <c r="AC60" s="211"/>
      <c r="AD60" s="211"/>
    </row>
    <row r="61" spans="1:30" x14ac:dyDescent="0.3">
      <c r="A61" s="1"/>
      <c r="B61" s="3"/>
      <c r="C61" s="3"/>
      <c r="D61" s="3"/>
      <c r="E61" s="217">
        <f t="shared" si="6"/>
        <v>1996</v>
      </c>
      <c r="F61" s="130">
        <v>1999</v>
      </c>
      <c r="G61" s="146">
        <f>G21/$E21</f>
        <v>0</v>
      </c>
      <c r="H61" s="146">
        <f>H21/$E21</f>
        <v>1.7596731748393941E-2</v>
      </c>
      <c r="I61" s="130">
        <v>2000</v>
      </c>
      <c r="J61" s="146">
        <f>J21/$E21</f>
        <v>1.1281974852640271E-3</v>
      </c>
      <c r="K61" s="146">
        <f t="shared" ref="K61:L61" si="59">K21/$E21</f>
        <v>0.13801615903063266</v>
      </c>
      <c r="L61" s="146">
        <f t="shared" si="59"/>
        <v>5.9372418503292985E-4</v>
      </c>
      <c r="M61" s="130">
        <v>2001</v>
      </c>
      <c r="N61" s="146">
        <f t="shared" ref="N61:P61" si="60">N21/$E21</f>
        <v>0.46167258346525603</v>
      </c>
      <c r="O61" s="146">
        <f t="shared" si="60"/>
        <v>1.0072856366514678E-2</v>
      </c>
      <c r="P61" s="146">
        <f t="shared" si="60"/>
        <v>4.0071544855591545E-4</v>
      </c>
      <c r="Q61" s="130">
        <v>2002</v>
      </c>
      <c r="R61" s="146">
        <f t="shared" ref="R61:T61" si="61">R21/$E21</f>
        <v>3.3440113865322919E-3</v>
      </c>
      <c r="S61" s="146">
        <f t="shared" si="61"/>
        <v>0.35446520697242295</v>
      </c>
      <c r="T61" s="146">
        <f t="shared" si="61"/>
        <v>1.6720056932661459E-3</v>
      </c>
      <c r="U61" s="130">
        <v>2003</v>
      </c>
      <c r="V61" s="146">
        <f t="shared" ref="V61:X61" si="62">V21/$E21</f>
        <v>1.1037808218128315E-2</v>
      </c>
      <c r="W61" s="146">
        <f t="shared" si="62"/>
        <v>0</v>
      </c>
      <c r="X61" s="146">
        <f t="shared" si="62"/>
        <v>0</v>
      </c>
      <c r="Y61" s="130">
        <v>2004</v>
      </c>
      <c r="Z61" s="146">
        <f>Z21/$E21</f>
        <v>0</v>
      </c>
      <c r="AA61" s="146">
        <f t="shared" ref="AA61:AA79" si="63">SUM(G61:H61,J61:L61,N61:P61,R61:T61,V61:X61,Z61)</f>
        <v>0.99999999999999989</v>
      </c>
      <c r="AB61" s="1"/>
      <c r="AC61" s="211">
        <f t="shared" si="15"/>
        <v>0.62062948563081488</v>
      </c>
      <c r="AD61" s="211">
        <f t="shared" si="16"/>
        <v>0.37616959574209891</v>
      </c>
    </row>
    <row r="62" spans="1:30" x14ac:dyDescent="0.3">
      <c r="A62" s="1"/>
      <c r="B62" s="3"/>
      <c r="C62" s="3"/>
      <c r="D62" s="3"/>
      <c r="E62" s="130">
        <f t="shared" si="6"/>
        <v>1997</v>
      </c>
      <c r="F62" s="130">
        <v>2000</v>
      </c>
      <c r="G62" s="146">
        <f t="shared" ref="G62:H77" si="64">G22/$E22</f>
        <v>1.028143534425727E-4</v>
      </c>
      <c r="H62" s="146">
        <f t="shared" si="64"/>
        <v>2.8406168891055464E-3</v>
      </c>
      <c r="I62" s="130">
        <v>2001</v>
      </c>
      <c r="J62" s="146">
        <f t="shared" ref="J62:L62" si="65">J22/$E22</f>
        <v>3.0598490901639246E-4</v>
      </c>
      <c r="K62" s="146">
        <f t="shared" si="65"/>
        <v>4.3602849534835932E-2</v>
      </c>
      <c r="L62" s="146">
        <f t="shared" si="65"/>
        <v>3.2866027682446688E-3</v>
      </c>
      <c r="M62" s="130">
        <v>2002</v>
      </c>
      <c r="N62" s="146">
        <f t="shared" ref="N62:P62" si="66">N22/$E22</f>
        <v>8.868075011030821E-2</v>
      </c>
      <c r="O62" s="146">
        <f t="shared" si="66"/>
        <v>0.39494932007889838</v>
      </c>
      <c r="P62" s="146">
        <f t="shared" si="66"/>
        <v>0</v>
      </c>
      <c r="Q62" s="130">
        <v>2003</v>
      </c>
      <c r="R62" s="146">
        <f t="shared" ref="R62:T62" si="67">R22/$E22</f>
        <v>1.5088383862658522E-3</v>
      </c>
      <c r="S62" s="146">
        <f t="shared" si="67"/>
        <v>0.46472222296988253</v>
      </c>
      <c r="T62" s="146">
        <f t="shared" si="67"/>
        <v>0</v>
      </c>
      <c r="U62" s="130">
        <v>2004</v>
      </c>
      <c r="V62" s="146">
        <f t="shared" ref="V62:X62" si="68">V22/$E22</f>
        <v>0</v>
      </c>
      <c r="W62" s="146">
        <f t="shared" si="68"/>
        <v>0</v>
      </c>
      <c r="X62" s="146">
        <f t="shared" si="68"/>
        <v>0</v>
      </c>
      <c r="Y62" s="130">
        <v>2005</v>
      </c>
      <c r="Z62" s="146">
        <f t="shared" ref="Z62" si="69">Z22/$E22</f>
        <v>0</v>
      </c>
      <c r="AA62" s="146">
        <f t="shared" si="63"/>
        <v>1</v>
      </c>
      <c r="AB62" s="1"/>
      <c r="AC62" s="211">
        <f t="shared" si="15"/>
        <v>0.13663305492051556</v>
      </c>
      <c r="AD62" s="211">
        <f t="shared" si="16"/>
        <v>0.86295814581702557</v>
      </c>
    </row>
    <row r="63" spans="1:30" x14ac:dyDescent="0.3">
      <c r="A63" s="1"/>
      <c r="B63" s="3"/>
      <c r="C63" s="3"/>
      <c r="D63" s="3"/>
      <c r="E63" s="130">
        <f t="shared" si="6"/>
        <v>1998</v>
      </c>
      <c r="F63" s="130">
        <v>2001</v>
      </c>
      <c r="G63" s="146">
        <f t="shared" si="64"/>
        <v>0</v>
      </c>
      <c r="H63" s="146">
        <f t="shared" si="64"/>
        <v>1.6818515012275641E-3</v>
      </c>
      <c r="I63" s="130">
        <v>2002</v>
      </c>
      <c r="J63" s="146">
        <f t="shared" ref="J63:L63" si="70">J23/$E23</f>
        <v>0</v>
      </c>
      <c r="K63" s="146">
        <f t="shared" si="70"/>
        <v>0.12891046961050179</v>
      </c>
      <c r="L63" s="146">
        <f t="shared" si="70"/>
        <v>2.8810855849394162E-3</v>
      </c>
      <c r="M63" s="130">
        <v>2003</v>
      </c>
      <c r="N63" s="146">
        <f t="shared" ref="N63:P63" si="71">N23/$E23</f>
        <v>8.2079401745755065E-2</v>
      </c>
      <c r="O63" s="146">
        <f t="shared" si="71"/>
        <v>0.71202622127912685</v>
      </c>
      <c r="P63" s="146">
        <f t="shared" si="71"/>
        <v>0</v>
      </c>
      <c r="Q63" s="130">
        <v>2004</v>
      </c>
      <c r="R63" s="146">
        <f t="shared" ref="R63:T63" si="72">R23/$E23</f>
        <v>0</v>
      </c>
      <c r="S63" s="146">
        <f t="shared" si="72"/>
        <v>7.1664122515603057E-2</v>
      </c>
      <c r="T63" s="146">
        <f t="shared" si="72"/>
        <v>0</v>
      </c>
      <c r="U63" s="130">
        <v>2005</v>
      </c>
      <c r="V63" s="146">
        <f t="shared" ref="V63:X63" si="73">V23/$E23</f>
        <v>7.5684776284614221E-4</v>
      </c>
      <c r="W63" s="146">
        <f t="shared" si="73"/>
        <v>0</v>
      </c>
      <c r="X63" s="146">
        <f t="shared" si="73"/>
        <v>0</v>
      </c>
      <c r="Y63" s="130">
        <v>2006</v>
      </c>
      <c r="Z63" s="146">
        <f t="shared" ref="Z63" si="74">Z23/$E23</f>
        <v>0</v>
      </c>
      <c r="AA63" s="146">
        <f t="shared" si="63"/>
        <v>0.99999999999999989</v>
      </c>
      <c r="AB63" s="1"/>
      <c r="AC63" s="211">
        <f t="shared" si="15"/>
        <v>0.21267172285748442</v>
      </c>
      <c r="AD63" s="211">
        <f t="shared" si="16"/>
        <v>0.78732827714251541</v>
      </c>
    </row>
    <row r="64" spans="1:30" x14ac:dyDescent="0.3">
      <c r="A64" s="1"/>
      <c r="B64" s="3"/>
      <c r="C64" s="3"/>
      <c r="D64" s="3"/>
      <c r="E64" s="130">
        <f t="shared" si="6"/>
        <v>1999</v>
      </c>
      <c r="F64" s="130">
        <v>2002</v>
      </c>
      <c r="G64" s="146">
        <f t="shared" si="64"/>
        <v>0</v>
      </c>
      <c r="H64" s="146">
        <f t="shared" si="64"/>
        <v>7.2111627385657939E-4</v>
      </c>
      <c r="I64" s="130">
        <v>2003</v>
      </c>
      <c r="J64" s="146">
        <f t="shared" ref="J64:L64" si="75">J24/$E24</f>
        <v>0</v>
      </c>
      <c r="K64" s="146">
        <f t="shared" si="75"/>
        <v>6.484568676725512E-2</v>
      </c>
      <c r="L64" s="146">
        <f t="shared" si="75"/>
        <v>5.6446918017354977E-3</v>
      </c>
      <c r="M64" s="130">
        <v>2004</v>
      </c>
      <c r="N64" s="146">
        <f t="shared" ref="N64:P64" si="76">N24/$E24</f>
        <v>0.79102373366129086</v>
      </c>
      <c r="O64" s="146">
        <f t="shared" si="76"/>
        <v>3.8809245230135479E-2</v>
      </c>
      <c r="P64" s="146">
        <f t="shared" si="76"/>
        <v>0</v>
      </c>
      <c r="Q64" s="130">
        <v>2005</v>
      </c>
      <c r="R64" s="146">
        <f t="shared" ref="R64:T64" si="77">R24/$E24</f>
        <v>1.9890558043362105E-3</v>
      </c>
      <c r="S64" s="146">
        <f t="shared" si="77"/>
        <v>9.6966470461390258E-2</v>
      </c>
      <c r="T64" s="146">
        <f t="shared" si="77"/>
        <v>0</v>
      </c>
      <c r="U64" s="130">
        <v>2006</v>
      </c>
      <c r="V64" s="146">
        <f t="shared" ref="V64:X64" si="78">V24/$E24</f>
        <v>0</v>
      </c>
      <c r="W64" s="146">
        <f t="shared" si="78"/>
        <v>0</v>
      </c>
      <c r="X64" s="146">
        <f t="shared" si="78"/>
        <v>0</v>
      </c>
      <c r="Y64" s="130">
        <v>2007</v>
      </c>
      <c r="Z64" s="146">
        <f t="shared" ref="Z64" si="79">Z24/$E24</f>
        <v>0</v>
      </c>
      <c r="AA64" s="146">
        <f t="shared" si="63"/>
        <v>1</v>
      </c>
      <c r="AB64" s="1"/>
      <c r="AC64" s="211">
        <f t="shared" si="15"/>
        <v>0.85857959250673876</v>
      </c>
      <c r="AD64" s="211">
        <f t="shared" si="16"/>
        <v>0.14142040749326124</v>
      </c>
    </row>
    <row r="65" spans="1:31" x14ac:dyDescent="0.3">
      <c r="A65" s="1"/>
      <c r="B65" s="3"/>
      <c r="C65" s="3"/>
      <c r="D65" s="3"/>
      <c r="E65" s="130">
        <f t="shared" si="6"/>
        <v>2000</v>
      </c>
      <c r="F65" s="130">
        <v>2003</v>
      </c>
      <c r="G65" s="146">
        <f t="shared" si="64"/>
        <v>0</v>
      </c>
      <c r="H65" s="146">
        <f t="shared" si="64"/>
        <v>3.8654232491713592E-4</v>
      </c>
      <c r="I65" s="130">
        <v>2004</v>
      </c>
      <c r="J65" s="146">
        <f t="shared" ref="J65:L65" si="80">J25/$E25</f>
        <v>0</v>
      </c>
      <c r="K65" s="146">
        <f t="shared" si="80"/>
        <v>0.34548991031539794</v>
      </c>
      <c r="L65" s="146">
        <f t="shared" si="80"/>
        <v>6.0258124321869791E-3</v>
      </c>
      <c r="M65" s="130">
        <v>2005</v>
      </c>
      <c r="N65" s="146">
        <f t="shared" ref="N65:P65" si="81">N25/$E25</f>
        <v>0.36333582013755122</v>
      </c>
      <c r="O65" s="146">
        <f t="shared" si="81"/>
        <v>0.14608347407592265</v>
      </c>
      <c r="P65" s="146">
        <f t="shared" si="81"/>
        <v>0</v>
      </c>
      <c r="Q65" s="130">
        <v>2006</v>
      </c>
      <c r="R65" s="146">
        <f t="shared" ref="R65:T65" si="82">R25/$E25</f>
        <v>0</v>
      </c>
      <c r="S65" s="146">
        <f t="shared" si="82"/>
        <v>0.13669774318444688</v>
      </c>
      <c r="T65" s="146">
        <f t="shared" si="82"/>
        <v>0</v>
      </c>
      <c r="U65" s="130">
        <v>2007</v>
      </c>
      <c r="V65" s="146">
        <f t="shared" ref="V65:X65" si="83">V25/$E25</f>
        <v>1.9806975295771469E-3</v>
      </c>
      <c r="W65" s="146">
        <f t="shared" si="83"/>
        <v>0</v>
      </c>
      <c r="X65" s="146">
        <f t="shared" si="83"/>
        <v>0</v>
      </c>
      <c r="Y65" s="130">
        <v>2008</v>
      </c>
      <c r="Z65" s="146">
        <f t="shared" ref="Z65" si="84">Z25/$E25</f>
        <v>0</v>
      </c>
      <c r="AA65" s="146">
        <f t="shared" si="63"/>
        <v>1</v>
      </c>
      <c r="AB65" s="1"/>
      <c r="AC65" s="211">
        <f t="shared" si="15"/>
        <v>0.70921227277786625</v>
      </c>
      <c r="AD65" s="211">
        <f t="shared" si="16"/>
        <v>0.29078772722213364</v>
      </c>
    </row>
    <row r="66" spans="1:31" x14ac:dyDescent="0.3">
      <c r="A66" s="1"/>
      <c r="B66" s="3"/>
      <c r="C66" s="3"/>
      <c r="D66" s="3"/>
      <c r="E66" s="130">
        <f t="shared" si="6"/>
        <v>2001</v>
      </c>
      <c r="F66" s="130">
        <v>2004</v>
      </c>
      <c r="G66" s="146">
        <f t="shared" si="64"/>
        <v>0</v>
      </c>
      <c r="H66" s="146">
        <f t="shared" si="64"/>
        <v>1.132772315090368E-2</v>
      </c>
      <c r="I66" s="130">
        <v>2005</v>
      </c>
      <c r="J66" s="146">
        <f t="shared" ref="J66:L66" si="85">J26/$E26</f>
        <v>0</v>
      </c>
      <c r="K66" s="146">
        <f t="shared" si="85"/>
        <v>0.16213676705666019</v>
      </c>
      <c r="L66" s="146">
        <f t="shared" si="85"/>
        <v>8.444259555065603E-2</v>
      </c>
      <c r="M66" s="130">
        <v>2006</v>
      </c>
      <c r="N66" s="146">
        <f t="shared" ref="N66:P66" si="86">N26/$E26</f>
        <v>0.33039451687827653</v>
      </c>
      <c r="O66" s="146">
        <f t="shared" si="86"/>
        <v>0.26500393541278428</v>
      </c>
      <c r="P66" s="146">
        <f t="shared" si="86"/>
        <v>0</v>
      </c>
      <c r="Q66" s="130">
        <v>2007</v>
      </c>
      <c r="R66" s="146">
        <f t="shared" ref="R66:T66" si="87">R26/$E26</f>
        <v>4.7872890080097128E-3</v>
      </c>
      <c r="S66" s="146">
        <f t="shared" si="87"/>
        <v>0.14122502573628651</v>
      </c>
      <c r="T66" s="146">
        <f t="shared" si="87"/>
        <v>0</v>
      </c>
      <c r="U66" s="130">
        <v>2008</v>
      </c>
      <c r="V66" s="146">
        <f t="shared" ref="V66:X66" si="88">V26/$E26</f>
        <v>6.8214720642314618E-4</v>
      </c>
      <c r="W66" s="146">
        <f t="shared" si="88"/>
        <v>0</v>
      </c>
      <c r="X66" s="146">
        <f t="shared" si="88"/>
        <v>0</v>
      </c>
      <c r="Y66" s="130">
        <v>2009</v>
      </c>
      <c r="Z66" s="146">
        <f t="shared" ref="Z66" si="89">Z26/$E26</f>
        <v>0</v>
      </c>
      <c r="AA66" s="146">
        <f t="shared" si="63"/>
        <v>1</v>
      </c>
      <c r="AB66" s="1"/>
      <c r="AC66" s="211">
        <f t="shared" si="15"/>
        <v>0.50864629609385015</v>
      </c>
      <c r="AD66" s="211">
        <f t="shared" si="16"/>
        <v>0.49135370390614996</v>
      </c>
    </row>
    <row r="67" spans="1:31" s="11" customFormat="1" x14ac:dyDescent="0.3">
      <c r="A67" s="1"/>
      <c r="B67" s="3"/>
      <c r="C67" s="3"/>
      <c r="D67" s="3"/>
      <c r="E67" s="130">
        <f t="shared" si="6"/>
        <v>2002</v>
      </c>
      <c r="F67" s="130">
        <v>2005</v>
      </c>
      <c r="G67" s="146">
        <f t="shared" si="64"/>
        <v>2.1586744387040859E-4</v>
      </c>
      <c r="H67" s="146">
        <f t="shared" si="64"/>
        <v>8.9368901624944479E-3</v>
      </c>
      <c r="I67" s="130">
        <v>2006</v>
      </c>
      <c r="J67" s="146">
        <f t="shared" ref="J67:L67" si="90">J27/$E27</f>
        <v>0</v>
      </c>
      <c r="K67" s="146">
        <f t="shared" si="90"/>
        <v>0.50550038570982758</v>
      </c>
      <c r="L67" s="146">
        <f t="shared" si="90"/>
        <v>0</v>
      </c>
      <c r="M67" s="130">
        <v>2007</v>
      </c>
      <c r="N67" s="146">
        <f t="shared" ref="N67:P67" si="91">N27/$E27</f>
        <v>0.44700410413186553</v>
      </c>
      <c r="O67" s="146">
        <f t="shared" si="91"/>
        <v>2.1345701601802564E-2</v>
      </c>
      <c r="P67" s="146">
        <f t="shared" si="91"/>
        <v>0</v>
      </c>
      <c r="Q67" s="130">
        <v>2008</v>
      </c>
      <c r="R67" s="146">
        <f t="shared" ref="R67:T67" si="92">R27/$E27</f>
        <v>8.9458162895470123E-4</v>
      </c>
      <c r="S67" s="146">
        <f t="shared" si="92"/>
        <v>1.6102469321184618E-2</v>
      </c>
      <c r="T67" s="146">
        <f t="shared" si="92"/>
        <v>0</v>
      </c>
      <c r="U67" s="130">
        <v>2009</v>
      </c>
      <c r="V67" s="146">
        <f t="shared" ref="V67:X67" si="93">V27/$E27</f>
        <v>0</v>
      </c>
      <c r="W67" s="146">
        <f t="shared" si="93"/>
        <v>0</v>
      </c>
      <c r="X67" s="146">
        <f t="shared" si="93"/>
        <v>0</v>
      </c>
      <c r="Y67" s="130">
        <v>2010</v>
      </c>
      <c r="Z67" s="146">
        <f t="shared" ref="Z67" si="94">Z27/$E27</f>
        <v>0</v>
      </c>
      <c r="AA67" s="146">
        <f t="shared" si="63"/>
        <v>0.99999999999999989</v>
      </c>
      <c r="AB67" s="1"/>
      <c r="AC67" s="211">
        <f t="shared" si="15"/>
        <v>0.96233596163314228</v>
      </c>
      <c r="AD67" s="211">
        <f t="shared" si="16"/>
        <v>3.7448170922987183E-2</v>
      </c>
      <c r="AE67" s="12"/>
    </row>
    <row r="68" spans="1:31" s="11" customFormat="1" x14ac:dyDescent="0.3">
      <c r="A68" s="1"/>
      <c r="B68" s="3"/>
      <c r="C68" s="3"/>
      <c r="D68" s="3"/>
      <c r="E68" s="130">
        <f t="shared" si="6"/>
        <v>2003</v>
      </c>
      <c r="F68" s="130">
        <v>2006</v>
      </c>
      <c r="G68" s="146">
        <f t="shared" si="64"/>
        <v>0</v>
      </c>
      <c r="H68" s="146">
        <f t="shared" si="64"/>
        <v>0</v>
      </c>
      <c r="I68" s="130">
        <v>2007</v>
      </c>
      <c r="J68" s="146">
        <f t="shared" ref="J68:L68" si="95">J28/$E28</f>
        <v>0</v>
      </c>
      <c r="K68" s="146">
        <f t="shared" si="95"/>
        <v>0.3794785150922918</v>
      </c>
      <c r="L68" s="146">
        <f t="shared" si="95"/>
        <v>0</v>
      </c>
      <c r="M68" s="130">
        <v>2008</v>
      </c>
      <c r="N68" s="146">
        <f t="shared" ref="N68:P68" si="96">N28/$E28</f>
        <v>0.5511225444464829</v>
      </c>
      <c r="O68" s="146">
        <f t="shared" si="96"/>
        <v>3.535503115317061E-2</v>
      </c>
      <c r="P68" s="146">
        <f t="shared" si="96"/>
        <v>0</v>
      </c>
      <c r="Q68" s="130">
        <v>2009</v>
      </c>
      <c r="R68" s="146">
        <f t="shared" ref="R68:T68" si="97">R28/$E28</f>
        <v>0</v>
      </c>
      <c r="S68" s="146">
        <f t="shared" si="97"/>
        <v>2.8806384799123234E-2</v>
      </c>
      <c r="T68" s="146">
        <f t="shared" si="97"/>
        <v>5.2375245089314971E-3</v>
      </c>
      <c r="U68" s="130">
        <v>2010</v>
      </c>
      <c r="V68" s="146">
        <f t="shared" ref="V68:X68" si="98">V28/$E28</f>
        <v>0</v>
      </c>
      <c r="W68" s="146">
        <f t="shared" si="98"/>
        <v>0</v>
      </c>
      <c r="X68" s="146">
        <f t="shared" si="98"/>
        <v>0</v>
      </c>
      <c r="Y68" s="130">
        <v>2011</v>
      </c>
      <c r="Z68" s="146">
        <f t="shared" ref="Z68" si="99">Z28/$E28</f>
        <v>0</v>
      </c>
      <c r="AA68" s="146">
        <f t="shared" si="63"/>
        <v>1</v>
      </c>
      <c r="AB68" s="1"/>
      <c r="AC68" s="211">
        <f t="shared" si="15"/>
        <v>0.9306010595387747</v>
      </c>
      <c r="AD68" s="211">
        <f t="shared" si="16"/>
        <v>6.416141595229384E-2</v>
      </c>
      <c r="AE68" s="12"/>
    </row>
    <row r="69" spans="1:31" s="11" customFormat="1" x14ac:dyDescent="0.3">
      <c r="A69" s="1"/>
      <c r="B69" s="3"/>
      <c r="C69" s="3"/>
      <c r="D69" s="3"/>
      <c r="E69" s="130">
        <f t="shared" si="6"/>
        <v>2004</v>
      </c>
      <c r="F69" s="130">
        <v>2007</v>
      </c>
      <c r="G69" s="146">
        <f t="shared" si="64"/>
        <v>0</v>
      </c>
      <c r="H69" s="146">
        <f t="shared" si="64"/>
        <v>0</v>
      </c>
      <c r="I69" s="130">
        <v>2008</v>
      </c>
      <c r="J69" s="146">
        <f t="shared" ref="J69:L69" si="100">J29/$E29</f>
        <v>0</v>
      </c>
      <c r="K69" s="146">
        <f t="shared" si="100"/>
        <v>8.3514500395739377E-2</v>
      </c>
      <c r="L69" s="146">
        <f t="shared" si="100"/>
        <v>1.9534159085482988E-2</v>
      </c>
      <c r="M69" s="130">
        <v>2009</v>
      </c>
      <c r="N69" s="146">
        <f t="shared" ref="N69:P69" si="101">N29/$E29</f>
        <v>0.35116339303307159</v>
      </c>
      <c r="O69" s="146">
        <f t="shared" si="101"/>
        <v>0.34177399749742804</v>
      </c>
      <c r="P69" s="146">
        <f t="shared" si="101"/>
        <v>0</v>
      </c>
      <c r="Q69" s="130">
        <v>2010</v>
      </c>
      <c r="R69" s="146">
        <f t="shared" ref="R69:T69" si="102">R29/$E29</f>
        <v>2.4287374998604528E-3</v>
      </c>
      <c r="S69" s="146">
        <f t="shared" si="102"/>
        <v>0.20158521248841757</v>
      </c>
      <c r="T69" s="146">
        <f t="shared" si="102"/>
        <v>0</v>
      </c>
      <c r="U69" s="130">
        <v>2011</v>
      </c>
      <c r="V69" s="146">
        <f t="shared" ref="V69:X69" si="103">V29/$E29</f>
        <v>0</v>
      </c>
      <c r="W69" s="146">
        <f t="shared" si="103"/>
        <v>0</v>
      </c>
      <c r="X69" s="146">
        <f t="shared" si="103"/>
        <v>0</v>
      </c>
      <c r="Y69" s="130">
        <v>2012</v>
      </c>
      <c r="Z69" s="146">
        <f t="shared" ref="Z69" si="104">Z29/$E29</f>
        <v>0</v>
      </c>
      <c r="AA69" s="146">
        <f t="shared" si="63"/>
        <v>1</v>
      </c>
      <c r="AB69" s="1"/>
      <c r="AC69" s="211">
        <f t="shared" si="15"/>
        <v>0.43710663092867141</v>
      </c>
      <c r="AD69" s="211">
        <f t="shared" si="16"/>
        <v>0.56289336907132859</v>
      </c>
      <c r="AE69" s="12"/>
    </row>
    <row r="70" spans="1:31" s="11" customFormat="1" x14ac:dyDescent="0.3">
      <c r="A70" s="1"/>
      <c r="B70" s="3"/>
      <c r="C70" s="3"/>
      <c r="D70" s="3"/>
      <c r="E70" s="130">
        <f t="shared" si="6"/>
        <v>2005</v>
      </c>
      <c r="F70" s="130">
        <v>2008</v>
      </c>
      <c r="G70" s="146">
        <f t="shared" si="64"/>
        <v>0</v>
      </c>
      <c r="H70" s="146">
        <f t="shared" si="64"/>
        <v>2.2170786674534813E-3</v>
      </c>
      <c r="I70" s="130">
        <v>2009</v>
      </c>
      <c r="J70" s="146">
        <f t="shared" ref="J70:L70" si="105">J30/$E30</f>
        <v>0</v>
      </c>
      <c r="K70" s="146">
        <f t="shared" si="105"/>
        <v>0.12788077613944793</v>
      </c>
      <c r="L70" s="146">
        <f t="shared" si="105"/>
        <v>3.3006965579143593E-2</v>
      </c>
      <c r="M70" s="130">
        <v>2010</v>
      </c>
      <c r="N70" s="146">
        <f t="shared" ref="N70:P70" si="106">N30/$E30</f>
        <v>0.1943372613960925</v>
      </c>
      <c r="O70" s="146">
        <f t="shared" si="106"/>
        <v>0.28530363907085921</v>
      </c>
      <c r="P70" s="146">
        <f t="shared" si="106"/>
        <v>0</v>
      </c>
      <c r="Q70" s="130">
        <v>2011</v>
      </c>
      <c r="R70" s="146">
        <f t="shared" ref="R70:T70" si="107">R30/$E30</f>
        <v>0</v>
      </c>
      <c r="S70" s="146">
        <f t="shared" si="107"/>
        <v>0.3572542791470032</v>
      </c>
      <c r="T70" s="146">
        <f t="shared" si="107"/>
        <v>0</v>
      </c>
      <c r="U70" s="130">
        <v>2012</v>
      </c>
      <c r="V70" s="146">
        <f t="shared" ref="V70:X70" si="108">V30/$E30</f>
        <v>0</v>
      </c>
      <c r="W70" s="146">
        <f t="shared" si="108"/>
        <v>0</v>
      </c>
      <c r="X70" s="146">
        <f t="shared" si="108"/>
        <v>0</v>
      </c>
      <c r="Y70" s="130">
        <v>2013</v>
      </c>
      <c r="Z70" s="146">
        <f t="shared" ref="Z70" si="109">Z30/$E30</f>
        <v>0</v>
      </c>
      <c r="AA70" s="146">
        <f t="shared" si="63"/>
        <v>1</v>
      </c>
      <c r="AB70" s="1"/>
      <c r="AC70" s="211">
        <f t="shared" si="15"/>
        <v>0.32443511620299392</v>
      </c>
      <c r="AD70" s="211">
        <f t="shared" si="16"/>
        <v>0.67556488379700608</v>
      </c>
      <c r="AE70" s="12"/>
    </row>
    <row r="71" spans="1:31" s="11" customFormat="1" x14ac:dyDescent="0.3">
      <c r="A71" s="1"/>
      <c r="B71" s="3"/>
      <c r="C71" s="3"/>
      <c r="D71" s="3"/>
      <c r="E71" s="130">
        <f t="shared" si="6"/>
        <v>2006</v>
      </c>
      <c r="F71" s="130">
        <v>2009</v>
      </c>
      <c r="G71" s="146">
        <f t="shared" si="64"/>
        <v>0</v>
      </c>
      <c r="H71" s="146">
        <f t="shared" si="64"/>
        <v>1.8569916842404881E-2</v>
      </c>
      <c r="I71" s="130">
        <v>2010</v>
      </c>
      <c r="J71" s="146">
        <f t="shared" ref="J71:L71" si="110">J31/$E31</f>
        <v>0</v>
      </c>
      <c r="K71" s="146">
        <f t="shared" si="110"/>
        <v>0.39221134279762682</v>
      </c>
      <c r="L71" s="146">
        <f t="shared" si="110"/>
        <v>4.7455166106119429E-3</v>
      </c>
      <c r="M71" s="130">
        <v>2011</v>
      </c>
      <c r="N71" s="146">
        <f t="shared" ref="N71:P71" si="111">N31/$E31</f>
        <v>0.45137375106946576</v>
      </c>
      <c r="O71" s="146">
        <f t="shared" si="111"/>
        <v>6.7189222487439568E-2</v>
      </c>
      <c r="P71" s="146">
        <f t="shared" si="111"/>
        <v>0</v>
      </c>
      <c r="Q71" s="130">
        <v>2012</v>
      </c>
      <c r="R71" s="146">
        <f t="shared" ref="R71:T71" si="112">R31/$E31</f>
        <v>0</v>
      </c>
      <c r="S71" s="146">
        <f t="shared" si="112"/>
        <v>4.3940166794967338E-2</v>
      </c>
      <c r="T71" s="146">
        <f t="shared" si="112"/>
        <v>2.1970083397483669E-2</v>
      </c>
      <c r="U71" s="130">
        <v>2013</v>
      </c>
      <c r="V71" s="146">
        <f t="shared" ref="V71:X71" si="113">V31/$E31</f>
        <v>0</v>
      </c>
      <c r="W71" s="146">
        <f t="shared" si="113"/>
        <v>0</v>
      </c>
      <c r="X71" s="146">
        <f t="shared" si="113"/>
        <v>0</v>
      </c>
      <c r="Y71" s="130">
        <v>2014</v>
      </c>
      <c r="Z71" s="146">
        <f t="shared" ref="Z71" si="114">Z31/$E31</f>
        <v>0</v>
      </c>
      <c r="AA71" s="146">
        <f t="shared" si="63"/>
        <v>0.99999999999999989</v>
      </c>
      <c r="AB71" s="1"/>
      <c r="AC71" s="211">
        <f t="shared" si="15"/>
        <v>0.86215501070949752</v>
      </c>
      <c r="AD71" s="211">
        <f t="shared" si="16"/>
        <v>0.11587490589301885</v>
      </c>
      <c r="AE71" s="12"/>
    </row>
    <row r="72" spans="1:31" s="11" customFormat="1" x14ac:dyDescent="0.3">
      <c r="A72" s="1"/>
      <c r="B72" s="3"/>
      <c r="C72" s="3"/>
      <c r="D72" s="3"/>
      <c r="E72" s="130">
        <f t="shared" si="6"/>
        <v>2007</v>
      </c>
      <c r="F72" s="130">
        <v>2010</v>
      </c>
      <c r="G72" s="146">
        <f t="shared" si="64"/>
        <v>0</v>
      </c>
      <c r="H72" s="146">
        <f t="shared" si="64"/>
        <v>0</v>
      </c>
      <c r="I72" s="130">
        <v>2011</v>
      </c>
      <c r="J72" s="146">
        <f t="shared" ref="J72:L72" si="115">J32/$E32</f>
        <v>0</v>
      </c>
      <c r="K72" s="146">
        <f t="shared" si="115"/>
        <v>4.126677426333307E-2</v>
      </c>
      <c r="L72" s="146">
        <f t="shared" si="115"/>
        <v>7.0816056621779935E-2</v>
      </c>
      <c r="M72" s="130">
        <v>2012</v>
      </c>
      <c r="N72" s="146">
        <f t="shared" ref="N72:P72" si="116">N32/$E32</f>
        <v>5.7559271069397747E-2</v>
      </c>
      <c r="O72" s="146">
        <f t="shared" si="116"/>
        <v>0.50981068661466566</v>
      </c>
      <c r="P72" s="146">
        <f t="shared" si="116"/>
        <v>0</v>
      </c>
      <c r="Q72" s="130">
        <v>2013</v>
      </c>
      <c r="R72" s="146">
        <f t="shared" ref="R72:T72" si="117">R32/$E32</f>
        <v>0</v>
      </c>
      <c r="S72" s="146">
        <f t="shared" si="117"/>
        <v>0.31733125818892471</v>
      </c>
      <c r="T72" s="146">
        <f t="shared" si="117"/>
        <v>0</v>
      </c>
      <c r="U72" s="130">
        <v>2014</v>
      </c>
      <c r="V72" s="146">
        <f t="shared" ref="V72:X72" si="118">V32/$E32</f>
        <v>0</v>
      </c>
      <c r="W72" s="146">
        <f t="shared" si="118"/>
        <v>3.2159532418988422E-3</v>
      </c>
      <c r="X72" s="146">
        <f t="shared" si="118"/>
        <v>0</v>
      </c>
      <c r="Y72" s="130">
        <v>2015</v>
      </c>
      <c r="Z72" s="146">
        <f t="shared" ref="Z72" si="119">Z32/$E32</f>
        <v>0</v>
      </c>
      <c r="AA72" s="146">
        <f t="shared" si="63"/>
        <v>0.99999999999999989</v>
      </c>
      <c r="AB72" s="1"/>
      <c r="AC72" s="211">
        <f t="shared" si="15"/>
        <v>9.8826045332730816E-2</v>
      </c>
      <c r="AD72" s="211">
        <f t="shared" si="16"/>
        <v>0.8979580014253703</v>
      </c>
      <c r="AE72" s="12"/>
    </row>
    <row r="73" spans="1:31" s="11" customFormat="1" x14ac:dyDescent="0.3">
      <c r="A73" s="1"/>
      <c r="B73" s="3"/>
      <c r="C73" s="3"/>
      <c r="D73" s="3"/>
      <c r="E73" s="130">
        <f t="shared" si="6"/>
        <v>2008</v>
      </c>
      <c r="F73" s="130">
        <v>2011</v>
      </c>
      <c r="G73" s="146">
        <f t="shared" si="64"/>
        <v>0</v>
      </c>
      <c r="H73" s="146">
        <f t="shared" si="64"/>
        <v>3.5983259103415099E-2</v>
      </c>
      <c r="I73" s="130">
        <v>2012</v>
      </c>
      <c r="J73" s="146">
        <f t="shared" ref="J73:L73" si="120">J33/$E33</f>
        <v>0</v>
      </c>
      <c r="K73" s="146">
        <f t="shared" si="120"/>
        <v>0.31307361888067964</v>
      </c>
      <c r="L73" s="146">
        <f t="shared" si="120"/>
        <v>3.9736816358929783E-2</v>
      </c>
      <c r="M73" s="130">
        <v>2013</v>
      </c>
      <c r="N73" s="146">
        <f t="shared" ref="N73:P73" si="121">N33/$E33</f>
        <v>0.17121174713126053</v>
      </c>
      <c r="O73" s="146">
        <f t="shared" si="121"/>
        <v>0.3662442590807834</v>
      </c>
      <c r="P73" s="146">
        <f t="shared" si="121"/>
        <v>0</v>
      </c>
      <c r="Q73" s="130">
        <v>2014</v>
      </c>
      <c r="R73" s="146">
        <f t="shared" ref="R73:T73" si="122">R33/$E33</f>
        <v>1.4182749893256071E-3</v>
      </c>
      <c r="S73" s="146">
        <f t="shared" si="122"/>
        <v>7.2332024455605964E-2</v>
      </c>
      <c r="T73" s="146">
        <f t="shared" si="122"/>
        <v>0</v>
      </c>
      <c r="U73" s="130">
        <v>2015</v>
      </c>
      <c r="V73" s="146">
        <f t="shared" ref="V73:X73" si="123">V33/$E33</f>
        <v>0</v>
      </c>
      <c r="W73" s="146">
        <f t="shared" si="123"/>
        <v>0</v>
      </c>
      <c r="X73" s="146">
        <f t="shared" si="123"/>
        <v>0</v>
      </c>
      <c r="Y73" s="130">
        <v>2016</v>
      </c>
      <c r="Z73" s="146">
        <f t="shared" ref="Z73" si="124">Z33/$E33</f>
        <v>0</v>
      </c>
      <c r="AA73" s="146">
        <f t="shared" si="63"/>
        <v>0.99999999999999989</v>
      </c>
      <c r="AB73" s="1"/>
      <c r="AC73" s="211">
        <f t="shared" si="15"/>
        <v>0.52168690010468077</v>
      </c>
      <c r="AD73" s="211">
        <f t="shared" si="16"/>
        <v>0.47831309989531912</v>
      </c>
      <c r="AE73" s="12"/>
    </row>
    <row r="74" spans="1:31" s="11" customFormat="1" x14ac:dyDescent="0.3">
      <c r="A74" s="1"/>
      <c r="B74" s="3"/>
      <c r="C74" s="3"/>
      <c r="D74" s="3"/>
      <c r="E74" s="130">
        <f t="shared" si="6"/>
        <v>2009</v>
      </c>
      <c r="F74" s="130">
        <v>2012</v>
      </c>
      <c r="G74" s="146">
        <f t="shared" si="64"/>
        <v>0</v>
      </c>
      <c r="H74" s="146">
        <f t="shared" si="64"/>
        <v>0.14625808746374347</v>
      </c>
      <c r="I74" s="130">
        <v>2013</v>
      </c>
      <c r="J74" s="146">
        <f t="shared" ref="J74:L74" si="125">J34/$E34</f>
        <v>0</v>
      </c>
      <c r="K74" s="146">
        <f t="shared" si="125"/>
        <v>0.39980421168734209</v>
      </c>
      <c r="L74" s="146">
        <f t="shared" si="125"/>
        <v>1.7639534883044518E-2</v>
      </c>
      <c r="M74" s="130">
        <v>2014</v>
      </c>
      <c r="N74" s="146">
        <f t="shared" ref="N74:P74" si="126">N34/$E34</f>
        <v>0.40863737159643548</v>
      </c>
      <c r="O74" s="146">
        <f t="shared" si="126"/>
        <v>1.9836765611477451E-2</v>
      </c>
      <c r="P74" s="146">
        <f t="shared" si="126"/>
        <v>0</v>
      </c>
      <c r="Q74" s="130">
        <v>2015</v>
      </c>
      <c r="R74" s="146">
        <f t="shared" ref="R74:T74" si="127">R34/$E34</f>
        <v>0</v>
      </c>
      <c r="S74" s="146">
        <f t="shared" si="127"/>
        <v>3.9120143789784052E-3</v>
      </c>
      <c r="T74" s="146">
        <f t="shared" si="127"/>
        <v>3.9120143789784052E-3</v>
      </c>
      <c r="U74" s="130">
        <v>2016</v>
      </c>
      <c r="V74" s="146">
        <f t="shared" ref="V74:X74" si="128">V34/$E34</f>
        <v>0</v>
      </c>
      <c r="W74" s="146">
        <f t="shared" si="128"/>
        <v>0</v>
      </c>
      <c r="X74" s="146">
        <f t="shared" si="128"/>
        <v>0</v>
      </c>
      <c r="Y74" s="130">
        <v>2017</v>
      </c>
      <c r="Z74" s="146">
        <f t="shared" ref="Z74" si="129">Z34/$E34</f>
        <v>0</v>
      </c>
      <c r="AA74" s="146">
        <f t="shared" si="63"/>
        <v>0.99999999999999967</v>
      </c>
      <c r="AB74" s="1"/>
      <c r="AC74" s="211">
        <f t="shared" si="15"/>
        <v>0.95469967074752105</v>
      </c>
      <c r="AD74" s="211">
        <f t="shared" si="16"/>
        <v>4.1388314873500372E-2</v>
      </c>
      <c r="AE74" s="12"/>
    </row>
    <row r="75" spans="1:31" s="11" customFormat="1" x14ac:dyDescent="0.3">
      <c r="A75" s="1"/>
      <c r="B75" s="3"/>
      <c r="C75" s="3"/>
      <c r="D75" s="3"/>
      <c r="E75" s="130">
        <f t="shared" si="6"/>
        <v>2010</v>
      </c>
      <c r="F75" s="130">
        <v>2013</v>
      </c>
      <c r="G75" s="146">
        <f t="shared" si="64"/>
        <v>0</v>
      </c>
      <c r="H75" s="146">
        <f t="shared" si="64"/>
        <v>9.4076026039850616E-2</v>
      </c>
      <c r="I75" s="130">
        <v>2014</v>
      </c>
      <c r="J75" s="146">
        <f t="shared" ref="J75:L75" si="130">J35/$E35</f>
        <v>0</v>
      </c>
      <c r="K75" s="146">
        <f t="shared" si="130"/>
        <v>0.2867585158629169</v>
      </c>
      <c r="L75" s="146">
        <f t="shared" si="130"/>
        <v>7.1402010636362048E-2</v>
      </c>
      <c r="M75" s="130">
        <v>2015</v>
      </c>
      <c r="N75" s="146">
        <f t="shared" ref="N75:P75" si="131">N35/$E35</f>
        <v>0.26354204845458695</v>
      </c>
      <c r="O75" s="146">
        <f t="shared" si="131"/>
        <v>0.24158021108337133</v>
      </c>
      <c r="P75" s="146">
        <f t="shared" si="131"/>
        <v>0</v>
      </c>
      <c r="Q75" s="130">
        <v>2016</v>
      </c>
      <c r="R75" s="146">
        <f t="shared" ref="R75:T75" si="132">R35/$E35</f>
        <v>0</v>
      </c>
      <c r="S75" s="146">
        <f t="shared" si="132"/>
        <v>4.2641187922912119E-2</v>
      </c>
      <c r="T75" s="146">
        <f t="shared" si="132"/>
        <v>0</v>
      </c>
      <c r="U75" s="130">
        <v>2017</v>
      </c>
      <c r="V75" s="146">
        <f t="shared" ref="V75:X75" si="133">V35/$E35</f>
        <v>0</v>
      </c>
      <c r="W75" s="146">
        <f t="shared" si="133"/>
        <v>0</v>
      </c>
      <c r="X75" s="146">
        <f t="shared" si="133"/>
        <v>0</v>
      </c>
      <c r="Y75" s="130">
        <v>2018</v>
      </c>
      <c r="Z75" s="146">
        <f t="shared" ref="Z75" si="134">Z35/$E35</f>
        <v>0</v>
      </c>
      <c r="AA75" s="146">
        <f t="shared" si="63"/>
        <v>1</v>
      </c>
      <c r="AB75" s="1"/>
      <c r="AC75" s="211">
        <f t="shared" si="15"/>
        <v>0.6443765903573544</v>
      </c>
      <c r="AD75" s="211">
        <f t="shared" si="16"/>
        <v>0.35562340964264549</v>
      </c>
      <c r="AE75" s="12"/>
    </row>
    <row r="76" spans="1:31" s="11" customFormat="1" x14ac:dyDescent="0.3">
      <c r="A76" s="1"/>
      <c r="B76" s="3"/>
      <c r="C76" s="3"/>
      <c r="D76" s="3"/>
      <c r="E76" s="130">
        <f t="shared" si="6"/>
        <v>2011</v>
      </c>
      <c r="F76" s="130">
        <v>2014</v>
      </c>
      <c r="G76" s="146">
        <f t="shared" si="64"/>
        <v>0</v>
      </c>
      <c r="H76" s="146">
        <f t="shared" si="64"/>
        <v>0.11086883210367197</v>
      </c>
      <c r="I76" s="130">
        <v>2015</v>
      </c>
      <c r="J76" s="146">
        <f t="shared" ref="J76:L76" si="135">J36/$E36</f>
        <v>0</v>
      </c>
      <c r="K76" s="146">
        <f t="shared" si="135"/>
        <v>0.14436857368477096</v>
      </c>
      <c r="L76" s="146">
        <f t="shared" si="135"/>
        <v>0.11458450593343088</v>
      </c>
      <c r="M76" s="130">
        <v>2016</v>
      </c>
      <c r="N76" s="146">
        <f t="shared" ref="N76:P76" si="136">N36/$E36</f>
        <v>9.856934611849083E-2</v>
      </c>
      <c r="O76" s="146">
        <f t="shared" si="136"/>
        <v>0.28133334204652594</v>
      </c>
      <c r="P76" s="146">
        <f t="shared" si="136"/>
        <v>0</v>
      </c>
      <c r="Q76" s="130">
        <v>2017</v>
      </c>
      <c r="R76" s="146">
        <f t="shared" ref="R76:T76" si="137">R36/$E36</f>
        <v>0</v>
      </c>
      <c r="S76" s="146">
        <f t="shared" si="137"/>
        <v>0.25027540011310934</v>
      </c>
      <c r="T76" s="146">
        <f t="shared" si="137"/>
        <v>0</v>
      </c>
      <c r="U76" s="130">
        <v>2018</v>
      </c>
      <c r="V76" s="146">
        <f t="shared" ref="V76:X76" si="138">V36/$E36</f>
        <v>0</v>
      </c>
      <c r="W76" s="146">
        <f t="shared" si="138"/>
        <v>0</v>
      </c>
      <c r="X76" s="146">
        <f t="shared" si="138"/>
        <v>0</v>
      </c>
      <c r="Y76" s="130">
        <v>2019</v>
      </c>
      <c r="Z76" s="146">
        <f t="shared" ref="Z76" si="139">Z36/$E36</f>
        <v>0</v>
      </c>
      <c r="AA76" s="146">
        <f t="shared" si="63"/>
        <v>1</v>
      </c>
      <c r="AB76" s="1"/>
      <c r="AC76" s="211">
        <f t="shared" si="15"/>
        <v>0.35380675190693378</v>
      </c>
      <c r="AD76" s="211">
        <f t="shared" si="16"/>
        <v>0.64619324809306611</v>
      </c>
      <c r="AE76" s="12"/>
    </row>
    <row r="77" spans="1:31" s="11" customFormat="1" x14ac:dyDescent="0.3">
      <c r="A77" s="1"/>
      <c r="B77" s="3"/>
      <c r="C77" s="3"/>
      <c r="D77" s="3"/>
      <c r="E77" s="130">
        <f t="shared" si="6"/>
        <v>2012</v>
      </c>
      <c r="F77" s="130">
        <v>2015</v>
      </c>
      <c r="G77" s="146">
        <f t="shared" si="64"/>
        <v>0</v>
      </c>
      <c r="H77" s="146">
        <f t="shared" si="64"/>
        <v>3.8855561647815569E-2</v>
      </c>
      <c r="I77" s="130">
        <v>2016</v>
      </c>
      <c r="J77" s="146">
        <f t="shared" ref="J77:L77" si="140">J37/$E37</f>
        <v>0</v>
      </c>
      <c r="K77" s="146">
        <f t="shared" si="140"/>
        <v>0.37845843529770706</v>
      </c>
      <c r="L77" s="146">
        <f t="shared" si="140"/>
        <v>1.463965497242955E-2</v>
      </c>
      <c r="M77" s="130">
        <v>2017</v>
      </c>
      <c r="N77" s="146">
        <f t="shared" ref="N77:P77" si="141">N37/$E37</f>
        <v>0.46373917002229958</v>
      </c>
      <c r="O77" s="146">
        <f t="shared" si="141"/>
        <v>7.4696242151242889E-2</v>
      </c>
      <c r="P77" s="146">
        <f t="shared" si="141"/>
        <v>0</v>
      </c>
      <c r="Q77" s="130">
        <v>2018</v>
      </c>
      <c r="R77" s="146">
        <f t="shared" ref="R77:T77" si="142">R37/$E37</f>
        <v>0</v>
      </c>
      <c r="S77" s="146">
        <f t="shared" si="142"/>
        <v>2.9610935908505335E-2</v>
      </c>
      <c r="T77" s="146">
        <f t="shared" si="142"/>
        <v>0</v>
      </c>
      <c r="U77" s="130">
        <v>2019</v>
      </c>
      <c r="V77" s="146">
        <f t="shared" ref="V77:X77" si="143">V37/$E37</f>
        <v>0</v>
      </c>
      <c r="W77" s="146">
        <f t="shared" si="143"/>
        <v>0</v>
      </c>
      <c r="X77" s="146">
        <f t="shared" si="143"/>
        <v>0</v>
      </c>
      <c r="Y77" s="130">
        <v>2020</v>
      </c>
      <c r="Z77" s="146">
        <f t="shared" ref="Z77" si="144">Z37/$E37</f>
        <v>0</v>
      </c>
      <c r="AA77" s="146">
        <f t="shared" si="63"/>
        <v>1</v>
      </c>
      <c r="AB77" s="1"/>
      <c r="AC77" s="211">
        <f t="shared" si="15"/>
        <v>0.88105316696782221</v>
      </c>
      <c r="AD77" s="211">
        <f t="shared" si="16"/>
        <v>0.11894683303217778</v>
      </c>
      <c r="AE77" s="12"/>
    </row>
    <row r="78" spans="1:31" s="11" customFormat="1" x14ac:dyDescent="0.3">
      <c r="A78" s="1"/>
      <c r="B78" s="3"/>
      <c r="C78" s="3"/>
      <c r="D78" s="3"/>
      <c r="E78" s="3"/>
      <c r="F78" s="131"/>
      <c r="G78" s="3"/>
      <c r="H78" s="3"/>
      <c r="I78" s="131"/>
      <c r="J78" s="3"/>
      <c r="K78" s="3"/>
      <c r="L78" s="3"/>
      <c r="M78" s="131"/>
      <c r="N78" s="3"/>
      <c r="O78" s="3"/>
      <c r="P78" s="3"/>
      <c r="Q78" s="131"/>
      <c r="R78" s="3"/>
      <c r="S78" s="3"/>
      <c r="T78" s="3"/>
      <c r="U78" s="131"/>
      <c r="V78" s="3"/>
      <c r="W78" s="3"/>
      <c r="X78" s="3"/>
      <c r="Y78" s="131"/>
      <c r="Z78" s="3"/>
      <c r="AA78" s="3"/>
      <c r="AB78" s="1"/>
      <c r="AC78" s="4"/>
      <c r="AD78" s="4"/>
      <c r="AE78" s="12"/>
    </row>
    <row r="79" spans="1:31" s="11" customFormat="1" x14ac:dyDescent="0.3">
      <c r="A79" s="1"/>
      <c r="B79" s="3"/>
      <c r="C79" s="3"/>
      <c r="D79" s="3"/>
      <c r="E79" s="3"/>
      <c r="F79" s="131" t="s">
        <v>66</v>
      </c>
      <c r="G79" s="146">
        <f>AVERAGE(G47:G77)</f>
        <v>1.2256992204345434E-5</v>
      </c>
      <c r="H79" s="146">
        <f>AVERAGE(H47:H77)</f>
        <v>2.273139415987235E-2</v>
      </c>
      <c r="I79" s="131"/>
      <c r="J79" s="146">
        <f>AVERAGE(J47:J77)</f>
        <v>2.264399746885491E-4</v>
      </c>
      <c r="K79" s="146">
        <f t="shared" ref="K79:L79" si="145">AVERAGE(K47:K77)</f>
        <v>0.22011357461528108</v>
      </c>
      <c r="L79" s="146">
        <f t="shared" si="145"/>
        <v>3.1355603422671352E-2</v>
      </c>
      <c r="M79" s="131"/>
      <c r="N79" s="146">
        <f>AVERAGE(N47:N77)</f>
        <v>0.30013927355448933</v>
      </c>
      <c r="O79" s="146">
        <f t="shared" ref="O79:P79" si="146">AVERAGE(O47:O77)</f>
        <v>0.22400996159578798</v>
      </c>
      <c r="P79" s="146">
        <f t="shared" si="146"/>
        <v>3.6174092272898707E-4</v>
      </c>
      <c r="Q79" s="131"/>
      <c r="R79" s="146">
        <f>AVERAGE(R47:R77)</f>
        <v>1.213547081466596E-3</v>
      </c>
      <c r="S79" s="146">
        <f t="shared" ref="S79:T79" si="147">AVERAGE(S47:S77)</f>
        <v>0.1865802595285036</v>
      </c>
      <c r="T79" s="146">
        <f t="shared" si="147"/>
        <v>8.2735825214343035E-3</v>
      </c>
      <c r="U79" s="131"/>
      <c r="V79" s="146">
        <f>AVERAGE(V47:V77)</f>
        <v>9.7819804242726071E-4</v>
      </c>
      <c r="W79" s="146">
        <f t="shared" ref="W79:X79" si="148">AVERAGE(W47:W77)</f>
        <v>3.9394614593583083E-3</v>
      </c>
      <c r="X79" s="146">
        <f t="shared" si="148"/>
        <v>0</v>
      </c>
      <c r="Y79" s="131"/>
      <c r="Z79" s="146">
        <f>AVERAGE(Z47:Z77)</f>
        <v>6.4706129085894141E-5</v>
      </c>
      <c r="AA79" s="146">
        <f t="shared" si="63"/>
        <v>1</v>
      </c>
      <c r="AB79" s="1"/>
      <c r="AC79" s="63">
        <f t="shared" ref="AC79:AD79" si="149">AVERAGE(AC47:AC77)</f>
        <v>0.5441977894111093</v>
      </c>
      <c r="AD79" s="63">
        <f t="shared" si="149"/>
        <v>0.44292402258939023</v>
      </c>
      <c r="AE79" s="12"/>
    </row>
    <row r="80" spans="1:31" s="11" customFormat="1" x14ac:dyDescent="0.3">
      <c r="A80" s="1"/>
      <c r="B80" s="3"/>
      <c r="C80" s="3"/>
      <c r="D80" s="3"/>
      <c r="E80" s="3"/>
      <c r="F80" s="131" t="s">
        <v>154</v>
      </c>
      <c r="G80" s="146">
        <f>MIN(G47:G77)</f>
        <v>0</v>
      </c>
      <c r="H80" s="146">
        <f>MIN(H47:H77)</f>
        <v>0</v>
      </c>
      <c r="I80" s="131"/>
      <c r="J80" s="146">
        <f t="shared" ref="J80:L80" si="150">MIN(J47:J77)</f>
        <v>0</v>
      </c>
      <c r="K80" s="146">
        <f t="shared" si="150"/>
        <v>9.3059161023313214E-3</v>
      </c>
      <c r="L80" s="146">
        <f t="shared" si="150"/>
        <v>0</v>
      </c>
      <c r="M80" s="131"/>
      <c r="N80" s="146">
        <f t="shared" ref="N80:P80" si="151">MIN(N47:N77)</f>
        <v>5.5180412064837724E-2</v>
      </c>
      <c r="O80" s="146">
        <f t="shared" si="151"/>
        <v>1.0072856366514678E-2</v>
      </c>
      <c r="P80" s="146">
        <f t="shared" si="151"/>
        <v>0</v>
      </c>
      <c r="Q80" s="131"/>
      <c r="R80" s="146">
        <f t="shared" ref="R80:T80" si="152">MIN(R47:R77)</f>
        <v>0</v>
      </c>
      <c r="S80" s="146">
        <f t="shared" si="152"/>
        <v>3.9120143789784052E-3</v>
      </c>
      <c r="T80" s="146">
        <f t="shared" si="152"/>
        <v>0</v>
      </c>
      <c r="U80" s="131"/>
      <c r="V80" s="146">
        <f t="shared" ref="V80:X80" si="153">MIN(V47:V77)</f>
        <v>0</v>
      </c>
      <c r="W80" s="146">
        <f t="shared" si="153"/>
        <v>0</v>
      </c>
      <c r="X80" s="146">
        <f t="shared" si="153"/>
        <v>0</v>
      </c>
      <c r="Y80" s="131"/>
      <c r="Z80" s="146">
        <f>MIN(Z47:Z77)</f>
        <v>0</v>
      </c>
      <c r="AA80" s="146"/>
      <c r="AB80" s="1"/>
      <c r="AC80" s="4"/>
      <c r="AD80" s="4"/>
      <c r="AE80" s="12"/>
    </row>
    <row r="81" spans="1:31" s="11" customFormat="1" x14ac:dyDescent="0.3">
      <c r="A81" s="1"/>
      <c r="B81" s="3"/>
      <c r="C81" s="3"/>
      <c r="D81" s="3"/>
      <c r="E81" s="3"/>
      <c r="F81" s="131" t="s">
        <v>155</v>
      </c>
      <c r="G81" s="146">
        <f>MAX(G47:G77)</f>
        <v>2.1586744387040859E-4</v>
      </c>
      <c r="H81" s="146">
        <f>MAX(H47:H77)</f>
        <v>0.14625808746374347</v>
      </c>
      <c r="I81" s="131"/>
      <c r="J81" s="146">
        <f t="shared" ref="J81:L81" si="154">MAX(J47:J77)</f>
        <v>2.8910220382389836E-3</v>
      </c>
      <c r="K81" s="146">
        <f t="shared" si="154"/>
        <v>0.50550038570982758</v>
      </c>
      <c r="L81" s="146">
        <f t="shared" si="154"/>
        <v>0.19384553259511927</v>
      </c>
      <c r="M81" s="131"/>
      <c r="N81" s="146">
        <f t="shared" ref="N81:P81" si="155">MAX(N47:N77)</f>
        <v>0.79102373366129086</v>
      </c>
      <c r="O81" s="146">
        <f t="shared" si="155"/>
        <v>0.71202622127912685</v>
      </c>
      <c r="P81" s="146">
        <f t="shared" si="155"/>
        <v>4.3639566997483968E-3</v>
      </c>
      <c r="Q81" s="131"/>
      <c r="R81" s="146">
        <f t="shared" ref="R81:T81" si="156">MAX(R47:R77)</f>
        <v>4.7872890080097128E-3</v>
      </c>
      <c r="S81" s="146">
        <f t="shared" si="156"/>
        <v>0.5079701130663159</v>
      </c>
      <c r="T81" s="146">
        <f t="shared" si="156"/>
        <v>0.15112199517704905</v>
      </c>
      <c r="U81" s="131"/>
      <c r="V81" s="146">
        <f t="shared" ref="V81:X81" si="157">MAX(V47:V77)</f>
        <v>1.1037808218128315E-2</v>
      </c>
      <c r="W81" s="146">
        <f t="shared" si="157"/>
        <v>4.9824127338961993E-2</v>
      </c>
      <c r="X81" s="146">
        <f t="shared" si="157"/>
        <v>0</v>
      </c>
      <c r="Y81" s="131"/>
      <c r="Z81" s="146">
        <f>MAX(Z47:Z77)</f>
        <v>1.6823593562332476E-3</v>
      </c>
      <c r="AA81" s="146"/>
      <c r="AB81" s="1"/>
      <c r="AC81" s="4"/>
      <c r="AD81" s="4"/>
      <c r="AE81" s="12"/>
    </row>
    <row r="82" spans="1:31" s="11" customFormat="1" x14ac:dyDescent="0.3">
      <c r="A82" s="1"/>
      <c r="B82" s="3"/>
      <c r="C82" s="3"/>
      <c r="D82" s="3"/>
      <c r="E82" s="3"/>
      <c r="F82" s="192" t="s">
        <v>67</v>
      </c>
      <c r="G82" s="146">
        <f>MEDIAN(G47:G77)</f>
        <v>0</v>
      </c>
      <c r="H82" s="146">
        <f>MEDIAN(H47:H77)</f>
        <v>7.4690756941448583E-3</v>
      </c>
      <c r="I82" s="3"/>
      <c r="J82" s="146">
        <f t="shared" ref="J82:L82" si="158">MEDIAN(J47:J77)</f>
        <v>0</v>
      </c>
      <c r="K82" s="146">
        <f t="shared" si="158"/>
        <v>0.24416042658772505</v>
      </c>
      <c r="L82" s="146">
        <f t="shared" si="158"/>
        <v>1.6139594927737033E-2</v>
      </c>
      <c r="M82" s="3"/>
      <c r="N82" s="146">
        <f t="shared" ref="N82:P82" si="159">MEDIAN(N47:N77)</f>
        <v>0.29696828266643172</v>
      </c>
      <c r="O82" s="146">
        <f t="shared" si="159"/>
        <v>0.20167098349973547</v>
      </c>
      <c r="P82" s="146">
        <f t="shared" si="159"/>
        <v>0</v>
      </c>
      <c r="Q82" s="3"/>
      <c r="R82" s="146">
        <f t="shared" ref="R82:T82" si="160">MEDIAN(R47:R77)</f>
        <v>5.5964743917717892E-4</v>
      </c>
      <c r="S82" s="146">
        <f t="shared" si="160"/>
        <v>0.13711786939750981</v>
      </c>
      <c r="T82" s="146">
        <f t="shared" si="160"/>
        <v>0</v>
      </c>
      <c r="U82" s="3"/>
      <c r="V82" s="146">
        <f t="shared" ref="V82:X82" si="161">MEDIAN(V47:V77)</f>
        <v>0</v>
      </c>
      <c r="W82" s="146">
        <f t="shared" si="161"/>
        <v>0</v>
      </c>
      <c r="X82" s="146">
        <f t="shared" si="161"/>
        <v>0</v>
      </c>
      <c r="Y82" s="3"/>
      <c r="Z82" s="146">
        <f>MEDIAN(Z47:Z77)</f>
        <v>0</v>
      </c>
      <c r="AA82" s="146"/>
      <c r="AB82" s="1"/>
      <c r="AC82" s="63">
        <f t="shared" ref="AC82:AD82" si="162">AVERAGE(AC50:AC80)</f>
        <v>0.56407899669281347</v>
      </c>
      <c r="AD82" s="63">
        <f t="shared" si="162"/>
        <v>0.42350431065683081</v>
      </c>
      <c r="AE82" s="12"/>
    </row>
    <row r="83" spans="1:31" s="11" customFormat="1" x14ac:dyDescent="0.3">
      <c r="A83" s="1"/>
      <c r="B83" s="3"/>
      <c r="C83" s="3"/>
      <c r="D83" s="3"/>
      <c r="E83" s="3"/>
      <c r="F83" s="3"/>
      <c r="G83" s="146"/>
      <c r="H83" s="146"/>
      <c r="I83" s="3"/>
      <c r="J83" s="146"/>
      <c r="K83" s="146"/>
      <c r="L83" s="146"/>
      <c r="M83" s="3"/>
      <c r="N83" s="146"/>
      <c r="O83" s="146"/>
      <c r="P83" s="146"/>
      <c r="Q83" s="3"/>
      <c r="R83" s="146"/>
      <c r="S83" s="146"/>
      <c r="T83" s="146"/>
      <c r="U83" s="3"/>
      <c r="V83" s="146"/>
      <c r="W83" s="146"/>
      <c r="X83" s="146"/>
      <c r="Y83" s="3"/>
      <c r="Z83" s="146"/>
      <c r="AA83" s="146"/>
      <c r="AB83" s="1"/>
      <c r="AC83" s="4"/>
      <c r="AD83" s="4"/>
      <c r="AE83" s="12"/>
    </row>
    <row r="84" spans="1:31" s="11" customFormat="1" x14ac:dyDescent="0.3">
      <c r="A84" s="1"/>
      <c r="B84" s="3"/>
      <c r="C84" s="3"/>
      <c r="D84" s="3"/>
      <c r="E84" s="3"/>
      <c r="F84" s="215" t="s">
        <v>156</v>
      </c>
      <c r="G84" s="146">
        <f>AVERAGE(G47:G55)</f>
        <v>0</v>
      </c>
      <c r="H84" s="146">
        <f>AVERAGE(H47:H55)</f>
        <v>1.1188446026380789E-2</v>
      </c>
      <c r="I84" s="131"/>
      <c r="J84" s="146">
        <f>AVERAGE(J47:J55)</f>
        <v>4.948063275135397E-4</v>
      </c>
      <c r="K84" s="146">
        <f>AVERAGE(K47:K55)</f>
        <v>0.19862616087448237</v>
      </c>
      <c r="L84" s="146">
        <f>AVERAGE(L47:L55)</f>
        <v>3.6251772887271591E-2</v>
      </c>
      <c r="M84" s="131"/>
      <c r="N84" s="146">
        <f>AVERAGE(N47:N55)</f>
        <v>0.24757492199431516</v>
      </c>
      <c r="O84" s="146">
        <f>AVERAGE(O47:O55)</f>
        <v>0.22364942784981542</v>
      </c>
      <c r="P84" s="146">
        <f>AVERAGE(P47:P55)</f>
        <v>1.0005053935997496E-3</v>
      </c>
      <c r="Q84" s="131"/>
      <c r="R84" s="146">
        <f>AVERAGE(R47:R55)</f>
        <v>1.6868261572051848E-3</v>
      </c>
      <c r="S84" s="146">
        <f>AVERAGE(S47:S55)</f>
        <v>0.24683940248692546</v>
      </c>
      <c r="T84" s="146">
        <f>AVERAGE(T47:T55)</f>
        <v>2.0257946397625799E-2</v>
      </c>
      <c r="U84" s="131"/>
      <c r="V84" s="146">
        <f>AVERAGE(V47:V55)</f>
        <v>1.2195164873482255E-3</v>
      </c>
      <c r="W84" s="146">
        <f>AVERAGE(W47:W55)</f>
        <v>1.1023338300157465E-2</v>
      </c>
      <c r="X84" s="146">
        <f>AVERAGE(X47:X55)</f>
        <v>0</v>
      </c>
      <c r="Y84" s="131"/>
      <c r="Z84" s="146">
        <f>AVERAGE(Z47:Z55)</f>
        <v>1.8692881735924972E-4</v>
      </c>
      <c r="AA84" s="146">
        <f>SUM(G84:H84,J84:L84,N84:P84,R84:T84,V84:X84,Z84)</f>
        <v>1</v>
      </c>
      <c r="AB84" s="1"/>
      <c r="AC84" s="63">
        <f t="shared" ref="AC84:AD84" si="163">AVERAGE(AC52:AC82)</f>
        <v>0.58565879936784437</v>
      </c>
      <c r="AD84" s="63">
        <f t="shared" si="163"/>
        <v>0.40252782537078641</v>
      </c>
      <c r="AE84" s="12"/>
    </row>
    <row r="85" spans="1:31" s="11" customFormat="1" x14ac:dyDescent="0.3">
      <c r="A85" s="1"/>
      <c r="B85" s="3"/>
      <c r="C85" s="3"/>
      <c r="D85" s="3"/>
      <c r="E85" s="3"/>
      <c r="F85" s="131" t="s">
        <v>168</v>
      </c>
      <c r="G85" s="146">
        <f>AVERAGE(G61:G77)</f>
        <v>1.8745988077234192E-5</v>
      </c>
      <c r="H85" s="146">
        <f>AVERAGE(H61:H77)</f>
        <v>2.8842366701132587E-2</v>
      </c>
      <c r="I85" s="131"/>
      <c r="J85" s="146">
        <f t="shared" ref="J85:L85" si="164">AVERAGE(J61:J77)</f>
        <v>8.4363670251789378E-5</v>
      </c>
      <c r="K85" s="146">
        <f t="shared" si="164"/>
        <v>0.23148926424276275</v>
      </c>
      <c r="L85" s="146">
        <f t="shared" si="164"/>
        <v>2.8763513706118279E-2</v>
      </c>
      <c r="M85" s="131"/>
      <c r="N85" s="146">
        <f t="shared" ref="N85:P85" si="165">AVERAGE(N61:N77)</f>
        <v>0.32796745967458157</v>
      </c>
      <c r="O85" s="146">
        <f t="shared" si="165"/>
        <v>0.22420083240247934</v>
      </c>
      <c r="P85" s="146">
        <f t="shared" si="165"/>
        <v>2.357149697387738E-5</v>
      </c>
      <c r="Q85" s="131"/>
      <c r="R85" s="146">
        <f t="shared" ref="R85:T85" si="166">AVERAGE(R61:R77)</f>
        <v>9.6298757078146062E-4</v>
      </c>
      <c r="S85" s="146">
        <f t="shared" si="166"/>
        <v>0.15467836031522145</v>
      </c>
      <c r="T85" s="146">
        <f t="shared" si="166"/>
        <v>1.928919292862336E-3</v>
      </c>
      <c r="U85" s="131"/>
      <c r="V85" s="146">
        <f t="shared" ref="V85:X85" si="167">AVERAGE(V61:V77)</f>
        <v>8.5044121864557361E-4</v>
      </c>
      <c r="W85" s="146">
        <f t="shared" si="167"/>
        <v>1.8917372011169659E-4</v>
      </c>
      <c r="X85" s="146">
        <f t="shared" si="167"/>
        <v>0</v>
      </c>
      <c r="Y85" s="131"/>
      <c r="Z85" s="146">
        <f>AVERAGE(Z61:Z77)</f>
        <v>0</v>
      </c>
      <c r="AA85" s="146">
        <f>SUM(G85:H85,J85:L85,N85:P85,R85:T85,V85:X85,Z85)</f>
        <v>1</v>
      </c>
      <c r="AB85" s="1"/>
      <c r="AC85" s="4"/>
      <c r="AD85" s="4"/>
      <c r="AE85" s="12"/>
    </row>
    <row r="86" spans="1:31" s="11" customFormat="1" x14ac:dyDescent="0.3">
      <c r="A86" s="1"/>
      <c r="B86" s="3"/>
      <c r="C86" s="3"/>
      <c r="D86" s="3"/>
      <c r="E86" s="3"/>
      <c r="F86" s="131"/>
      <c r="G86" s="3"/>
      <c r="H86" s="3"/>
      <c r="I86" s="131"/>
      <c r="J86" s="3"/>
      <c r="K86" s="3"/>
      <c r="L86" s="3"/>
      <c r="M86" s="131"/>
      <c r="N86" s="3"/>
      <c r="O86" s="3"/>
      <c r="P86" s="3"/>
      <c r="Q86" s="131"/>
      <c r="R86" s="3"/>
      <c r="S86" s="3"/>
      <c r="T86" s="3"/>
      <c r="U86" s="131"/>
      <c r="V86" s="3"/>
      <c r="W86" s="3"/>
      <c r="X86" s="3"/>
      <c r="Y86" s="131"/>
      <c r="Z86" s="3"/>
      <c r="AA86" s="3"/>
      <c r="AB86" s="1"/>
      <c r="AC86" s="4"/>
      <c r="AD86" s="4"/>
      <c r="AE86" s="12"/>
    </row>
    <row r="87" spans="1:31" s="11" customFormat="1" x14ac:dyDescent="0.3">
      <c r="A87" s="12"/>
      <c r="F87" s="140" t="s">
        <v>214</v>
      </c>
      <c r="G87" s="146">
        <f>AVERAGE(G52,G61)</f>
        <v>0</v>
      </c>
      <c r="H87" s="146">
        <f>AVERAGE(H52,H61)</f>
        <v>2.5161865072581661E-2</v>
      </c>
      <c r="I87" s="20"/>
      <c r="J87" s="146">
        <f t="shared" ref="J87:L87" si="168">AVERAGE(J52,J61)</f>
        <v>5.6409874263201357E-4</v>
      </c>
      <c r="K87" s="146">
        <f t="shared" si="168"/>
        <v>0.19634032649970551</v>
      </c>
      <c r="L87" s="146">
        <f t="shared" si="168"/>
        <v>2.016305500544131E-2</v>
      </c>
      <c r="M87" s="20"/>
      <c r="N87" s="146">
        <f t="shared" ref="N87:P87" si="169">AVERAGE(N52,N61)</f>
        <v>0.34155316966486221</v>
      </c>
      <c r="O87" s="146">
        <f t="shared" si="169"/>
        <v>5.681447059932708E-2</v>
      </c>
      <c r="P87" s="146">
        <f t="shared" si="169"/>
        <v>2.3823360741521563E-3</v>
      </c>
      <c r="Q87" s="20"/>
      <c r="R87" s="146">
        <f t="shared" ref="R87:T87" si="170">AVERAGE(R52,R61)</f>
        <v>2.9455056526233011E-3</v>
      </c>
      <c r="S87" s="146">
        <f t="shared" si="170"/>
        <v>0.24600160129149784</v>
      </c>
      <c r="T87" s="146">
        <f t="shared" si="170"/>
        <v>7.6397000435157597E-2</v>
      </c>
      <c r="U87" s="20"/>
      <c r="V87" s="146">
        <f t="shared" ref="V87:X87" si="171">AVERAGE(V52,V61)</f>
        <v>6.7645072925382075E-3</v>
      </c>
      <c r="W87" s="146">
        <f t="shared" si="171"/>
        <v>2.4912063669480997E-2</v>
      </c>
      <c r="X87" s="146">
        <f t="shared" si="171"/>
        <v>0</v>
      </c>
      <c r="Y87" s="20"/>
      <c r="Z87" s="146">
        <f>AVERAGE(Z52,Z61)</f>
        <v>0</v>
      </c>
      <c r="AB87" s="12"/>
      <c r="AC87" s="211">
        <f t="shared" ref="AC87:AC89" si="172">SUM(H87,K87,N87,R87)</f>
        <v>0.56600086688977269</v>
      </c>
      <c r="AD87" s="211">
        <f t="shared" ref="AD87:AD89" si="173">SUM(L87,O87,S87,V87)</f>
        <v>0.32974363418880442</v>
      </c>
      <c r="AE87" s="12"/>
    </row>
    <row r="88" spans="1:31" s="11" customFormat="1" x14ac:dyDescent="0.3">
      <c r="A88" s="12"/>
      <c r="F88" s="140" t="s">
        <v>215</v>
      </c>
      <c r="G88" s="146">
        <f>AVERAGE(G47:G51,G53:G55)</f>
        <v>0</v>
      </c>
      <c r="H88" s="146">
        <f>AVERAGE(H47:H51,H53:H55)</f>
        <v>8.4961269800822165E-3</v>
      </c>
      <c r="I88" s="20"/>
      <c r="J88" s="146">
        <f t="shared" ref="J88:L88" si="174">AVERAGE(J47:J51,J53:J55)</f>
        <v>5.5665711845273222E-4</v>
      </c>
      <c r="K88" s="146">
        <f t="shared" si="174"/>
        <v>0.19162136923769538</v>
      </c>
      <c r="L88" s="146">
        <f t="shared" si="174"/>
        <v>3.5816696269949329E-2</v>
      </c>
      <c r="M88" s="20"/>
      <c r="N88" s="146">
        <f t="shared" ref="N88:P88" si="175">AVERAGE(N47:N51,N53:N55)</f>
        <v>0.25084256776054603</v>
      </c>
      <c r="O88" s="146">
        <f t="shared" si="175"/>
        <v>0.23866109572702487</v>
      </c>
      <c r="P88" s="146">
        <f t="shared" si="175"/>
        <v>5.8007398033116896E-4</v>
      </c>
      <c r="Q88" s="20"/>
      <c r="R88" s="146">
        <f t="shared" ref="R88:T88" si="176">AVERAGE(R47:R51,R53:R55)</f>
        <v>1.5793044370165442E-3</v>
      </c>
      <c r="S88" s="146">
        <f t="shared" si="176"/>
        <v>0.26050207834646955</v>
      </c>
      <c r="T88" s="146">
        <f t="shared" si="176"/>
        <v>3.8999403001978936E-3</v>
      </c>
      <c r="U88" s="20"/>
      <c r="V88" s="146">
        <f t="shared" ref="V88:X88" si="177">AVERAGE(V47:V51,V53:V55)</f>
        <v>1.0605552523982413E-3</v>
      </c>
      <c r="W88" s="146">
        <f t="shared" si="177"/>
        <v>6.173239670306899E-3</v>
      </c>
      <c r="X88" s="146">
        <f t="shared" si="177"/>
        <v>0</v>
      </c>
      <c r="Y88" s="20"/>
      <c r="Z88" s="146">
        <f>AVERAGE(Z47:Z51,Z53:Z55)</f>
        <v>2.1029491952915595E-4</v>
      </c>
      <c r="AB88" s="12"/>
      <c r="AC88" s="211">
        <f t="shared" si="172"/>
        <v>0.45253936841534015</v>
      </c>
      <c r="AD88" s="211">
        <f t="shared" si="173"/>
        <v>0.53604042559584197</v>
      </c>
      <c r="AE88" s="12"/>
    </row>
    <row r="89" spans="1:31" s="11" customFormat="1" x14ac:dyDescent="0.3">
      <c r="A89" s="12"/>
      <c r="F89" s="140" t="s">
        <v>216</v>
      </c>
      <c r="G89" s="146">
        <f>AVERAGE(G62:G77)</f>
        <v>1.991761233206133E-5</v>
      </c>
      <c r="H89" s="146">
        <f>AVERAGE(H62:H77)</f>
        <v>2.9545218885678754E-2</v>
      </c>
      <c r="I89" s="20"/>
      <c r="J89" s="146">
        <f t="shared" ref="J89:L89" si="178">AVERAGE(J62:J77)</f>
        <v>1.9124056813524529E-5</v>
      </c>
      <c r="K89" s="146">
        <f t="shared" si="178"/>
        <v>0.23733133331852088</v>
      </c>
      <c r="L89" s="146">
        <f t="shared" si="178"/>
        <v>3.0524125551186113E-2</v>
      </c>
      <c r="M89" s="20"/>
      <c r="N89" s="146">
        <f t="shared" ref="N89:P89" si="179">AVERAGE(N62:N77)</f>
        <v>0.31961088943766447</v>
      </c>
      <c r="O89" s="146">
        <f t="shared" si="179"/>
        <v>0.23758383090472715</v>
      </c>
      <c r="P89" s="146">
        <f t="shared" si="179"/>
        <v>0</v>
      </c>
      <c r="Q89" s="20"/>
      <c r="R89" s="146">
        <f t="shared" ref="R89:T89" si="180">AVERAGE(R62:R77)</f>
        <v>8.1417358229703347E-4</v>
      </c>
      <c r="S89" s="146">
        <f t="shared" si="180"/>
        <v>0.14219168239914631</v>
      </c>
      <c r="T89" s="146">
        <f t="shared" si="180"/>
        <v>1.9449763928370983E-3</v>
      </c>
      <c r="U89" s="20"/>
      <c r="V89" s="146">
        <f t="shared" ref="V89:X89" si="181">AVERAGE(V62:V77)</f>
        <v>2.1373078117790221E-4</v>
      </c>
      <c r="W89" s="146">
        <f t="shared" si="181"/>
        <v>2.0099707761867764E-4</v>
      </c>
      <c r="X89" s="146">
        <f t="shared" si="181"/>
        <v>0</v>
      </c>
      <c r="Y89" s="20"/>
      <c r="Z89" s="146">
        <f>AVERAGE(Z62:Z77)</f>
        <v>0</v>
      </c>
      <c r="AB89" s="12"/>
      <c r="AC89" s="211">
        <f t="shared" si="172"/>
        <v>0.58730161522416124</v>
      </c>
      <c r="AD89" s="211">
        <f t="shared" si="173"/>
        <v>0.41051336963623752</v>
      </c>
      <c r="AE89" s="12"/>
    </row>
    <row r="90" spans="1:31" s="11" customFormat="1" x14ac:dyDescent="0.3">
      <c r="A90" s="12"/>
      <c r="F90" s="20"/>
      <c r="I90" s="20"/>
      <c r="M90" s="20"/>
      <c r="Q90" s="20"/>
      <c r="U90" s="20"/>
      <c r="Y90" s="20"/>
      <c r="AB90" s="12"/>
      <c r="AC90" s="17"/>
      <c r="AD90" s="17"/>
      <c r="AE90" s="12"/>
    </row>
    <row r="91" spans="1:31" s="11" customFormat="1" x14ac:dyDescent="0.3">
      <c r="A91" s="12"/>
      <c r="F91" s="20"/>
      <c r="I91" s="20"/>
      <c r="M91" s="20"/>
      <c r="Q91" s="20"/>
      <c r="U91" s="20"/>
      <c r="Y91" s="20"/>
      <c r="AB91" s="12"/>
      <c r="AC91" s="17"/>
      <c r="AD91" s="17"/>
      <c r="AE91" s="12"/>
    </row>
    <row r="92" spans="1:31" s="11" customFormat="1" x14ac:dyDescent="0.3">
      <c r="A92" s="12"/>
      <c r="F92" s="20"/>
      <c r="I92" s="20"/>
      <c r="M92" s="20"/>
      <c r="Q92" s="20"/>
      <c r="U92" s="20"/>
      <c r="Y92" s="20"/>
      <c r="AB92" s="12"/>
      <c r="AC92" s="17"/>
      <c r="AD92" s="17"/>
      <c r="AE92" s="12"/>
    </row>
    <row r="93" spans="1:31" s="11" customFormat="1" x14ac:dyDescent="0.3">
      <c r="A93" s="12"/>
      <c r="F93" s="20"/>
      <c r="I93" s="20"/>
      <c r="M93" s="20"/>
      <c r="Q93" s="20"/>
      <c r="U93" s="20"/>
      <c r="Y93" s="20"/>
      <c r="AB93" s="12"/>
      <c r="AC93" s="17"/>
      <c r="AD93" s="17"/>
      <c r="AE93" s="12"/>
    </row>
    <row r="94" spans="1:31" s="11" customFormat="1" x14ac:dyDescent="0.3">
      <c r="A94" s="12"/>
      <c r="F94" s="20"/>
      <c r="I94" s="20"/>
      <c r="M94" s="20"/>
      <c r="Q94" s="20"/>
      <c r="U94" s="20"/>
      <c r="Y94" s="20"/>
      <c r="AB94" s="12"/>
      <c r="AC94" s="17"/>
      <c r="AD94" s="17"/>
      <c r="AE94" s="12"/>
    </row>
    <row r="95" spans="1:31" s="11" customFormat="1" x14ac:dyDescent="0.3">
      <c r="A95" s="12"/>
      <c r="F95" s="20"/>
      <c r="I95" s="20"/>
      <c r="M95" s="20"/>
      <c r="Q95" s="20"/>
      <c r="U95" s="20"/>
      <c r="Y95" s="20"/>
      <c r="AB95" s="12"/>
      <c r="AC95" s="17"/>
      <c r="AD95" s="17"/>
      <c r="AE95" s="12"/>
    </row>
    <row r="97" spans="1:31" s="11" customFormat="1" x14ac:dyDescent="0.3">
      <c r="A97" s="12"/>
      <c r="F97" s="20"/>
      <c r="I97" s="20"/>
      <c r="M97" s="20"/>
      <c r="Q97" s="20"/>
      <c r="U97" s="20"/>
      <c r="Y97" s="20"/>
      <c r="AB97" s="12"/>
      <c r="AC97" s="17"/>
      <c r="AD97" s="17"/>
      <c r="AE97" s="12"/>
    </row>
    <row r="98" spans="1:31" s="11" customFormat="1" x14ac:dyDescent="0.3">
      <c r="A98" s="12"/>
      <c r="F98" s="20"/>
      <c r="I98" s="20"/>
      <c r="M98" s="20"/>
      <c r="Q98" s="20"/>
      <c r="U98" s="20"/>
      <c r="Y98" s="20"/>
      <c r="AB98" s="12"/>
      <c r="AC98" s="17"/>
      <c r="AD98" s="17"/>
      <c r="AE98" s="12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D3A8-DAFF-439D-833D-0D772AC8E790}">
  <dimension ref="A1:AN103"/>
  <sheetViews>
    <sheetView zoomScale="75" zoomScaleNormal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9.109375" defaultRowHeight="13.8" x14ac:dyDescent="0.3"/>
  <cols>
    <col min="1" max="1" width="9.109375" style="1"/>
    <col min="2" max="2" width="7.109375" style="1" bestFit="1" customWidth="1"/>
    <col min="3" max="3" width="7" style="1" bestFit="1" customWidth="1"/>
    <col min="4" max="4" width="7.5546875" style="1" bestFit="1" customWidth="1"/>
    <col min="5" max="5" width="5.88671875" style="1" bestFit="1" customWidth="1"/>
    <col min="6" max="6" width="6.44140625" style="1" bestFit="1" customWidth="1"/>
    <col min="7" max="7" width="7" style="1" bestFit="1" customWidth="1"/>
    <col min="8" max="8" width="7.109375" style="1" bestFit="1" customWidth="1"/>
    <col min="9" max="9" width="6" style="1" bestFit="1" customWidth="1"/>
    <col min="10" max="10" width="7.109375" style="1" bestFit="1" customWidth="1"/>
    <col min="11" max="11" width="6" style="1" bestFit="1" customWidth="1"/>
    <col min="12" max="12" width="7.5546875" style="1" bestFit="1" customWidth="1"/>
    <col min="13" max="13" width="7.109375" style="1" bestFit="1" customWidth="1"/>
    <col min="14" max="14" width="7.5546875" style="1" bestFit="1" customWidth="1"/>
    <col min="15" max="15" width="7" style="1" bestFit="1" customWidth="1"/>
    <col min="16" max="16" width="7.5546875" style="1" bestFit="1" customWidth="1"/>
    <col min="17" max="20" width="7.109375" style="1" bestFit="1" customWidth="1"/>
    <col min="21" max="21" width="7.5546875" style="1" bestFit="1" customWidth="1"/>
    <col min="22" max="22" width="6.44140625" style="1" bestFit="1" customWidth="1"/>
    <col min="23" max="23" width="6" style="1" bestFit="1" customWidth="1"/>
    <col min="24" max="24" width="13.88671875" style="1" bestFit="1" customWidth="1"/>
    <col min="25" max="27" width="7.5546875" style="1" bestFit="1" customWidth="1"/>
    <col min="28" max="28" width="8.109375" style="1" bestFit="1" customWidth="1"/>
    <col min="29" max="29" width="7.5546875" style="1" bestFit="1" customWidth="1"/>
    <col min="30" max="30" width="13.88671875" style="1" bestFit="1" customWidth="1"/>
    <col min="31" max="31" width="7.109375" style="1" bestFit="1" customWidth="1"/>
    <col min="32" max="32" width="13.88671875" style="1" bestFit="1" customWidth="1"/>
    <col min="33" max="35" width="7.5546875" style="1" bestFit="1" customWidth="1"/>
    <col min="36" max="37" width="7.109375" style="1" bestFit="1" customWidth="1"/>
    <col min="38" max="40" width="7.5546875" style="1" bestFit="1" customWidth="1"/>
    <col min="41" max="16384" width="9.109375" style="1"/>
  </cols>
  <sheetData>
    <row r="1" spans="1:40" ht="18" x14ac:dyDescent="0.35">
      <c r="A1" s="108" t="s">
        <v>132</v>
      </c>
    </row>
    <row r="3" spans="1:40" x14ac:dyDescent="0.3">
      <c r="A3" s="121" t="s">
        <v>129</v>
      </c>
      <c r="B3" s="121">
        <v>1953</v>
      </c>
      <c r="C3" s="121">
        <v>1954</v>
      </c>
      <c r="D3" s="121">
        <v>1955</v>
      </c>
      <c r="E3" s="121">
        <v>1982</v>
      </c>
      <c r="F3" s="121">
        <v>1983</v>
      </c>
      <c r="G3" s="121">
        <v>1984</v>
      </c>
      <c r="H3" s="121">
        <v>1985</v>
      </c>
      <c r="I3" s="121">
        <v>1986</v>
      </c>
      <c r="J3" s="121">
        <v>1987</v>
      </c>
      <c r="K3" s="121">
        <v>1988</v>
      </c>
      <c r="L3" s="121">
        <v>1989</v>
      </c>
      <c r="M3" s="121">
        <v>1990</v>
      </c>
      <c r="N3" s="121">
        <v>1991</v>
      </c>
      <c r="O3" s="121">
        <v>1992</v>
      </c>
      <c r="P3" s="121">
        <v>1993</v>
      </c>
      <c r="Q3" s="121">
        <v>1994</v>
      </c>
      <c r="R3" s="121">
        <v>1995</v>
      </c>
      <c r="S3" s="121">
        <v>1996</v>
      </c>
      <c r="T3" s="121">
        <v>1997</v>
      </c>
      <c r="U3" s="121">
        <v>1999</v>
      </c>
      <c r="V3" s="121">
        <v>2000</v>
      </c>
      <c r="W3" s="121">
        <v>2001</v>
      </c>
      <c r="X3" s="121">
        <v>2002</v>
      </c>
      <c r="Y3" s="121">
        <v>2003</v>
      </c>
      <c r="Z3" s="121">
        <v>2004</v>
      </c>
      <c r="AA3" s="121">
        <v>2005</v>
      </c>
      <c r="AB3" s="121">
        <v>2006</v>
      </c>
      <c r="AC3" s="121">
        <v>2007</v>
      </c>
      <c r="AD3" s="121">
        <v>2008</v>
      </c>
      <c r="AE3" s="121">
        <v>2009</v>
      </c>
      <c r="AF3" s="121">
        <v>2010</v>
      </c>
      <c r="AG3" s="121">
        <v>2011</v>
      </c>
      <c r="AH3" s="121">
        <v>2012</v>
      </c>
      <c r="AI3" s="121">
        <v>2013</v>
      </c>
      <c r="AJ3" s="121">
        <v>2014</v>
      </c>
      <c r="AK3" s="121">
        <v>2015</v>
      </c>
      <c r="AL3" s="121">
        <v>2016</v>
      </c>
      <c r="AM3" s="121">
        <v>2017</v>
      </c>
      <c r="AN3" s="121">
        <v>2018</v>
      </c>
    </row>
    <row r="4" spans="1:40" x14ac:dyDescent="0.3">
      <c r="A4" s="122">
        <v>164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0</v>
      </c>
      <c r="S4" s="3"/>
      <c r="T4" s="3"/>
      <c r="U4" s="3"/>
      <c r="V4" s="3">
        <v>0</v>
      </c>
      <c r="W4" s="3"/>
      <c r="X4" s="3">
        <v>3</v>
      </c>
      <c r="Y4" s="3">
        <v>2</v>
      </c>
      <c r="Z4" s="3">
        <v>6</v>
      </c>
      <c r="AA4" s="3">
        <v>0</v>
      </c>
      <c r="AB4" s="3"/>
      <c r="AC4" s="3"/>
      <c r="AD4" s="3">
        <v>0</v>
      </c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3">
      <c r="A5" s="122">
        <v>165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0</v>
      </c>
      <c r="Q5" s="3"/>
      <c r="R5" s="3"/>
      <c r="S5" s="3"/>
      <c r="T5" s="3"/>
      <c r="U5" s="3"/>
      <c r="V5" s="3">
        <v>0</v>
      </c>
      <c r="W5" s="3"/>
      <c r="X5" s="3">
        <v>2</v>
      </c>
      <c r="Y5" s="3">
        <v>0</v>
      </c>
      <c r="Z5" s="3">
        <v>29</v>
      </c>
      <c r="AA5" s="3">
        <v>0</v>
      </c>
      <c r="AB5" s="3"/>
      <c r="AC5" s="3"/>
      <c r="AD5" s="3">
        <v>0</v>
      </c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3">
      <c r="A6" s="122">
        <v>166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0</v>
      </c>
      <c r="Q6" s="3"/>
      <c r="R6" s="3"/>
      <c r="S6" s="3">
        <v>0</v>
      </c>
      <c r="T6" s="3"/>
      <c r="U6" s="3"/>
      <c r="V6" s="3">
        <v>0</v>
      </c>
      <c r="W6" s="3"/>
      <c r="X6" s="3">
        <v>1</v>
      </c>
      <c r="Y6" s="3">
        <v>2</v>
      </c>
      <c r="Z6" s="3">
        <v>18</v>
      </c>
      <c r="AA6" s="3">
        <v>0</v>
      </c>
      <c r="AB6" s="3"/>
      <c r="AC6" s="3"/>
      <c r="AD6" s="3">
        <v>0</v>
      </c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x14ac:dyDescent="0.3">
      <c r="A7" s="122">
        <v>167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/>
      <c r="S7" s="3">
        <v>9</v>
      </c>
      <c r="T7" s="3"/>
      <c r="U7" s="3"/>
      <c r="V7" s="3">
        <v>1</v>
      </c>
      <c r="W7" s="3">
        <v>11</v>
      </c>
      <c r="X7" s="3">
        <v>4</v>
      </c>
      <c r="Y7" s="3">
        <v>3</v>
      </c>
      <c r="Z7" s="3">
        <v>29</v>
      </c>
      <c r="AA7" s="3">
        <v>0</v>
      </c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>
        <v>1</v>
      </c>
      <c r="AM7" s="3"/>
      <c r="AN7" s="3"/>
    </row>
    <row r="8" spans="1:40" x14ac:dyDescent="0.3">
      <c r="A8" s="122">
        <v>168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6</v>
      </c>
      <c r="S8" s="3">
        <v>3</v>
      </c>
      <c r="T8" s="3"/>
      <c r="U8" s="3"/>
      <c r="V8" s="3">
        <v>0</v>
      </c>
      <c r="W8" s="3">
        <v>6</v>
      </c>
      <c r="X8" s="3">
        <v>24</v>
      </c>
      <c r="Y8" s="3">
        <v>3</v>
      </c>
      <c r="Z8" s="3">
        <v>24</v>
      </c>
      <c r="AA8" s="3">
        <v>5</v>
      </c>
      <c r="AB8" s="3"/>
      <c r="AC8" s="3"/>
      <c r="AD8" s="3">
        <v>0</v>
      </c>
      <c r="AE8" s="3"/>
      <c r="AF8" s="3"/>
      <c r="AG8" s="3"/>
      <c r="AH8" s="3"/>
      <c r="AI8" s="3">
        <v>41</v>
      </c>
      <c r="AJ8" s="3"/>
      <c r="AK8" s="3"/>
      <c r="AL8" s="3">
        <v>3</v>
      </c>
      <c r="AM8" s="3"/>
      <c r="AN8" s="3"/>
    </row>
    <row r="9" spans="1:40" x14ac:dyDescent="0.3">
      <c r="A9" s="122">
        <v>169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0</v>
      </c>
      <c r="Q9" s="3">
        <v>6</v>
      </c>
      <c r="R9" s="3">
        <v>2</v>
      </c>
      <c r="S9" s="3">
        <v>4</v>
      </c>
      <c r="T9" s="3"/>
      <c r="U9" s="3"/>
      <c r="V9" s="3">
        <v>2</v>
      </c>
      <c r="W9" s="3">
        <v>3</v>
      </c>
      <c r="X9" s="3">
        <v>21</v>
      </c>
      <c r="Y9" s="3">
        <v>2</v>
      </c>
      <c r="Z9" s="3">
        <v>22</v>
      </c>
      <c r="AA9" s="3">
        <v>0</v>
      </c>
      <c r="AB9" s="3"/>
      <c r="AC9" s="3"/>
      <c r="AD9" s="3">
        <v>7</v>
      </c>
      <c r="AE9" s="3"/>
      <c r="AF9" s="3"/>
      <c r="AG9" s="3"/>
      <c r="AH9" s="3"/>
      <c r="AI9" s="3">
        <v>33</v>
      </c>
      <c r="AJ9" s="3"/>
      <c r="AK9" s="3">
        <v>0</v>
      </c>
      <c r="AL9" s="3">
        <v>3</v>
      </c>
      <c r="AM9" s="3"/>
      <c r="AN9" s="3"/>
    </row>
    <row r="10" spans="1:40" x14ac:dyDescent="0.3">
      <c r="A10" s="122">
        <v>170</v>
      </c>
      <c r="B10" s="3"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</v>
      </c>
      <c r="O10" s="3"/>
      <c r="P10" s="3">
        <v>14</v>
      </c>
      <c r="Q10" s="3">
        <v>19</v>
      </c>
      <c r="R10" s="3">
        <v>51</v>
      </c>
      <c r="S10" s="3">
        <v>0</v>
      </c>
      <c r="T10" s="3"/>
      <c r="U10" s="3"/>
      <c r="V10" s="3">
        <v>0</v>
      </c>
      <c r="W10" s="3">
        <v>5</v>
      </c>
      <c r="X10" s="3">
        <v>60</v>
      </c>
      <c r="Y10" s="3">
        <v>11</v>
      </c>
      <c r="Z10" s="3">
        <v>43</v>
      </c>
      <c r="AA10" s="3">
        <v>0</v>
      </c>
      <c r="AB10" s="3"/>
      <c r="AC10" s="3"/>
      <c r="AD10" s="3">
        <v>12</v>
      </c>
      <c r="AE10" s="3"/>
      <c r="AF10" s="3"/>
      <c r="AG10" s="3"/>
      <c r="AH10" s="3"/>
      <c r="AI10" s="3">
        <v>220</v>
      </c>
      <c r="AJ10" s="3">
        <v>19</v>
      </c>
      <c r="AK10" s="3">
        <v>0</v>
      </c>
      <c r="AL10" s="3">
        <v>9</v>
      </c>
      <c r="AM10" s="3"/>
      <c r="AN10" s="3">
        <v>2</v>
      </c>
    </row>
    <row r="11" spans="1:40" x14ac:dyDescent="0.3">
      <c r="A11" s="122">
        <v>171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>
        <v>4</v>
      </c>
      <c r="M11" s="3"/>
      <c r="N11" s="3">
        <v>0</v>
      </c>
      <c r="O11" s="3">
        <v>0</v>
      </c>
      <c r="P11" s="3">
        <v>0</v>
      </c>
      <c r="Q11" s="3">
        <v>20</v>
      </c>
      <c r="R11" s="3">
        <v>27</v>
      </c>
      <c r="S11" s="3">
        <v>12</v>
      </c>
      <c r="T11" s="3"/>
      <c r="U11" s="3"/>
      <c r="V11" s="3">
        <v>4</v>
      </c>
      <c r="W11" s="3">
        <v>10</v>
      </c>
      <c r="X11" s="3">
        <v>76</v>
      </c>
      <c r="Y11" s="3">
        <v>0</v>
      </c>
      <c r="Z11" s="3">
        <v>23</v>
      </c>
      <c r="AA11" s="3">
        <v>3</v>
      </c>
      <c r="AB11" s="3"/>
      <c r="AC11" s="3">
        <v>86</v>
      </c>
      <c r="AD11" s="3">
        <v>5</v>
      </c>
      <c r="AE11" s="3">
        <v>0</v>
      </c>
      <c r="AF11" s="3"/>
      <c r="AG11" s="3">
        <v>0</v>
      </c>
      <c r="AH11" s="3">
        <v>0</v>
      </c>
      <c r="AI11" s="3">
        <v>276</v>
      </c>
      <c r="AJ11" s="3">
        <v>4</v>
      </c>
      <c r="AK11" s="3">
        <v>1</v>
      </c>
      <c r="AL11" s="3">
        <v>8</v>
      </c>
      <c r="AM11" s="3">
        <v>3</v>
      </c>
      <c r="AN11" s="3">
        <v>42</v>
      </c>
    </row>
    <row r="12" spans="1:40" x14ac:dyDescent="0.3">
      <c r="A12" s="122">
        <v>172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>
        <v>23</v>
      </c>
      <c r="M12" s="3"/>
      <c r="N12" s="3">
        <v>0</v>
      </c>
      <c r="O12" s="3">
        <v>0</v>
      </c>
      <c r="P12" s="3">
        <v>3</v>
      </c>
      <c r="Q12" s="3">
        <v>32</v>
      </c>
      <c r="R12" s="3">
        <v>41</v>
      </c>
      <c r="S12" s="3">
        <v>8</v>
      </c>
      <c r="T12" s="3"/>
      <c r="U12" s="3"/>
      <c r="V12" s="3">
        <v>1</v>
      </c>
      <c r="W12" s="3">
        <v>0</v>
      </c>
      <c r="X12" s="3">
        <v>39</v>
      </c>
      <c r="Y12" s="3">
        <v>1</v>
      </c>
      <c r="Z12" s="3">
        <v>53</v>
      </c>
      <c r="AA12" s="3">
        <v>119</v>
      </c>
      <c r="AB12" s="3"/>
      <c r="AC12" s="3">
        <v>220</v>
      </c>
      <c r="AD12" s="3">
        <v>0</v>
      </c>
      <c r="AE12" s="3">
        <v>0</v>
      </c>
      <c r="AF12" s="3"/>
      <c r="AG12" s="3">
        <v>0</v>
      </c>
      <c r="AH12" s="3">
        <v>0</v>
      </c>
      <c r="AI12" s="3">
        <v>341</v>
      </c>
      <c r="AJ12" s="3">
        <v>241</v>
      </c>
      <c r="AK12" s="3">
        <v>1</v>
      </c>
      <c r="AL12" s="3">
        <v>4</v>
      </c>
      <c r="AM12" s="3">
        <v>1</v>
      </c>
      <c r="AN12" s="3">
        <v>2</v>
      </c>
    </row>
    <row r="13" spans="1:40" x14ac:dyDescent="0.3">
      <c r="A13" s="122">
        <v>173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>
        <v>25</v>
      </c>
      <c r="M13" s="3"/>
      <c r="N13" s="3">
        <v>0</v>
      </c>
      <c r="O13" s="3">
        <v>1</v>
      </c>
      <c r="P13" s="3">
        <v>0</v>
      </c>
      <c r="Q13" s="3">
        <v>70</v>
      </c>
      <c r="R13" s="3">
        <v>34</v>
      </c>
      <c r="S13" s="3">
        <v>14</v>
      </c>
      <c r="T13" s="3">
        <v>19</v>
      </c>
      <c r="U13" s="3"/>
      <c r="V13" s="3">
        <v>0</v>
      </c>
      <c r="W13" s="3">
        <v>6</v>
      </c>
      <c r="X13" s="3">
        <v>17</v>
      </c>
      <c r="Y13" s="3">
        <v>0</v>
      </c>
      <c r="Z13" s="3">
        <v>61</v>
      </c>
      <c r="AA13" s="3">
        <v>8</v>
      </c>
      <c r="AB13" s="3"/>
      <c r="AC13" s="3">
        <v>447</v>
      </c>
      <c r="AD13" s="3">
        <v>11</v>
      </c>
      <c r="AE13" s="3">
        <v>9</v>
      </c>
      <c r="AF13" s="3">
        <v>0</v>
      </c>
      <c r="AG13" s="3">
        <v>12</v>
      </c>
      <c r="AH13" s="3">
        <v>0</v>
      </c>
      <c r="AI13" s="3">
        <v>397</v>
      </c>
      <c r="AJ13" s="3">
        <v>42</v>
      </c>
      <c r="AK13" s="3">
        <v>0</v>
      </c>
      <c r="AL13" s="3">
        <v>12</v>
      </c>
      <c r="AM13" s="3">
        <v>48</v>
      </c>
      <c r="AN13" s="3">
        <v>2</v>
      </c>
    </row>
    <row r="14" spans="1:40" x14ac:dyDescent="0.3">
      <c r="A14" s="122">
        <v>174</v>
      </c>
      <c r="B14" s="3">
        <v>7</v>
      </c>
      <c r="C14" s="3">
        <v>11</v>
      </c>
      <c r="D14" s="3"/>
      <c r="E14" s="3"/>
      <c r="F14" s="3"/>
      <c r="G14" s="3"/>
      <c r="H14" s="3"/>
      <c r="I14" s="3"/>
      <c r="J14" s="3"/>
      <c r="K14" s="3"/>
      <c r="L14" s="3">
        <v>11</v>
      </c>
      <c r="M14" s="3"/>
      <c r="N14" s="3">
        <v>1</v>
      </c>
      <c r="O14" s="3">
        <v>0</v>
      </c>
      <c r="P14" s="3">
        <v>39</v>
      </c>
      <c r="Q14" s="3">
        <v>47</v>
      </c>
      <c r="R14" s="3">
        <v>68</v>
      </c>
      <c r="S14" s="3">
        <v>18</v>
      </c>
      <c r="T14" s="3">
        <v>78</v>
      </c>
      <c r="U14" s="3">
        <v>8</v>
      </c>
      <c r="V14" s="3">
        <v>1</v>
      </c>
      <c r="W14" s="3">
        <v>10</v>
      </c>
      <c r="X14" s="3">
        <v>20</v>
      </c>
      <c r="Y14" s="3">
        <v>1</v>
      </c>
      <c r="Z14" s="3">
        <v>136</v>
      </c>
      <c r="AA14" s="3">
        <v>49</v>
      </c>
      <c r="AB14" s="3"/>
      <c r="AC14" s="3">
        <v>97</v>
      </c>
      <c r="AD14" s="3">
        <v>4</v>
      </c>
      <c r="AE14" s="3">
        <v>7</v>
      </c>
      <c r="AF14" s="3">
        <v>0</v>
      </c>
      <c r="AG14" s="3">
        <v>0</v>
      </c>
      <c r="AH14" s="3">
        <v>0</v>
      </c>
      <c r="AI14" s="3">
        <v>93</v>
      </c>
      <c r="AJ14" s="3">
        <v>66</v>
      </c>
      <c r="AK14" s="3">
        <v>0</v>
      </c>
      <c r="AL14" s="3">
        <v>2</v>
      </c>
      <c r="AM14" s="3">
        <v>52</v>
      </c>
      <c r="AN14" s="3">
        <v>0</v>
      </c>
    </row>
    <row r="15" spans="1:40" x14ac:dyDescent="0.3">
      <c r="A15" s="122">
        <v>175</v>
      </c>
      <c r="B15" s="3">
        <v>33</v>
      </c>
      <c r="C15" s="3">
        <v>12</v>
      </c>
      <c r="D15" s="3">
        <v>15</v>
      </c>
      <c r="E15" s="3"/>
      <c r="F15" s="3"/>
      <c r="G15" s="3">
        <v>0</v>
      </c>
      <c r="H15" s="3"/>
      <c r="I15" s="3"/>
      <c r="J15" s="3"/>
      <c r="K15" s="3"/>
      <c r="L15" s="3">
        <v>11</v>
      </c>
      <c r="M15" s="3"/>
      <c r="N15" s="3">
        <v>0</v>
      </c>
      <c r="O15" s="3">
        <v>0</v>
      </c>
      <c r="P15" s="3">
        <v>35</v>
      </c>
      <c r="Q15" s="3">
        <v>54</v>
      </c>
      <c r="R15" s="3">
        <v>134</v>
      </c>
      <c r="S15" s="3">
        <v>21</v>
      </c>
      <c r="T15" s="3">
        <v>32</v>
      </c>
      <c r="U15" s="3">
        <v>76</v>
      </c>
      <c r="V15" s="3">
        <v>3</v>
      </c>
      <c r="W15" s="3">
        <v>9</v>
      </c>
      <c r="X15" s="3">
        <v>36</v>
      </c>
      <c r="Y15" s="3">
        <v>0</v>
      </c>
      <c r="Z15" s="3">
        <v>36</v>
      </c>
      <c r="AA15" s="3">
        <v>58</v>
      </c>
      <c r="AB15" s="3"/>
      <c r="AC15" s="3">
        <v>61</v>
      </c>
      <c r="AD15" s="3">
        <v>7</v>
      </c>
      <c r="AE15" s="3">
        <v>0</v>
      </c>
      <c r="AF15" s="3">
        <v>0</v>
      </c>
      <c r="AG15" s="3">
        <v>0</v>
      </c>
      <c r="AH15" s="3">
        <v>2</v>
      </c>
      <c r="AI15" s="3">
        <v>667</v>
      </c>
      <c r="AJ15" s="3">
        <v>349</v>
      </c>
      <c r="AK15" s="3">
        <v>1</v>
      </c>
      <c r="AL15" s="3">
        <v>6</v>
      </c>
      <c r="AM15" s="3">
        <v>170</v>
      </c>
      <c r="AN15" s="3">
        <v>0</v>
      </c>
    </row>
    <row r="16" spans="1:40" x14ac:dyDescent="0.3">
      <c r="A16" s="122">
        <v>176</v>
      </c>
      <c r="B16" s="3">
        <v>11</v>
      </c>
      <c r="C16" s="3">
        <v>4</v>
      </c>
      <c r="D16" s="3">
        <v>40</v>
      </c>
      <c r="E16" s="3"/>
      <c r="F16" s="3"/>
      <c r="G16" s="3">
        <v>0</v>
      </c>
      <c r="H16" s="3">
        <v>1</v>
      </c>
      <c r="I16" s="3"/>
      <c r="J16" s="3"/>
      <c r="K16" s="3"/>
      <c r="L16" s="3">
        <v>11</v>
      </c>
      <c r="M16" s="3"/>
      <c r="N16" s="3">
        <v>0</v>
      </c>
      <c r="O16" s="3">
        <v>0</v>
      </c>
      <c r="P16" s="3">
        <v>10</v>
      </c>
      <c r="Q16" s="3">
        <v>277</v>
      </c>
      <c r="R16" s="3">
        <v>67</v>
      </c>
      <c r="S16" s="3">
        <v>10</v>
      </c>
      <c r="T16" s="3">
        <v>51</v>
      </c>
      <c r="U16" s="3">
        <v>135</v>
      </c>
      <c r="V16" s="3">
        <v>1</v>
      </c>
      <c r="W16" s="3">
        <v>4</v>
      </c>
      <c r="X16" s="3">
        <v>23</v>
      </c>
      <c r="Y16" s="3">
        <v>0</v>
      </c>
      <c r="Z16" s="3">
        <v>33</v>
      </c>
      <c r="AA16" s="3">
        <v>47</v>
      </c>
      <c r="AB16" s="3">
        <v>246</v>
      </c>
      <c r="AC16" s="3">
        <v>63</v>
      </c>
      <c r="AD16" s="3">
        <v>1</v>
      </c>
      <c r="AE16" s="3">
        <v>12</v>
      </c>
      <c r="AF16" s="3">
        <v>18</v>
      </c>
      <c r="AG16" s="3">
        <v>0</v>
      </c>
      <c r="AH16" s="3">
        <v>120</v>
      </c>
      <c r="AI16" s="3">
        <v>535</v>
      </c>
      <c r="AJ16" s="3">
        <v>155</v>
      </c>
      <c r="AK16" s="3">
        <v>2</v>
      </c>
      <c r="AL16" s="3">
        <v>1</v>
      </c>
      <c r="AM16" s="3">
        <v>334</v>
      </c>
      <c r="AN16" s="3">
        <v>6</v>
      </c>
    </row>
    <row r="17" spans="1:40" x14ac:dyDescent="0.3">
      <c r="A17" s="122">
        <v>177</v>
      </c>
      <c r="B17" s="3">
        <v>93</v>
      </c>
      <c r="C17" s="3">
        <v>3</v>
      </c>
      <c r="D17" s="3">
        <v>40</v>
      </c>
      <c r="E17" s="3">
        <v>8</v>
      </c>
      <c r="F17" s="3">
        <v>13</v>
      </c>
      <c r="G17" s="3">
        <v>0</v>
      </c>
      <c r="H17" s="3">
        <v>0</v>
      </c>
      <c r="I17" s="3"/>
      <c r="J17" s="3"/>
      <c r="K17" s="3"/>
      <c r="L17" s="3">
        <v>18</v>
      </c>
      <c r="M17" s="3"/>
      <c r="N17" s="3">
        <v>0</v>
      </c>
      <c r="O17" s="3">
        <v>3</v>
      </c>
      <c r="P17" s="3">
        <v>7</v>
      </c>
      <c r="Q17" s="3">
        <v>30</v>
      </c>
      <c r="R17" s="3">
        <v>125</v>
      </c>
      <c r="S17" s="3">
        <v>7</v>
      </c>
      <c r="T17" s="3">
        <v>156</v>
      </c>
      <c r="U17" s="3">
        <v>524</v>
      </c>
      <c r="V17" s="3">
        <v>8</v>
      </c>
      <c r="W17" s="3">
        <v>10</v>
      </c>
      <c r="X17" s="3">
        <v>74</v>
      </c>
      <c r="Y17" s="3">
        <v>2</v>
      </c>
      <c r="Z17" s="3">
        <v>103</v>
      </c>
      <c r="AA17" s="3">
        <v>71</v>
      </c>
      <c r="AB17" s="3">
        <v>160</v>
      </c>
      <c r="AC17" s="3">
        <v>44</v>
      </c>
      <c r="AD17" s="3">
        <v>13</v>
      </c>
      <c r="AE17" s="3">
        <v>52</v>
      </c>
      <c r="AF17" s="3">
        <v>0</v>
      </c>
      <c r="AG17" s="3">
        <v>0</v>
      </c>
      <c r="AH17" s="3">
        <v>65</v>
      </c>
      <c r="AI17" s="3">
        <v>92</v>
      </c>
      <c r="AJ17" s="3">
        <v>143</v>
      </c>
      <c r="AK17" s="3">
        <v>3</v>
      </c>
      <c r="AL17" s="3">
        <v>81</v>
      </c>
      <c r="AM17" s="3">
        <v>108</v>
      </c>
      <c r="AN17" s="3">
        <v>358</v>
      </c>
    </row>
    <row r="18" spans="1:40" x14ac:dyDescent="0.3">
      <c r="A18" s="122">
        <v>178</v>
      </c>
      <c r="B18" s="3">
        <v>38</v>
      </c>
      <c r="C18" s="3">
        <v>3</v>
      </c>
      <c r="D18" s="3">
        <v>67</v>
      </c>
      <c r="E18" s="3">
        <v>1</v>
      </c>
      <c r="F18" s="3">
        <v>11</v>
      </c>
      <c r="G18" s="3">
        <v>1</v>
      </c>
      <c r="H18" s="3">
        <v>0</v>
      </c>
      <c r="I18" s="3"/>
      <c r="J18" s="3"/>
      <c r="K18" s="3"/>
      <c r="L18" s="3">
        <v>24</v>
      </c>
      <c r="M18" s="3">
        <v>28</v>
      </c>
      <c r="N18" s="3">
        <v>0</v>
      </c>
      <c r="O18" s="3">
        <v>3</v>
      </c>
      <c r="P18" s="3">
        <v>285</v>
      </c>
      <c r="Q18" s="3">
        <v>105</v>
      </c>
      <c r="R18" s="3">
        <v>149</v>
      </c>
      <c r="S18" s="3">
        <v>2</v>
      </c>
      <c r="T18" s="3">
        <v>155</v>
      </c>
      <c r="U18" s="3">
        <v>411</v>
      </c>
      <c r="V18" s="3">
        <v>16</v>
      </c>
      <c r="W18" s="3">
        <v>31</v>
      </c>
      <c r="X18" s="3">
        <v>54</v>
      </c>
      <c r="Y18" s="3">
        <v>7</v>
      </c>
      <c r="Z18" s="3">
        <v>561</v>
      </c>
      <c r="AA18" s="3">
        <v>89</v>
      </c>
      <c r="AB18" s="3">
        <v>143</v>
      </c>
      <c r="AC18" s="3">
        <v>15</v>
      </c>
      <c r="AD18" s="3">
        <v>2</v>
      </c>
      <c r="AE18" s="3">
        <v>14</v>
      </c>
      <c r="AF18" s="3">
        <v>4</v>
      </c>
      <c r="AG18" s="3">
        <v>0</v>
      </c>
      <c r="AH18" s="3">
        <v>66</v>
      </c>
      <c r="AI18" s="3">
        <v>311</v>
      </c>
      <c r="AJ18" s="3">
        <v>50</v>
      </c>
      <c r="AK18" s="3">
        <v>0</v>
      </c>
      <c r="AL18" s="3">
        <v>260</v>
      </c>
      <c r="AM18" s="3">
        <v>1055</v>
      </c>
      <c r="AN18" s="3">
        <v>535</v>
      </c>
    </row>
    <row r="19" spans="1:40" x14ac:dyDescent="0.3">
      <c r="A19" s="122">
        <v>179</v>
      </c>
      <c r="B19" s="3">
        <v>47</v>
      </c>
      <c r="C19" s="3">
        <v>47</v>
      </c>
      <c r="D19" s="3">
        <v>464</v>
      </c>
      <c r="E19" s="3">
        <v>0</v>
      </c>
      <c r="F19" s="3">
        <v>12</v>
      </c>
      <c r="G19" s="3">
        <v>0</v>
      </c>
      <c r="H19" s="3">
        <v>0</v>
      </c>
      <c r="I19" s="3"/>
      <c r="J19" s="3"/>
      <c r="K19" s="3"/>
      <c r="L19" s="3">
        <v>4</v>
      </c>
      <c r="M19" s="3">
        <v>32</v>
      </c>
      <c r="N19" s="3">
        <v>0</v>
      </c>
      <c r="O19" s="3">
        <v>1</v>
      </c>
      <c r="P19" s="3">
        <v>228</v>
      </c>
      <c r="Q19" s="3">
        <v>234</v>
      </c>
      <c r="R19" s="3">
        <v>31</v>
      </c>
      <c r="S19" s="3">
        <v>16</v>
      </c>
      <c r="T19" s="3">
        <v>92</v>
      </c>
      <c r="U19" s="3">
        <v>61</v>
      </c>
      <c r="V19" s="3">
        <v>9</v>
      </c>
      <c r="W19" s="3">
        <v>39</v>
      </c>
      <c r="X19" s="3">
        <v>42</v>
      </c>
      <c r="Y19" s="3">
        <v>11</v>
      </c>
      <c r="Z19" s="3">
        <v>343</v>
      </c>
      <c r="AA19" s="3">
        <v>9</v>
      </c>
      <c r="AB19" s="3">
        <v>71</v>
      </c>
      <c r="AC19" s="3">
        <v>63</v>
      </c>
      <c r="AD19" s="3">
        <v>0</v>
      </c>
      <c r="AE19" s="3">
        <v>0</v>
      </c>
      <c r="AF19" s="3">
        <v>2</v>
      </c>
      <c r="AG19" s="3">
        <v>19</v>
      </c>
      <c r="AH19" s="3">
        <v>41</v>
      </c>
      <c r="AI19" s="3">
        <v>205</v>
      </c>
      <c r="AJ19" s="3">
        <v>927</v>
      </c>
      <c r="AK19" s="3">
        <v>13</v>
      </c>
      <c r="AL19" s="3">
        <v>69</v>
      </c>
      <c r="AM19" s="3">
        <v>193</v>
      </c>
      <c r="AN19" s="3">
        <v>0</v>
      </c>
    </row>
    <row r="20" spans="1:40" x14ac:dyDescent="0.3">
      <c r="A20" s="122">
        <v>180</v>
      </c>
      <c r="B20" s="3">
        <v>42</v>
      </c>
      <c r="C20" s="3">
        <v>36</v>
      </c>
      <c r="D20" s="3">
        <v>274</v>
      </c>
      <c r="E20" s="3">
        <v>2</v>
      </c>
      <c r="F20" s="3">
        <v>12</v>
      </c>
      <c r="G20" s="3">
        <v>37</v>
      </c>
      <c r="H20" s="3">
        <v>0</v>
      </c>
      <c r="I20" s="3">
        <v>0</v>
      </c>
      <c r="J20" s="3"/>
      <c r="K20" s="3"/>
      <c r="L20" s="3">
        <v>2</v>
      </c>
      <c r="M20" s="3">
        <v>147</v>
      </c>
      <c r="N20" s="3">
        <v>180</v>
      </c>
      <c r="O20" s="3">
        <v>2</v>
      </c>
      <c r="P20" s="3">
        <v>28</v>
      </c>
      <c r="Q20" s="3">
        <v>167</v>
      </c>
      <c r="R20" s="3">
        <v>18</v>
      </c>
      <c r="S20" s="3">
        <v>7</v>
      </c>
      <c r="T20" s="3">
        <v>89</v>
      </c>
      <c r="U20" s="3">
        <v>46</v>
      </c>
      <c r="V20" s="3">
        <v>15</v>
      </c>
      <c r="W20" s="3">
        <v>54</v>
      </c>
      <c r="X20" s="3">
        <v>1</v>
      </c>
      <c r="Y20" s="3">
        <v>48</v>
      </c>
      <c r="Z20" s="3">
        <v>201</v>
      </c>
      <c r="AA20" s="3">
        <v>514</v>
      </c>
      <c r="AB20" s="3">
        <v>44</v>
      </c>
      <c r="AC20" s="3">
        <v>401</v>
      </c>
      <c r="AD20" s="3">
        <v>2</v>
      </c>
      <c r="AE20" s="3">
        <v>2</v>
      </c>
      <c r="AF20" s="3">
        <v>3</v>
      </c>
      <c r="AG20" s="3">
        <v>36</v>
      </c>
      <c r="AH20" s="3">
        <v>59</v>
      </c>
      <c r="AI20" s="3">
        <v>537</v>
      </c>
      <c r="AJ20" s="3">
        <v>124</v>
      </c>
      <c r="AK20" s="3">
        <v>12</v>
      </c>
      <c r="AL20" s="3">
        <v>160</v>
      </c>
      <c r="AM20" s="3">
        <v>32</v>
      </c>
      <c r="AN20" s="3">
        <v>799</v>
      </c>
    </row>
    <row r="21" spans="1:40" x14ac:dyDescent="0.3">
      <c r="A21" s="122">
        <v>181</v>
      </c>
      <c r="B21" s="3">
        <v>118</v>
      </c>
      <c r="C21" s="3">
        <v>4</v>
      </c>
      <c r="D21" s="3">
        <v>144</v>
      </c>
      <c r="E21" s="3">
        <v>2</v>
      </c>
      <c r="F21" s="3">
        <v>0</v>
      </c>
      <c r="G21" s="3">
        <v>8</v>
      </c>
      <c r="H21" s="3">
        <v>0</v>
      </c>
      <c r="I21" s="3">
        <v>0</v>
      </c>
      <c r="J21" s="3">
        <v>0</v>
      </c>
      <c r="K21" s="3"/>
      <c r="L21" s="3">
        <v>17</v>
      </c>
      <c r="M21" s="3">
        <v>85</v>
      </c>
      <c r="N21" s="3">
        <v>54</v>
      </c>
      <c r="O21" s="3">
        <v>6</v>
      </c>
      <c r="P21" s="3">
        <v>42</v>
      </c>
      <c r="Q21" s="3">
        <v>253</v>
      </c>
      <c r="R21" s="3">
        <v>187</v>
      </c>
      <c r="S21" s="3">
        <v>7</v>
      </c>
      <c r="T21" s="3">
        <v>438</v>
      </c>
      <c r="U21" s="3">
        <v>820</v>
      </c>
      <c r="V21" s="3">
        <v>21</v>
      </c>
      <c r="W21" s="3">
        <v>77</v>
      </c>
      <c r="X21" s="3">
        <v>38</v>
      </c>
      <c r="Y21" s="3">
        <v>24</v>
      </c>
      <c r="Z21" s="3">
        <v>930</v>
      </c>
      <c r="AA21" s="3">
        <v>368</v>
      </c>
      <c r="AB21" s="3">
        <v>28</v>
      </c>
      <c r="AC21" s="3">
        <v>183</v>
      </c>
      <c r="AD21" s="3">
        <v>3</v>
      </c>
      <c r="AE21" s="3">
        <v>1</v>
      </c>
      <c r="AF21" s="3">
        <v>9</v>
      </c>
      <c r="AG21" s="3">
        <v>0</v>
      </c>
      <c r="AH21" s="3">
        <v>522</v>
      </c>
      <c r="AI21" s="3">
        <v>425</v>
      </c>
      <c r="AJ21" s="3">
        <v>146</v>
      </c>
      <c r="AK21" s="3">
        <v>93</v>
      </c>
      <c r="AL21" s="3">
        <v>176</v>
      </c>
      <c r="AM21" s="3">
        <v>3</v>
      </c>
      <c r="AN21" s="3">
        <v>502</v>
      </c>
    </row>
    <row r="22" spans="1:40" x14ac:dyDescent="0.3">
      <c r="A22" s="122">
        <v>182</v>
      </c>
      <c r="B22" s="3">
        <v>171</v>
      </c>
      <c r="C22" s="3">
        <v>53</v>
      </c>
      <c r="D22" s="3">
        <v>148</v>
      </c>
      <c r="E22" s="3">
        <v>7</v>
      </c>
      <c r="F22" s="3">
        <v>8</v>
      </c>
      <c r="G22" s="3">
        <v>3</v>
      </c>
      <c r="H22" s="3">
        <v>0</v>
      </c>
      <c r="I22" s="3">
        <v>0</v>
      </c>
      <c r="J22" s="3">
        <v>0</v>
      </c>
      <c r="K22" s="3"/>
      <c r="L22" s="3">
        <v>29</v>
      </c>
      <c r="M22" s="3">
        <v>109</v>
      </c>
      <c r="N22" s="3">
        <v>92</v>
      </c>
      <c r="O22" s="3">
        <v>3</v>
      </c>
      <c r="P22" s="3">
        <v>195</v>
      </c>
      <c r="Q22" s="3">
        <v>210</v>
      </c>
      <c r="R22" s="3">
        <v>180</v>
      </c>
      <c r="S22" s="3">
        <v>7</v>
      </c>
      <c r="T22" s="3">
        <v>267</v>
      </c>
      <c r="U22" s="3">
        <v>410</v>
      </c>
      <c r="V22" s="3">
        <v>24</v>
      </c>
      <c r="W22" s="3">
        <v>91</v>
      </c>
      <c r="X22" s="3">
        <v>8</v>
      </c>
      <c r="Y22" s="3">
        <v>74</v>
      </c>
      <c r="Z22" s="3">
        <v>197</v>
      </c>
      <c r="AA22" s="3">
        <v>433</v>
      </c>
      <c r="AB22" s="3">
        <v>142</v>
      </c>
      <c r="AC22" s="3">
        <v>71</v>
      </c>
      <c r="AD22" s="3">
        <v>3</v>
      </c>
      <c r="AE22" s="3">
        <v>17</v>
      </c>
      <c r="AF22" s="3">
        <v>1</v>
      </c>
      <c r="AG22" s="3">
        <v>0</v>
      </c>
      <c r="AH22" s="3">
        <v>201</v>
      </c>
      <c r="AI22" s="3">
        <v>1030</v>
      </c>
      <c r="AJ22" s="3">
        <v>304</v>
      </c>
      <c r="AK22" s="3">
        <v>2</v>
      </c>
      <c r="AL22" s="3">
        <v>437</v>
      </c>
      <c r="AM22" s="3">
        <v>457</v>
      </c>
      <c r="AN22" s="3">
        <v>869</v>
      </c>
    </row>
    <row r="23" spans="1:40" x14ac:dyDescent="0.3">
      <c r="A23" s="122">
        <v>183</v>
      </c>
      <c r="B23" s="3">
        <v>342</v>
      </c>
      <c r="C23" s="3">
        <v>312</v>
      </c>
      <c r="D23" s="3">
        <v>223</v>
      </c>
      <c r="E23" s="3">
        <v>2</v>
      </c>
      <c r="F23" s="3">
        <v>3</v>
      </c>
      <c r="G23" s="3">
        <v>8</v>
      </c>
      <c r="H23" s="3">
        <v>0</v>
      </c>
      <c r="I23" s="3">
        <v>0</v>
      </c>
      <c r="J23" s="3">
        <v>5</v>
      </c>
      <c r="K23" s="3"/>
      <c r="L23" s="3">
        <v>44</v>
      </c>
      <c r="M23" s="3">
        <v>219</v>
      </c>
      <c r="N23" s="3">
        <v>648</v>
      </c>
      <c r="O23" s="3">
        <v>3</v>
      </c>
      <c r="P23" s="3">
        <v>453</v>
      </c>
      <c r="Q23" s="3">
        <v>97</v>
      </c>
      <c r="R23" s="3">
        <v>269</v>
      </c>
      <c r="S23" s="3">
        <v>0</v>
      </c>
      <c r="T23" s="3">
        <v>104</v>
      </c>
      <c r="U23" s="3">
        <v>579</v>
      </c>
      <c r="V23" s="3">
        <v>24</v>
      </c>
      <c r="W23" s="3">
        <v>40</v>
      </c>
      <c r="X23" s="3">
        <v>25</v>
      </c>
      <c r="Y23" s="3">
        <v>77</v>
      </c>
      <c r="Z23" s="3">
        <v>1099</v>
      </c>
      <c r="AA23" s="3">
        <v>300</v>
      </c>
      <c r="AB23" s="3">
        <v>215</v>
      </c>
      <c r="AC23" s="3">
        <v>155</v>
      </c>
      <c r="AD23" s="3">
        <v>6</v>
      </c>
      <c r="AE23" s="3">
        <v>0</v>
      </c>
      <c r="AF23" s="3">
        <v>3</v>
      </c>
      <c r="AG23" s="3">
        <v>42</v>
      </c>
      <c r="AH23" s="3">
        <v>55</v>
      </c>
      <c r="AI23" s="3">
        <v>1548</v>
      </c>
      <c r="AJ23" s="3">
        <v>91</v>
      </c>
      <c r="AK23" s="3">
        <v>1</v>
      </c>
      <c r="AL23" s="3">
        <v>176</v>
      </c>
      <c r="AM23" s="3">
        <v>255</v>
      </c>
      <c r="AN23" s="3">
        <v>205</v>
      </c>
    </row>
    <row r="24" spans="1:40" x14ac:dyDescent="0.3">
      <c r="A24" s="122">
        <v>184</v>
      </c>
      <c r="B24" s="3">
        <v>417</v>
      </c>
      <c r="C24" s="3">
        <v>382</v>
      </c>
      <c r="D24" s="3">
        <v>178</v>
      </c>
      <c r="E24" s="3">
        <v>2</v>
      </c>
      <c r="F24" s="3">
        <v>47</v>
      </c>
      <c r="G24" s="3">
        <v>11</v>
      </c>
      <c r="H24" s="3">
        <v>3</v>
      </c>
      <c r="I24" s="3">
        <v>0</v>
      </c>
      <c r="J24" s="3">
        <v>19</v>
      </c>
      <c r="K24" s="3"/>
      <c r="L24" s="3">
        <v>23</v>
      </c>
      <c r="M24" s="3">
        <v>202</v>
      </c>
      <c r="N24" s="3">
        <v>67</v>
      </c>
      <c r="O24" s="3">
        <v>14</v>
      </c>
      <c r="P24" s="3">
        <v>169</v>
      </c>
      <c r="Q24" s="3">
        <v>79</v>
      </c>
      <c r="R24" s="3">
        <v>300</v>
      </c>
      <c r="S24" s="3">
        <v>1</v>
      </c>
      <c r="T24" s="3">
        <v>491</v>
      </c>
      <c r="U24" s="3">
        <v>502</v>
      </c>
      <c r="V24" s="3">
        <v>17</v>
      </c>
      <c r="W24" s="3">
        <v>55</v>
      </c>
      <c r="X24" s="3">
        <v>11</v>
      </c>
      <c r="Y24" s="3">
        <v>65</v>
      </c>
      <c r="Z24" s="3">
        <v>104</v>
      </c>
      <c r="AA24" s="3">
        <v>21</v>
      </c>
      <c r="AB24" s="3">
        <v>4</v>
      </c>
      <c r="AC24" s="3">
        <v>1146</v>
      </c>
      <c r="AD24" s="3">
        <v>3</v>
      </c>
      <c r="AE24" s="3">
        <v>11</v>
      </c>
      <c r="AF24" s="3">
        <v>1</v>
      </c>
      <c r="AG24" s="3">
        <v>10</v>
      </c>
      <c r="AH24" s="3">
        <v>576</v>
      </c>
      <c r="AI24" s="3">
        <v>999</v>
      </c>
      <c r="AJ24" s="3">
        <v>244</v>
      </c>
      <c r="AK24" s="3">
        <v>5</v>
      </c>
      <c r="AL24" s="3">
        <v>121</v>
      </c>
      <c r="AM24" s="3">
        <v>96</v>
      </c>
      <c r="AN24" s="3">
        <v>157</v>
      </c>
    </row>
    <row r="25" spans="1:40" x14ac:dyDescent="0.3">
      <c r="A25" s="122">
        <v>185</v>
      </c>
      <c r="B25" s="3">
        <v>110</v>
      </c>
      <c r="C25" s="3">
        <v>135</v>
      </c>
      <c r="D25" s="3">
        <v>135</v>
      </c>
      <c r="E25" s="3">
        <v>8</v>
      </c>
      <c r="F25" s="3">
        <v>13</v>
      </c>
      <c r="G25" s="3">
        <v>108</v>
      </c>
      <c r="H25" s="3">
        <v>3</v>
      </c>
      <c r="I25" s="3">
        <v>2</v>
      </c>
      <c r="J25" s="3">
        <v>13</v>
      </c>
      <c r="K25" s="3"/>
      <c r="L25" s="3">
        <v>9</v>
      </c>
      <c r="M25" s="3">
        <v>680</v>
      </c>
      <c r="N25" s="3">
        <v>366</v>
      </c>
      <c r="O25" s="3">
        <v>13</v>
      </c>
      <c r="P25" s="3">
        <v>135</v>
      </c>
      <c r="Q25" s="3">
        <v>570</v>
      </c>
      <c r="R25" s="3">
        <v>391</v>
      </c>
      <c r="S25" s="3">
        <v>0</v>
      </c>
      <c r="T25" s="3">
        <v>159</v>
      </c>
      <c r="U25" s="3">
        <v>38</v>
      </c>
      <c r="V25" s="3">
        <v>15</v>
      </c>
      <c r="W25" s="3">
        <v>44</v>
      </c>
      <c r="X25" s="3">
        <v>4</v>
      </c>
      <c r="Y25" s="3">
        <v>145</v>
      </c>
      <c r="Z25" s="3">
        <v>433</v>
      </c>
      <c r="AA25" s="3">
        <v>634</v>
      </c>
      <c r="AB25" s="3">
        <v>0</v>
      </c>
      <c r="AC25" s="3">
        <v>43</v>
      </c>
      <c r="AD25" s="3">
        <v>120</v>
      </c>
      <c r="AE25" s="3">
        <v>2</v>
      </c>
      <c r="AF25" s="3">
        <v>18</v>
      </c>
      <c r="AG25" s="3">
        <v>92</v>
      </c>
      <c r="AH25" s="3">
        <v>736</v>
      </c>
      <c r="AI25" s="3">
        <v>1252</v>
      </c>
      <c r="AJ25" s="3">
        <v>44</v>
      </c>
      <c r="AK25" s="3">
        <v>197</v>
      </c>
      <c r="AL25" s="3">
        <v>10</v>
      </c>
      <c r="AM25" s="3">
        <v>1180</v>
      </c>
      <c r="AN25" s="3">
        <v>345</v>
      </c>
    </row>
    <row r="26" spans="1:40" x14ac:dyDescent="0.3">
      <c r="A26" s="122">
        <v>186</v>
      </c>
      <c r="B26" s="3">
        <v>162</v>
      </c>
      <c r="C26" s="3">
        <v>60</v>
      </c>
      <c r="D26" s="3">
        <v>193</v>
      </c>
      <c r="E26" s="3">
        <v>17</v>
      </c>
      <c r="F26" s="3">
        <v>0</v>
      </c>
      <c r="G26" s="3">
        <v>69</v>
      </c>
      <c r="H26" s="3">
        <v>2</v>
      </c>
      <c r="I26" s="3">
        <v>0</v>
      </c>
      <c r="J26" s="3">
        <v>0</v>
      </c>
      <c r="K26" s="3"/>
      <c r="L26" s="3">
        <v>586</v>
      </c>
      <c r="M26" s="3">
        <v>826</v>
      </c>
      <c r="N26" s="3">
        <v>373</v>
      </c>
      <c r="O26" s="3">
        <v>42</v>
      </c>
      <c r="P26" s="3">
        <v>237</v>
      </c>
      <c r="Q26" s="3">
        <v>442</v>
      </c>
      <c r="R26" s="3">
        <v>310</v>
      </c>
      <c r="S26" s="3">
        <v>0</v>
      </c>
      <c r="T26" s="3">
        <v>169</v>
      </c>
      <c r="U26" s="3">
        <v>112</v>
      </c>
      <c r="V26" s="3">
        <v>3</v>
      </c>
      <c r="W26" s="3">
        <v>61</v>
      </c>
      <c r="X26" s="3">
        <v>11</v>
      </c>
      <c r="Y26" s="3">
        <v>2042</v>
      </c>
      <c r="Z26" s="3">
        <v>201</v>
      </c>
      <c r="AA26" s="3">
        <v>371</v>
      </c>
      <c r="AB26" s="3">
        <v>1</v>
      </c>
      <c r="AC26" s="3">
        <v>643</v>
      </c>
      <c r="AD26" s="3">
        <v>137</v>
      </c>
      <c r="AE26" s="3">
        <v>45</v>
      </c>
      <c r="AF26" s="3">
        <v>71</v>
      </c>
      <c r="AG26" s="3">
        <v>19</v>
      </c>
      <c r="AH26" s="3">
        <v>119</v>
      </c>
      <c r="AI26" s="3">
        <v>2059</v>
      </c>
      <c r="AJ26" s="3">
        <v>129</v>
      </c>
      <c r="AK26" s="3">
        <v>0</v>
      </c>
      <c r="AL26" s="3">
        <v>458</v>
      </c>
      <c r="AM26" s="3">
        <v>0</v>
      </c>
      <c r="AN26" s="3">
        <v>1221</v>
      </c>
    </row>
    <row r="27" spans="1:40" x14ac:dyDescent="0.3">
      <c r="A27" s="122">
        <v>187</v>
      </c>
      <c r="B27" s="3">
        <v>121</v>
      </c>
      <c r="C27" s="3">
        <v>19</v>
      </c>
      <c r="D27" s="3">
        <v>170</v>
      </c>
      <c r="E27" s="3">
        <v>4</v>
      </c>
      <c r="F27" s="3">
        <v>13</v>
      </c>
      <c r="G27" s="3">
        <v>133</v>
      </c>
      <c r="H27" s="3">
        <v>1</v>
      </c>
      <c r="I27" s="3">
        <v>19</v>
      </c>
      <c r="J27" s="3">
        <v>16</v>
      </c>
      <c r="K27" s="3"/>
      <c r="L27" s="3">
        <v>16</v>
      </c>
      <c r="M27" s="3">
        <v>341</v>
      </c>
      <c r="N27" s="3">
        <v>42</v>
      </c>
      <c r="O27" s="3">
        <v>22</v>
      </c>
      <c r="P27" s="3">
        <v>452</v>
      </c>
      <c r="Q27" s="3">
        <v>511</v>
      </c>
      <c r="R27" s="3">
        <v>103</v>
      </c>
      <c r="S27" s="3">
        <v>0</v>
      </c>
      <c r="T27" s="3">
        <v>152</v>
      </c>
      <c r="U27" s="3">
        <v>2356</v>
      </c>
      <c r="V27" s="3">
        <v>12</v>
      </c>
      <c r="W27" s="3">
        <v>85</v>
      </c>
      <c r="X27" s="3">
        <v>87</v>
      </c>
      <c r="Y27" s="3">
        <v>77</v>
      </c>
      <c r="Z27" s="3">
        <v>1187</v>
      </c>
      <c r="AA27" s="3">
        <v>973</v>
      </c>
      <c r="AB27" s="3">
        <v>714</v>
      </c>
      <c r="AC27" s="3">
        <v>663</v>
      </c>
      <c r="AD27" s="3">
        <v>24</v>
      </c>
      <c r="AE27" s="3">
        <v>3</v>
      </c>
      <c r="AF27" s="3">
        <v>7</v>
      </c>
      <c r="AG27" s="3">
        <v>38</v>
      </c>
      <c r="AH27" s="3">
        <v>144</v>
      </c>
      <c r="AI27" s="3">
        <v>1530</v>
      </c>
      <c r="AJ27" s="3">
        <v>156</v>
      </c>
      <c r="AK27" s="3">
        <v>2</v>
      </c>
      <c r="AL27" s="3">
        <v>59</v>
      </c>
      <c r="AM27" s="3">
        <v>1518</v>
      </c>
      <c r="AN27" s="3">
        <v>13</v>
      </c>
    </row>
    <row r="28" spans="1:40" x14ac:dyDescent="0.3">
      <c r="A28" s="122">
        <v>188</v>
      </c>
      <c r="B28" s="3">
        <v>33</v>
      </c>
      <c r="C28" s="3">
        <v>54</v>
      </c>
      <c r="D28" s="3">
        <v>73</v>
      </c>
      <c r="E28" s="3">
        <v>31</v>
      </c>
      <c r="F28" s="3">
        <v>16</v>
      </c>
      <c r="G28" s="3">
        <v>22</v>
      </c>
      <c r="H28" s="3">
        <v>1</v>
      </c>
      <c r="I28" s="3">
        <v>1</v>
      </c>
      <c r="J28" s="3">
        <v>80</v>
      </c>
      <c r="K28" s="3"/>
      <c r="L28" s="3">
        <v>258</v>
      </c>
      <c r="M28" s="3">
        <v>614</v>
      </c>
      <c r="N28" s="3">
        <v>293</v>
      </c>
      <c r="O28" s="3">
        <v>14</v>
      </c>
      <c r="P28" s="3">
        <v>307</v>
      </c>
      <c r="Q28" s="3">
        <v>411</v>
      </c>
      <c r="R28" s="3">
        <v>308</v>
      </c>
      <c r="S28" s="3">
        <v>0</v>
      </c>
      <c r="T28" s="3">
        <v>458</v>
      </c>
      <c r="U28" s="3">
        <v>1300</v>
      </c>
      <c r="V28" s="3">
        <v>14</v>
      </c>
      <c r="W28" s="3">
        <v>97</v>
      </c>
      <c r="X28" s="3">
        <v>78</v>
      </c>
      <c r="Y28" s="3">
        <v>58</v>
      </c>
      <c r="Z28" s="3">
        <v>1084</v>
      </c>
      <c r="AA28" s="3">
        <v>469</v>
      </c>
      <c r="AB28" s="3">
        <v>3245</v>
      </c>
      <c r="AC28" s="3">
        <v>130</v>
      </c>
      <c r="AD28" s="3">
        <v>18</v>
      </c>
      <c r="AE28" s="3">
        <v>29</v>
      </c>
      <c r="AF28" s="3">
        <v>596</v>
      </c>
      <c r="AG28" s="3">
        <v>6</v>
      </c>
      <c r="AH28" s="3">
        <v>259</v>
      </c>
      <c r="AI28" s="3">
        <v>701</v>
      </c>
      <c r="AJ28" s="3">
        <v>473</v>
      </c>
      <c r="AK28" s="3">
        <v>2</v>
      </c>
      <c r="AL28" s="3">
        <v>188</v>
      </c>
      <c r="AM28" s="3">
        <v>162</v>
      </c>
      <c r="AN28" s="3">
        <v>1480</v>
      </c>
    </row>
    <row r="29" spans="1:40" x14ac:dyDescent="0.3">
      <c r="A29" s="122">
        <v>189</v>
      </c>
      <c r="B29" s="3">
        <v>61</v>
      </c>
      <c r="C29" s="3">
        <v>191</v>
      </c>
      <c r="D29" s="3">
        <v>217</v>
      </c>
      <c r="E29" s="3">
        <v>5</v>
      </c>
      <c r="F29" s="3">
        <v>3</v>
      </c>
      <c r="G29" s="3">
        <v>26</v>
      </c>
      <c r="H29" s="3">
        <v>31</v>
      </c>
      <c r="I29" s="3">
        <v>4</v>
      </c>
      <c r="J29" s="3">
        <v>182</v>
      </c>
      <c r="K29" s="3"/>
      <c r="L29" s="3">
        <v>410</v>
      </c>
      <c r="M29" s="3">
        <v>1026</v>
      </c>
      <c r="N29" s="3">
        <v>108</v>
      </c>
      <c r="O29" s="3">
        <v>25</v>
      </c>
      <c r="P29" s="3">
        <v>602</v>
      </c>
      <c r="Q29" s="3">
        <v>717</v>
      </c>
      <c r="R29" s="3">
        <v>508</v>
      </c>
      <c r="S29" s="3">
        <v>5</v>
      </c>
      <c r="T29" s="3">
        <v>554</v>
      </c>
      <c r="U29" s="3">
        <v>240</v>
      </c>
      <c r="V29" s="3">
        <v>22</v>
      </c>
      <c r="W29" s="3">
        <v>31</v>
      </c>
      <c r="X29" s="3">
        <v>280</v>
      </c>
      <c r="Y29" s="3">
        <v>41</v>
      </c>
      <c r="Z29" s="3">
        <v>1461</v>
      </c>
      <c r="AA29" s="3">
        <v>274</v>
      </c>
      <c r="AB29" s="3">
        <v>2800</v>
      </c>
      <c r="AC29" s="3">
        <v>1791</v>
      </c>
      <c r="AD29" s="3">
        <v>227</v>
      </c>
      <c r="AE29" s="3">
        <v>23</v>
      </c>
      <c r="AF29" s="3">
        <v>976</v>
      </c>
      <c r="AG29" s="3">
        <v>22</v>
      </c>
      <c r="AH29" s="3">
        <v>356</v>
      </c>
      <c r="AI29" s="3">
        <v>138</v>
      </c>
      <c r="AJ29" s="3">
        <v>246</v>
      </c>
      <c r="AK29" s="3">
        <v>6</v>
      </c>
      <c r="AL29" s="3">
        <v>7</v>
      </c>
      <c r="AM29" s="3">
        <v>267</v>
      </c>
      <c r="AN29" s="3">
        <v>1335</v>
      </c>
    </row>
    <row r="30" spans="1:40" x14ac:dyDescent="0.3">
      <c r="A30" s="122">
        <v>190</v>
      </c>
      <c r="B30" s="3">
        <v>129</v>
      </c>
      <c r="C30" s="3">
        <v>768</v>
      </c>
      <c r="D30" s="3">
        <v>404</v>
      </c>
      <c r="E30" s="3">
        <v>15</v>
      </c>
      <c r="F30" s="3">
        <v>2</v>
      </c>
      <c r="G30" s="3">
        <v>34</v>
      </c>
      <c r="H30" s="3">
        <v>20</v>
      </c>
      <c r="I30" s="3">
        <v>20</v>
      </c>
      <c r="J30" s="3">
        <v>645</v>
      </c>
      <c r="K30" s="3"/>
      <c r="L30" s="3">
        <v>327</v>
      </c>
      <c r="M30" s="3">
        <v>691</v>
      </c>
      <c r="N30" s="3">
        <v>234</v>
      </c>
      <c r="O30" s="3">
        <v>17</v>
      </c>
      <c r="P30" s="3">
        <v>1408</v>
      </c>
      <c r="Q30" s="3">
        <v>207</v>
      </c>
      <c r="R30" s="3">
        <v>591</v>
      </c>
      <c r="S30" s="3">
        <v>29</v>
      </c>
      <c r="T30" s="3">
        <v>315</v>
      </c>
      <c r="U30" s="3">
        <v>242</v>
      </c>
      <c r="V30" s="3">
        <v>13</v>
      </c>
      <c r="W30" s="3">
        <v>41</v>
      </c>
      <c r="X30" s="3">
        <v>316</v>
      </c>
      <c r="Y30" s="3">
        <v>46</v>
      </c>
      <c r="Z30" s="3">
        <v>1048</v>
      </c>
      <c r="AA30" s="3">
        <v>86</v>
      </c>
      <c r="AB30" s="3">
        <v>307</v>
      </c>
      <c r="AC30" s="3">
        <v>519</v>
      </c>
      <c r="AD30" s="3">
        <v>99</v>
      </c>
      <c r="AE30" s="3">
        <v>412</v>
      </c>
      <c r="AF30" s="3">
        <v>673</v>
      </c>
      <c r="AG30" s="3">
        <v>1</v>
      </c>
      <c r="AH30" s="3">
        <v>38</v>
      </c>
      <c r="AI30" s="3">
        <v>1026</v>
      </c>
      <c r="AJ30" s="3">
        <v>439</v>
      </c>
      <c r="AK30" s="3">
        <v>516</v>
      </c>
      <c r="AL30" s="3">
        <v>563</v>
      </c>
      <c r="AM30" s="3">
        <v>977</v>
      </c>
      <c r="AN30" s="3">
        <v>2473</v>
      </c>
    </row>
    <row r="31" spans="1:40" x14ac:dyDescent="0.3">
      <c r="A31" s="122">
        <v>191</v>
      </c>
      <c r="B31" s="3">
        <v>366</v>
      </c>
      <c r="C31" s="3">
        <v>361</v>
      </c>
      <c r="D31" s="3">
        <v>1289</v>
      </c>
      <c r="E31" s="3">
        <v>7</v>
      </c>
      <c r="F31" s="3">
        <v>12</v>
      </c>
      <c r="G31" s="3">
        <v>71</v>
      </c>
      <c r="H31" s="3">
        <v>3</v>
      </c>
      <c r="I31" s="3">
        <v>473</v>
      </c>
      <c r="J31" s="3">
        <v>256</v>
      </c>
      <c r="K31" s="3"/>
      <c r="L31" s="3">
        <v>52</v>
      </c>
      <c r="M31" s="3">
        <v>921</v>
      </c>
      <c r="N31" s="3">
        <v>485</v>
      </c>
      <c r="O31" s="3">
        <v>10</v>
      </c>
      <c r="P31" s="3">
        <v>246</v>
      </c>
      <c r="Q31" s="3">
        <v>218</v>
      </c>
      <c r="R31" s="3">
        <v>565</v>
      </c>
      <c r="S31" s="3">
        <v>1165</v>
      </c>
      <c r="T31" s="3">
        <v>1072</v>
      </c>
      <c r="U31" s="3">
        <v>133</v>
      </c>
      <c r="V31" s="3">
        <v>4</v>
      </c>
      <c r="W31" s="3">
        <v>123</v>
      </c>
      <c r="X31" s="3">
        <v>80</v>
      </c>
      <c r="Y31" s="3">
        <v>911</v>
      </c>
      <c r="Z31" s="3">
        <v>269</v>
      </c>
      <c r="AA31" s="3">
        <v>150</v>
      </c>
      <c r="AB31" s="3">
        <v>633</v>
      </c>
      <c r="AC31" s="3">
        <v>702</v>
      </c>
      <c r="AD31" s="3">
        <v>138</v>
      </c>
      <c r="AE31" s="3">
        <v>332</v>
      </c>
      <c r="AF31" s="3">
        <v>300</v>
      </c>
      <c r="AG31" s="3">
        <v>34</v>
      </c>
      <c r="AH31" s="3">
        <v>122</v>
      </c>
      <c r="AI31" s="3">
        <v>279</v>
      </c>
      <c r="AJ31" s="3">
        <v>120</v>
      </c>
      <c r="AK31" s="3">
        <v>398</v>
      </c>
      <c r="AL31" s="3">
        <v>1150</v>
      </c>
      <c r="AM31" s="3">
        <v>392</v>
      </c>
      <c r="AN31" s="3">
        <v>10</v>
      </c>
    </row>
    <row r="32" spans="1:40" x14ac:dyDescent="0.3">
      <c r="A32" s="122">
        <v>192</v>
      </c>
      <c r="B32" s="3">
        <v>549</v>
      </c>
      <c r="C32" s="3">
        <v>712</v>
      </c>
      <c r="D32" s="3">
        <v>1135</v>
      </c>
      <c r="E32" s="3">
        <v>20</v>
      </c>
      <c r="F32" s="3">
        <v>36</v>
      </c>
      <c r="G32" s="3">
        <v>463</v>
      </c>
      <c r="H32" s="3">
        <v>5</v>
      </c>
      <c r="I32" s="3">
        <v>452</v>
      </c>
      <c r="J32" s="3">
        <v>63</v>
      </c>
      <c r="K32" s="3"/>
      <c r="L32" s="3">
        <v>971</v>
      </c>
      <c r="M32" s="3">
        <v>1430</v>
      </c>
      <c r="N32" s="3">
        <v>713</v>
      </c>
      <c r="O32" s="3">
        <v>16</v>
      </c>
      <c r="P32" s="3">
        <v>511</v>
      </c>
      <c r="Q32" s="3">
        <v>1080</v>
      </c>
      <c r="R32" s="3">
        <v>348</v>
      </c>
      <c r="S32" s="3">
        <v>129</v>
      </c>
      <c r="T32" s="3">
        <v>1</v>
      </c>
      <c r="U32" s="3">
        <v>196</v>
      </c>
      <c r="V32" s="3">
        <v>51</v>
      </c>
      <c r="W32" s="3">
        <v>96</v>
      </c>
      <c r="X32" s="3">
        <v>1057</v>
      </c>
      <c r="Y32" s="3">
        <v>1981</v>
      </c>
      <c r="Z32" s="3">
        <v>87</v>
      </c>
      <c r="AA32" s="3">
        <v>218</v>
      </c>
      <c r="AB32" s="3">
        <v>157</v>
      </c>
      <c r="AC32" s="3">
        <v>1260</v>
      </c>
      <c r="AD32" s="3">
        <v>200</v>
      </c>
      <c r="AE32" s="3">
        <v>366</v>
      </c>
      <c r="AF32" s="3">
        <v>212</v>
      </c>
      <c r="AG32" s="3">
        <v>2</v>
      </c>
      <c r="AH32" s="3">
        <v>771</v>
      </c>
      <c r="AI32" s="3">
        <v>917</v>
      </c>
      <c r="AJ32" s="3">
        <v>1408</v>
      </c>
      <c r="AK32" s="3">
        <v>175</v>
      </c>
      <c r="AL32" s="3">
        <v>678</v>
      </c>
      <c r="AM32" s="3">
        <v>59</v>
      </c>
      <c r="AN32" s="3">
        <v>3005</v>
      </c>
    </row>
    <row r="33" spans="1:40" x14ac:dyDescent="0.3">
      <c r="A33" s="122">
        <v>193</v>
      </c>
      <c r="B33" s="3">
        <v>426</v>
      </c>
      <c r="C33" s="3">
        <v>116</v>
      </c>
      <c r="D33" s="3">
        <v>1814</v>
      </c>
      <c r="E33" s="3">
        <v>7</v>
      </c>
      <c r="F33" s="3">
        <v>50</v>
      </c>
      <c r="G33" s="3">
        <v>251</v>
      </c>
      <c r="H33" s="3">
        <v>539</v>
      </c>
      <c r="I33" s="3">
        <v>76</v>
      </c>
      <c r="J33" s="3">
        <v>144</v>
      </c>
      <c r="K33" s="3"/>
      <c r="L33" s="3">
        <v>455</v>
      </c>
      <c r="M33" s="3">
        <v>162</v>
      </c>
      <c r="N33" s="3">
        <v>573</v>
      </c>
      <c r="O33" s="3">
        <v>37</v>
      </c>
      <c r="P33" s="3">
        <v>390</v>
      </c>
      <c r="Q33" s="3">
        <v>34</v>
      </c>
      <c r="R33" s="3">
        <v>301</v>
      </c>
      <c r="S33" s="3">
        <v>53</v>
      </c>
      <c r="T33" s="3">
        <v>234</v>
      </c>
      <c r="U33" s="3">
        <v>2680</v>
      </c>
      <c r="V33" s="3">
        <v>58</v>
      </c>
      <c r="W33" s="3">
        <v>50</v>
      </c>
      <c r="X33" s="3">
        <v>1735</v>
      </c>
      <c r="Y33" s="3">
        <v>153</v>
      </c>
      <c r="Z33" s="3">
        <v>580</v>
      </c>
      <c r="AA33" s="3">
        <v>293</v>
      </c>
      <c r="AB33" s="3">
        <v>425</v>
      </c>
      <c r="AC33" s="3">
        <v>1562</v>
      </c>
      <c r="AD33" s="3">
        <v>77</v>
      </c>
      <c r="AE33" s="3">
        <v>1355</v>
      </c>
      <c r="AF33" s="3">
        <v>183</v>
      </c>
      <c r="AG33" s="3">
        <v>134</v>
      </c>
      <c r="AH33" s="3">
        <v>498</v>
      </c>
      <c r="AI33" s="3">
        <v>744</v>
      </c>
      <c r="AJ33" s="3">
        <v>772</v>
      </c>
      <c r="AK33" s="3">
        <v>255</v>
      </c>
      <c r="AL33" s="3">
        <v>282</v>
      </c>
      <c r="AM33" s="3">
        <v>857</v>
      </c>
      <c r="AN33" s="3">
        <v>546</v>
      </c>
    </row>
    <row r="34" spans="1:40" x14ac:dyDescent="0.3">
      <c r="A34" s="122">
        <v>194</v>
      </c>
      <c r="B34" s="3">
        <v>361</v>
      </c>
      <c r="C34" s="3">
        <v>508</v>
      </c>
      <c r="D34" s="3">
        <v>666</v>
      </c>
      <c r="E34" s="3">
        <v>1</v>
      </c>
      <c r="F34" s="3">
        <v>7</v>
      </c>
      <c r="G34" s="3">
        <v>116</v>
      </c>
      <c r="H34" s="3">
        <v>353</v>
      </c>
      <c r="I34" s="3">
        <v>998</v>
      </c>
      <c r="J34" s="3">
        <v>211</v>
      </c>
      <c r="K34" s="3"/>
      <c r="L34" s="3">
        <v>898</v>
      </c>
      <c r="M34" s="3">
        <v>1059</v>
      </c>
      <c r="N34" s="3">
        <v>630</v>
      </c>
      <c r="O34" s="3">
        <v>235</v>
      </c>
      <c r="P34" s="3">
        <v>61</v>
      </c>
      <c r="Q34" s="3">
        <v>328</v>
      </c>
      <c r="R34" s="3">
        <v>475</v>
      </c>
      <c r="S34" s="3">
        <v>772</v>
      </c>
      <c r="T34" s="3">
        <v>1307</v>
      </c>
      <c r="U34" s="3">
        <v>1167</v>
      </c>
      <c r="V34" s="3">
        <v>41</v>
      </c>
      <c r="W34" s="3">
        <v>67</v>
      </c>
      <c r="X34" s="3">
        <v>768</v>
      </c>
      <c r="Y34" s="3">
        <v>625</v>
      </c>
      <c r="Z34" s="3">
        <v>1209</v>
      </c>
      <c r="AA34" s="3">
        <v>1451</v>
      </c>
      <c r="AB34" s="3">
        <v>229</v>
      </c>
      <c r="AC34" s="3">
        <v>1978</v>
      </c>
      <c r="AD34" s="3">
        <v>11</v>
      </c>
      <c r="AE34" s="3">
        <v>415</v>
      </c>
      <c r="AF34" s="3">
        <v>123</v>
      </c>
      <c r="AG34" s="3">
        <v>119</v>
      </c>
      <c r="AH34" s="3">
        <v>904</v>
      </c>
      <c r="AI34" s="3">
        <v>1146</v>
      </c>
      <c r="AJ34" s="3">
        <v>152</v>
      </c>
      <c r="AK34" s="3">
        <v>157</v>
      </c>
      <c r="AL34" s="3">
        <v>580</v>
      </c>
      <c r="AM34" s="3">
        <v>684</v>
      </c>
      <c r="AN34" s="3">
        <v>1258</v>
      </c>
    </row>
    <row r="35" spans="1:40" x14ac:dyDescent="0.3">
      <c r="A35" s="122">
        <v>195</v>
      </c>
      <c r="B35" s="3">
        <v>592</v>
      </c>
      <c r="C35" s="3">
        <v>994</v>
      </c>
      <c r="D35" s="3">
        <v>684</v>
      </c>
      <c r="E35" s="3">
        <v>1</v>
      </c>
      <c r="F35" s="3">
        <v>97</v>
      </c>
      <c r="G35" s="3">
        <v>205</v>
      </c>
      <c r="H35" s="3">
        <v>58</v>
      </c>
      <c r="I35" s="3">
        <v>134</v>
      </c>
      <c r="J35" s="3">
        <v>250</v>
      </c>
      <c r="K35" s="3"/>
      <c r="L35" s="3">
        <v>605</v>
      </c>
      <c r="M35" s="3">
        <v>702</v>
      </c>
      <c r="N35" s="3">
        <v>223</v>
      </c>
      <c r="O35" s="3">
        <v>87</v>
      </c>
      <c r="P35" s="3">
        <v>1312</v>
      </c>
      <c r="Q35" s="3">
        <v>406</v>
      </c>
      <c r="R35" s="3">
        <v>507</v>
      </c>
      <c r="S35" s="3">
        <v>7</v>
      </c>
      <c r="T35" s="3">
        <v>417</v>
      </c>
      <c r="U35" s="3">
        <v>1659</v>
      </c>
      <c r="V35" s="3">
        <v>65</v>
      </c>
      <c r="W35" s="3">
        <v>56</v>
      </c>
      <c r="X35" s="3">
        <v>204</v>
      </c>
      <c r="Y35" s="3">
        <v>1063</v>
      </c>
      <c r="Z35" s="3">
        <v>3878</v>
      </c>
      <c r="AA35" s="3">
        <v>497</v>
      </c>
      <c r="AB35" s="3">
        <v>536</v>
      </c>
      <c r="AC35" s="3">
        <v>447</v>
      </c>
      <c r="AD35" s="3">
        <v>45</v>
      </c>
      <c r="AE35" s="3">
        <v>197</v>
      </c>
      <c r="AF35" s="3">
        <v>290</v>
      </c>
      <c r="AG35" s="3">
        <v>267</v>
      </c>
      <c r="AH35" s="3">
        <v>2015</v>
      </c>
      <c r="AI35" s="3">
        <v>792</v>
      </c>
      <c r="AJ35" s="3">
        <v>48</v>
      </c>
      <c r="AK35" s="3">
        <v>301</v>
      </c>
      <c r="AL35" s="3">
        <v>1361</v>
      </c>
      <c r="AM35" s="3">
        <v>1137</v>
      </c>
      <c r="AN35" s="3">
        <v>3697</v>
      </c>
    </row>
    <row r="36" spans="1:40" x14ac:dyDescent="0.3">
      <c r="A36" s="122">
        <v>196</v>
      </c>
      <c r="B36" s="3">
        <v>715</v>
      </c>
      <c r="C36" s="3">
        <v>308</v>
      </c>
      <c r="D36" s="3">
        <v>1229</v>
      </c>
      <c r="E36" s="3">
        <v>3</v>
      </c>
      <c r="F36" s="3">
        <v>12</v>
      </c>
      <c r="G36" s="3">
        <v>530</v>
      </c>
      <c r="H36" s="3">
        <v>17</v>
      </c>
      <c r="I36" s="3">
        <v>8</v>
      </c>
      <c r="J36" s="3">
        <v>359</v>
      </c>
      <c r="K36" s="3"/>
      <c r="L36" s="3">
        <v>231</v>
      </c>
      <c r="M36" s="3">
        <v>1083</v>
      </c>
      <c r="N36" s="3">
        <v>1085</v>
      </c>
      <c r="O36" s="3">
        <v>44</v>
      </c>
      <c r="P36" s="3">
        <v>1734</v>
      </c>
      <c r="Q36" s="3">
        <v>847</v>
      </c>
      <c r="R36" s="3">
        <v>24</v>
      </c>
      <c r="S36" s="3">
        <v>313</v>
      </c>
      <c r="T36" s="3">
        <v>1254</v>
      </c>
      <c r="U36" s="3">
        <v>680</v>
      </c>
      <c r="V36" s="3">
        <v>53</v>
      </c>
      <c r="W36" s="3">
        <v>50</v>
      </c>
      <c r="X36" s="3">
        <v>124</v>
      </c>
      <c r="Y36" s="3">
        <v>1443</v>
      </c>
      <c r="Z36" s="3">
        <v>1939</v>
      </c>
      <c r="AA36" s="3">
        <v>2027</v>
      </c>
      <c r="AB36" s="3">
        <v>2256</v>
      </c>
      <c r="AC36" s="3">
        <v>2429</v>
      </c>
      <c r="AD36" s="3">
        <v>27</v>
      </c>
      <c r="AE36" s="3">
        <v>583</v>
      </c>
      <c r="AF36" s="3">
        <v>467</v>
      </c>
      <c r="AG36" s="3">
        <v>213</v>
      </c>
      <c r="AH36" s="3">
        <v>923</v>
      </c>
      <c r="AI36" s="3">
        <v>266</v>
      </c>
      <c r="AJ36" s="3">
        <v>443</v>
      </c>
      <c r="AK36" s="3">
        <v>52</v>
      </c>
      <c r="AL36" s="3">
        <v>6</v>
      </c>
      <c r="AM36" s="3">
        <v>495</v>
      </c>
      <c r="AN36" s="3">
        <v>130</v>
      </c>
    </row>
    <row r="37" spans="1:40" x14ac:dyDescent="0.3">
      <c r="A37" s="122">
        <v>197</v>
      </c>
      <c r="B37" s="3">
        <v>751</v>
      </c>
      <c r="C37" s="3">
        <v>298</v>
      </c>
      <c r="D37" s="3">
        <v>803</v>
      </c>
      <c r="E37" s="3">
        <v>0</v>
      </c>
      <c r="F37" s="3">
        <v>0</v>
      </c>
      <c r="G37" s="3">
        <v>433</v>
      </c>
      <c r="H37" s="3">
        <v>92</v>
      </c>
      <c r="I37" s="3">
        <v>1</v>
      </c>
      <c r="J37" s="3">
        <v>143</v>
      </c>
      <c r="K37" s="3"/>
      <c r="L37" s="3">
        <v>1847</v>
      </c>
      <c r="M37" s="3">
        <v>295</v>
      </c>
      <c r="N37" s="3">
        <v>1093</v>
      </c>
      <c r="O37" s="3">
        <v>18</v>
      </c>
      <c r="P37" s="3">
        <v>268</v>
      </c>
      <c r="Q37" s="3">
        <v>657</v>
      </c>
      <c r="R37" s="3">
        <v>1598</v>
      </c>
      <c r="S37" s="3">
        <v>537</v>
      </c>
      <c r="T37" s="3">
        <v>683</v>
      </c>
      <c r="U37" s="3">
        <v>153</v>
      </c>
      <c r="V37" s="3">
        <v>84</v>
      </c>
      <c r="W37" s="3">
        <v>105</v>
      </c>
      <c r="X37" s="3">
        <v>839</v>
      </c>
      <c r="Y37" s="3">
        <v>1723</v>
      </c>
      <c r="Z37" s="3">
        <v>409</v>
      </c>
      <c r="AA37" s="3">
        <v>502</v>
      </c>
      <c r="AB37" s="3">
        <v>1828</v>
      </c>
      <c r="AC37" s="3">
        <v>990</v>
      </c>
      <c r="AD37" s="3">
        <v>65</v>
      </c>
      <c r="AE37" s="3">
        <v>264</v>
      </c>
      <c r="AF37" s="3">
        <v>351</v>
      </c>
      <c r="AG37" s="3">
        <v>136</v>
      </c>
      <c r="AH37" s="3">
        <v>660</v>
      </c>
      <c r="AI37" s="3">
        <v>346</v>
      </c>
      <c r="AJ37" s="3">
        <v>388</v>
      </c>
      <c r="AK37" s="3">
        <v>243</v>
      </c>
      <c r="AL37" s="3">
        <v>930</v>
      </c>
      <c r="AM37" s="3">
        <v>853</v>
      </c>
      <c r="AN37" s="3">
        <v>2517</v>
      </c>
    </row>
    <row r="38" spans="1:40" x14ac:dyDescent="0.3">
      <c r="A38" s="122">
        <v>198</v>
      </c>
      <c r="B38" s="3">
        <v>798</v>
      </c>
      <c r="C38" s="3">
        <v>351</v>
      </c>
      <c r="D38" s="3">
        <v>736</v>
      </c>
      <c r="E38" s="3">
        <v>4</v>
      </c>
      <c r="F38" s="3">
        <v>0</v>
      </c>
      <c r="G38" s="3">
        <v>456</v>
      </c>
      <c r="H38" s="3">
        <v>14</v>
      </c>
      <c r="I38" s="3">
        <v>115</v>
      </c>
      <c r="J38" s="3">
        <v>26</v>
      </c>
      <c r="K38" s="3"/>
      <c r="L38" s="3">
        <v>1321</v>
      </c>
      <c r="M38" s="3">
        <v>1019</v>
      </c>
      <c r="N38" s="3">
        <v>437</v>
      </c>
      <c r="O38" s="3">
        <v>20</v>
      </c>
      <c r="P38" s="3">
        <v>347</v>
      </c>
      <c r="Q38" s="3">
        <v>1173</v>
      </c>
      <c r="R38" s="3">
        <v>44</v>
      </c>
      <c r="S38" s="3">
        <v>320</v>
      </c>
      <c r="T38" s="3">
        <v>215</v>
      </c>
      <c r="U38" s="3">
        <v>40</v>
      </c>
      <c r="V38" s="3">
        <v>69</v>
      </c>
      <c r="W38" s="3">
        <v>61</v>
      </c>
      <c r="X38" s="3">
        <v>276</v>
      </c>
      <c r="Y38" s="3">
        <v>889</v>
      </c>
      <c r="Z38" s="3">
        <v>3981</v>
      </c>
      <c r="AA38" s="3">
        <v>363</v>
      </c>
      <c r="AB38" s="3">
        <v>919</v>
      </c>
      <c r="AC38" s="3">
        <v>751</v>
      </c>
      <c r="AD38" s="3">
        <v>40</v>
      </c>
      <c r="AE38" s="3">
        <v>4</v>
      </c>
      <c r="AF38" s="3">
        <v>171</v>
      </c>
      <c r="AG38" s="3">
        <v>400</v>
      </c>
      <c r="AH38" s="3">
        <v>1523</v>
      </c>
      <c r="AI38" s="3">
        <v>189</v>
      </c>
      <c r="AJ38" s="3">
        <v>598</v>
      </c>
      <c r="AK38" s="3">
        <v>312</v>
      </c>
      <c r="AL38" s="3">
        <v>422</v>
      </c>
      <c r="AM38" s="3">
        <v>372</v>
      </c>
      <c r="AN38" s="3">
        <v>1861</v>
      </c>
    </row>
    <row r="39" spans="1:40" x14ac:dyDescent="0.3">
      <c r="A39" s="122">
        <v>199</v>
      </c>
      <c r="B39" s="3">
        <v>970</v>
      </c>
      <c r="C39" s="3">
        <v>665</v>
      </c>
      <c r="D39" s="3">
        <v>315</v>
      </c>
      <c r="E39" s="3">
        <v>0</v>
      </c>
      <c r="F39" s="3">
        <v>2</v>
      </c>
      <c r="G39" s="3">
        <v>131</v>
      </c>
      <c r="H39" s="3">
        <v>72</v>
      </c>
      <c r="I39" s="3">
        <v>78</v>
      </c>
      <c r="J39" s="3">
        <v>8</v>
      </c>
      <c r="K39" s="3"/>
      <c r="L39" s="3">
        <v>209</v>
      </c>
      <c r="M39" s="3">
        <v>1763</v>
      </c>
      <c r="N39" s="3">
        <v>296</v>
      </c>
      <c r="O39" s="3">
        <v>1</v>
      </c>
      <c r="P39" s="3">
        <v>425</v>
      </c>
      <c r="Q39" s="3">
        <v>1290</v>
      </c>
      <c r="R39" s="3">
        <v>13</v>
      </c>
      <c r="S39" s="3">
        <v>102</v>
      </c>
      <c r="T39" s="3">
        <v>513</v>
      </c>
      <c r="U39" s="3">
        <v>319</v>
      </c>
      <c r="V39" s="3">
        <v>38</v>
      </c>
      <c r="W39" s="3">
        <v>74</v>
      </c>
      <c r="X39" s="3">
        <v>437</v>
      </c>
      <c r="Y39" s="3">
        <v>747</v>
      </c>
      <c r="Z39" s="3">
        <v>183</v>
      </c>
      <c r="AA39" s="3">
        <v>1067</v>
      </c>
      <c r="AB39" s="3">
        <v>1076</v>
      </c>
      <c r="AC39" s="3">
        <v>495</v>
      </c>
      <c r="AD39" s="3">
        <v>14</v>
      </c>
      <c r="AE39" s="3">
        <v>368</v>
      </c>
      <c r="AF39" s="3">
        <v>322</v>
      </c>
      <c r="AG39" s="3">
        <v>210</v>
      </c>
      <c r="AH39" s="3">
        <v>500</v>
      </c>
      <c r="AI39" s="3">
        <v>1491</v>
      </c>
      <c r="AJ39" s="3">
        <v>160</v>
      </c>
      <c r="AK39" s="3">
        <v>86</v>
      </c>
      <c r="AL39" s="3">
        <v>2</v>
      </c>
      <c r="AM39" s="3">
        <v>551</v>
      </c>
      <c r="AN39" s="3">
        <v>1901</v>
      </c>
    </row>
    <row r="40" spans="1:40" x14ac:dyDescent="0.3">
      <c r="A40" s="122">
        <v>200</v>
      </c>
      <c r="B40" s="3">
        <v>680</v>
      </c>
      <c r="C40" s="3">
        <v>845</v>
      </c>
      <c r="D40" s="3">
        <v>645</v>
      </c>
      <c r="E40" s="3">
        <v>1</v>
      </c>
      <c r="F40" s="3">
        <v>0</v>
      </c>
      <c r="G40" s="3">
        <v>97</v>
      </c>
      <c r="H40" s="3">
        <v>466</v>
      </c>
      <c r="I40" s="3">
        <v>102</v>
      </c>
      <c r="J40" s="3">
        <v>176</v>
      </c>
      <c r="K40" s="3"/>
      <c r="L40" s="3">
        <v>207</v>
      </c>
      <c r="M40" s="3">
        <v>2019</v>
      </c>
      <c r="N40" s="3">
        <v>790</v>
      </c>
      <c r="O40" s="3">
        <v>32</v>
      </c>
      <c r="P40" s="3">
        <v>338</v>
      </c>
      <c r="Q40" s="3">
        <v>128</v>
      </c>
      <c r="R40" s="3">
        <v>548</v>
      </c>
      <c r="S40" s="3">
        <v>366</v>
      </c>
      <c r="T40" s="3">
        <v>32</v>
      </c>
      <c r="U40" s="3">
        <v>238</v>
      </c>
      <c r="V40" s="3">
        <v>36</v>
      </c>
      <c r="W40" s="3">
        <v>186</v>
      </c>
      <c r="X40" s="3">
        <v>581</v>
      </c>
      <c r="Y40" s="3">
        <v>1598</v>
      </c>
      <c r="Z40" s="3">
        <v>148</v>
      </c>
      <c r="AA40" s="3">
        <v>89</v>
      </c>
      <c r="AB40" s="3">
        <v>2889</v>
      </c>
      <c r="AC40" s="3">
        <v>641</v>
      </c>
      <c r="AD40" s="3">
        <v>24</v>
      </c>
      <c r="AE40" s="3">
        <v>35</v>
      </c>
      <c r="AF40" s="3">
        <v>183</v>
      </c>
      <c r="AG40" s="3">
        <v>1179</v>
      </c>
      <c r="AH40" s="3">
        <v>489</v>
      </c>
      <c r="AI40" s="3">
        <v>1692</v>
      </c>
      <c r="AJ40" s="3">
        <v>480</v>
      </c>
      <c r="AK40" s="3">
        <v>19</v>
      </c>
      <c r="AL40" s="3">
        <v>453</v>
      </c>
      <c r="AM40" s="3">
        <v>2239</v>
      </c>
      <c r="AN40" s="3">
        <v>4062</v>
      </c>
    </row>
    <row r="41" spans="1:40" x14ac:dyDescent="0.3">
      <c r="A41" s="122">
        <v>201</v>
      </c>
      <c r="B41" s="3">
        <v>705</v>
      </c>
      <c r="C41" s="3">
        <v>634</v>
      </c>
      <c r="D41" s="3">
        <v>519</v>
      </c>
      <c r="E41" s="3">
        <v>18</v>
      </c>
      <c r="F41" s="3">
        <v>7</v>
      </c>
      <c r="G41" s="3">
        <v>419</v>
      </c>
      <c r="H41" s="3">
        <v>174</v>
      </c>
      <c r="I41" s="3">
        <v>320</v>
      </c>
      <c r="J41" s="3">
        <v>63</v>
      </c>
      <c r="K41" s="3"/>
      <c r="L41" s="3">
        <v>241</v>
      </c>
      <c r="M41" s="3">
        <v>1110</v>
      </c>
      <c r="N41" s="3">
        <v>1565</v>
      </c>
      <c r="O41" s="3">
        <v>26</v>
      </c>
      <c r="P41" s="3">
        <v>489</v>
      </c>
      <c r="Q41" s="3">
        <v>1372</v>
      </c>
      <c r="R41" s="3">
        <v>871</v>
      </c>
      <c r="S41" s="3">
        <v>68</v>
      </c>
      <c r="T41" s="3">
        <v>288</v>
      </c>
      <c r="U41" s="3">
        <v>2165</v>
      </c>
      <c r="V41" s="3">
        <v>62</v>
      </c>
      <c r="W41" s="3">
        <v>34</v>
      </c>
      <c r="X41" s="3">
        <v>959</v>
      </c>
      <c r="Y41" s="3">
        <v>126</v>
      </c>
      <c r="Z41" s="3">
        <v>700</v>
      </c>
      <c r="AA41" s="3">
        <v>638</v>
      </c>
      <c r="AB41" s="3">
        <v>2674</v>
      </c>
      <c r="AC41" s="3">
        <v>801</v>
      </c>
      <c r="AD41" s="3">
        <v>45</v>
      </c>
      <c r="AE41" s="3">
        <v>320</v>
      </c>
      <c r="AF41" s="3">
        <v>206</v>
      </c>
      <c r="AG41" s="3">
        <v>365</v>
      </c>
      <c r="AH41" s="3">
        <v>825</v>
      </c>
      <c r="AI41" s="3">
        <v>410</v>
      </c>
      <c r="AJ41" s="3">
        <v>428</v>
      </c>
      <c r="AK41" s="3">
        <v>80</v>
      </c>
      <c r="AL41" s="3">
        <v>272</v>
      </c>
      <c r="AM41" s="3">
        <v>1893</v>
      </c>
      <c r="AN41" s="3">
        <v>420</v>
      </c>
    </row>
    <row r="42" spans="1:40" x14ac:dyDescent="0.3">
      <c r="A42" s="122">
        <v>202</v>
      </c>
      <c r="B42" s="3">
        <v>367</v>
      </c>
      <c r="C42" s="3">
        <v>642</v>
      </c>
      <c r="D42" s="3">
        <v>398</v>
      </c>
      <c r="E42" s="3">
        <v>15</v>
      </c>
      <c r="F42" s="3">
        <v>218</v>
      </c>
      <c r="G42" s="3">
        <v>223</v>
      </c>
      <c r="H42" s="3">
        <v>271</v>
      </c>
      <c r="I42" s="3">
        <v>149</v>
      </c>
      <c r="J42" s="3">
        <v>31</v>
      </c>
      <c r="K42" s="3"/>
      <c r="L42" s="3">
        <v>174</v>
      </c>
      <c r="M42" s="3">
        <v>1830</v>
      </c>
      <c r="N42" s="3">
        <v>682</v>
      </c>
      <c r="O42" s="3">
        <v>293</v>
      </c>
      <c r="P42" s="3">
        <v>309</v>
      </c>
      <c r="Q42" s="3">
        <v>444</v>
      </c>
      <c r="R42" s="3">
        <v>1109</v>
      </c>
      <c r="S42" s="3">
        <v>112</v>
      </c>
      <c r="T42" s="3">
        <v>706</v>
      </c>
      <c r="U42" s="3">
        <v>668</v>
      </c>
      <c r="V42" s="3">
        <v>52</v>
      </c>
      <c r="W42" s="3">
        <v>123</v>
      </c>
      <c r="X42" s="3">
        <v>1196</v>
      </c>
      <c r="Y42" s="3">
        <v>1670</v>
      </c>
      <c r="Z42" s="3">
        <v>510</v>
      </c>
      <c r="AA42" s="3">
        <v>2741</v>
      </c>
      <c r="AB42" s="3">
        <v>3837</v>
      </c>
      <c r="AC42" s="3">
        <v>455</v>
      </c>
      <c r="AD42" s="3">
        <v>116</v>
      </c>
      <c r="AE42" s="3">
        <v>772</v>
      </c>
      <c r="AF42" s="3">
        <v>332</v>
      </c>
      <c r="AG42" s="3">
        <v>304</v>
      </c>
      <c r="AH42" s="3">
        <v>1184</v>
      </c>
      <c r="AI42" s="3">
        <v>1051</v>
      </c>
      <c r="AJ42" s="3">
        <v>973</v>
      </c>
      <c r="AK42" s="3">
        <v>326</v>
      </c>
      <c r="AL42" s="3">
        <v>531</v>
      </c>
      <c r="AM42" s="3">
        <v>1692</v>
      </c>
      <c r="AN42" s="3">
        <v>626</v>
      </c>
    </row>
    <row r="43" spans="1:40" x14ac:dyDescent="0.3">
      <c r="A43" s="122">
        <v>203</v>
      </c>
      <c r="B43" s="3">
        <v>621</v>
      </c>
      <c r="C43" s="3">
        <v>648</v>
      </c>
      <c r="D43" s="3">
        <v>652</v>
      </c>
      <c r="E43" s="3">
        <v>5</v>
      </c>
      <c r="F43" s="3">
        <v>96</v>
      </c>
      <c r="G43" s="3">
        <v>204</v>
      </c>
      <c r="H43" s="3">
        <v>94</v>
      </c>
      <c r="I43" s="3">
        <v>224</v>
      </c>
      <c r="J43" s="3">
        <v>54</v>
      </c>
      <c r="K43" s="3"/>
      <c r="L43" s="3">
        <v>920</v>
      </c>
      <c r="M43" s="3">
        <v>805</v>
      </c>
      <c r="N43" s="3">
        <v>866</v>
      </c>
      <c r="O43" s="3">
        <v>370</v>
      </c>
      <c r="P43" s="3">
        <v>210</v>
      </c>
      <c r="Q43" s="3">
        <v>717</v>
      </c>
      <c r="R43" s="3">
        <v>20</v>
      </c>
      <c r="S43" s="3">
        <v>1039</v>
      </c>
      <c r="T43" s="3">
        <v>701</v>
      </c>
      <c r="U43" s="3">
        <v>537</v>
      </c>
      <c r="V43" s="3">
        <v>65</v>
      </c>
      <c r="W43" s="3">
        <v>41</v>
      </c>
      <c r="X43" s="3">
        <v>520</v>
      </c>
      <c r="Y43" s="3">
        <v>288</v>
      </c>
      <c r="Z43" s="3">
        <v>1336</v>
      </c>
      <c r="AA43" s="3">
        <v>525</v>
      </c>
      <c r="AB43" s="3">
        <v>7529</v>
      </c>
      <c r="AC43" s="3">
        <v>88</v>
      </c>
      <c r="AD43" s="3">
        <v>1159</v>
      </c>
      <c r="AE43" s="3">
        <v>23</v>
      </c>
      <c r="AF43" s="3">
        <v>409</v>
      </c>
      <c r="AG43" s="3">
        <v>98</v>
      </c>
      <c r="AH43" s="3">
        <v>1026</v>
      </c>
      <c r="AI43" s="3">
        <v>535</v>
      </c>
      <c r="AJ43" s="3">
        <v>223</v>
      </c>
      <c r="AK43" s="3">
        <v>118</v>
      </c>
      <c r="AL43" s="3">
        <v>117</v>
      </c>
      <c r="AM43" s="3">
        <v>899</v>
      </c>
      <c r="AN43" s="3">
        <v>1090</v>
      </c>
    </row>
    <row r="44" spans="1:40" x14ac:dyDescent="0.3">
      <c r="A44" s="122">
        <v>204</v>
      </c>
      <c r="B44" s="3">
        <v>608</v>
      </c>
      <c r="C44" s="3">
        <v>423</v>
      </c>
      <c r="D44" s="3">
        <v>777</v>
      </c>
      <c r="E44" s="3">
        <v>2</v>
      </c>
      <c r="F44" s="3">
        <v>220</v>
      </c>
      <c r="G44" s="3">
        <v>215</v>
      </c>
      <c r="H44" s="3">
        <v>424</v>
      </c>
      <c r="I44" s="3">
        <v>460</v>
      </c>
      <c r="J44" s="3">
        <v>507</v>
      </c>
      <c r="K44" s="3"/>
      <c r="L44" s="3">
        <v>964</v>
      </c>
      <c r="M44" s="3">
        <v>1734</v>
      </c>
      <c r="N44" s="3">
        <v>1360</v>
      </c>
      <c r="O44" s="3">
        <v>634</v>
      </c>
      <c r="P44" s="3">
        <v>262</v>
      </c>
      <c r="Q44" s="3">
        <v>1483</v>
      </c>
      <c r="R44" s="3">
        <v>450</v>
      </c>
      <c r="S44" s="3">
        <v>24</v>
      </c>
      <c r="T44" s="3">
        <v>156</v>
      </c>
      <c r="U44" s="3">
        <v>40</v>
      </c>
      <c r="V44" s="3">
        <v>111</v>
      </c>
      <c r="W44" s="3">
        <v>47</v>
      </c>
      <c r="X44" s="3">
        <v>2316</v>
      </c>
      <c r="Y44" s="3">
        <v>3641</v>
      </c>
      <c r="Z44" s="3">
        <v>183</v>
      </c>
      <c r="AA44" s="3">
        <v>175</v>
      </c>
      <c r="AB44" s="3">
        <v>5259</v>
      </c>
      <c r="AC44" s="3">
        <v>394</v>
      </c>
      <c r="AD44" s="3">
        <v>1200</v>
      </c>
      <c r="AE44" s="3">
        <v>150</v>
      </c>
      <c r="AF44" s="3">
        <v>581</v>
      </c>
      <c r="AG44" s="3">
        <v>484</v>
      </c>
      <c r="AH44" s="3">
        <v>1002</v>
      </c>
      <c r="AI44" s="3">
        <v>1153</v>
      </c>
      <c r="AJ44" s="3">
        <v>379</v>
      </c>
      <c r="AK44" s="3">
        <v>295</v>
      </c>
      <c r="AL44" s="3">
        <v>933</v>
      </c>
      <c r="AM44" s="3">
        <v>685</v>
      </c>
      <c r="AN44" s="3">
        <v>213</v>
      </c>
    </row>
    <row r="45" spans="1:40" x14ac:dyDescent="0.3">
      <c r="A45" s="122">
        <v>205</v>
      </c>
      <c r="B45" s="3">
        <v>356</v>
      </c>
      <c r="C45" s="3">
        <v>1197</v>
      </c>
      <c r="D45" s="3">
        <v>1841</v>
      </c>
      <c r="E45" s="3">
        <v>1</v>
      </c>
      <c r="F45" s="3">
        <v>1</v>
      </c>
      <c r="G45" s="3">
        <v>85</v>
      </c>
      <c r="H45" s="3">
        <v>90</v>
      </c>
      <c r="I45" s="3">
        <v>214</v>
      </c>
      <c r="J45" s="3">
        <v>457</v>
      </c>
      <c r="K45" s="3"/>
      <c r="L45" s="3">
        <v>740</v>
      </c>
      <c r="M45" s="3">
        <v>3743</v>
      </c>
      <c r="N45" s="3">
        <v>2041</v>
      </c>
      <c r="O45" s="3">
        <v>758</v>
      </c>
      <c r="P45" s="3">
        <v>976</v>
      </c>
      <c r="Q45" s="3">
        <v>752</v>
      </c>
      <c r="R45" s="3">
        <v>1075</v>
      </c>
      <c r="S45" s="3">
        <v>55</v>
      </c>
      <c r="T45" s="3">
        <v>80</v>
      </c>
      <c r="U45" s="3">
        <v>1709</v>
      </c>
      <c r="V45" s="3">
        <v>74</v>
      </c>
      <c r="W45" s="3">
        <v>121</v>
      </c>
      <c r="X45" s="3">
        <v>594</v>
      </c>
      <c r="Y45" s="3">
        <v>1425</v>
      </c>
      <c r="Z45" s="3">
        <v>224</v>
      </c>
      <c r="AA45" s="3">
        <v>209</v>
      </c>
      <c r="AB45" s="3">
        <v>4093</v>
      </c>
      <c r="AC45" s="3">
        <v>1416</v>
      </c>
      <c r="AD45" s="3">
        <v>84</v>
      </c>
      <c r="AE45" s="3">
        <v>255</v>
      </c>
      <c r="AF45" s="3">
        <v>628</v>
      </c>
      <c r="AG45" s="3">
        <v>1031</v>
      </c>
      <c r="AH45" s="3">
        <v>2010</v>
      </c>
      <c r="AI45" s="3">
        <v>1171</v>
      </c>
      <c r="AJ45" s="3">
        <v>329</v>
      </c>
      <c r="AK45" s="3">
        <v>323</v>
      </c>
      <c r="AL45" s="3">
        <v>77</v>
      </c>
      <c r="AM45" s="3">
        <v>1385</v>
      </c>
      <c r="AN45" s="3">
        <v>1217</v>
      </c>
    </row>
    <row r="46" spans="1:40" x14ac:dyDescent="0.3">
      <c r="A46" s="122">
        <v>206</v>
      </c>
      <c r="B46" s="3">
        <v>409</v>
      </c>
      <c r="C46" s="3">
        <v>677</v>
      </c>
      <c r="D46" s="3">
        <v>799</v>
      </c>
      <c r="E46" s="3">
        <v>4</v>
      </c>
      <c r="F46" s="3">
        <v>30</v>
      </c>
      <c r="G46" s="3">
        <v>1002</v>
      </c>
      <c r="H46" s="3">
        <v>147</v>
      </c>
      <c r="I46" s="3">
        <v>233</v>
      </c>
      <c r="J46" s="3">
        <v>291</v>
      </c>
      <c r="K46" s="3"/>
      <c r="L46" s="3">
        <v>883</v>
      </c>
      <c r="M46" s="3">
        <v>1469</v>
      </c>
      <c r="N46" s="3">
        <v>2484</v>
      </c>
      <c r="O46" s="3">
        <v>377</v>
      </c>
      <c r="P46" s="3">
        <v>186</v>
      </c>
      <c r="Q46" s="3">
        <v>3051</v>
      </c>
      <c r="R46" s="3">
        <v>1267</v>
      </c>
      <c r="S46" s="3">
        <v>859</v>
      </c>
      <c r="T46" s="3">
        <v>721</v>
      </c>
      <c r="U46" s="3">
        <v>458</v>
      </c>
      <c r="V46" s="3">
        <v>40</v>
      </c>
      <c r="W46" s="3">
        <v>367</v>
      </c>
      <c r="X46" s="3">
        <v>790</v>
      </c>
      <c r="Y46" s="3">
        <v>613</v>
      </c>
      <c r="Z46" s="3">
        <v>94</v>
      </c>
      <c r="AA46" s="3">
        <v>198</v>
      </c>
      <c r="AB46" s="3">
        <v>2422</v>
      </c>
      <c r="AC46" s="3">
        <v>1564</v>
      </c>
      <c r="AD46" s="3">
        <v>463</v>
      </c>
      <c r="AE46" s="3">
        <v>330</v>
      </c>
      <c r="AF46" s="3">
        <v>882</v>
      </c>
      <c r="AG46" s="3">
        <v>384</v>
      </c>
      <c r="AH46" s="3">
        <v>1740</v>
      </c>
      <c r="AI46" s="3">
        <v>798</v>
      </c>
      <c r="AJ46" s="3">
        <v>516</v>
      </c>
      <c r="AK46" s="3">
        <v>366</v>
      </c>
      <c r="AL46" s="3">
        <v>13</v>
      </c>
      <c r="AM46" s="3">
        <v>266</v>
      </c>
      <c r="AN46" s="3">
        <v>94</v>
      </c>
    </row>
    <row r="47" spans="1:40" x14ac:dyDescent="0.3">
      <c r="A47" s="122">
        <v>207</v>
      </c>
      <c r="B47" s="3">
        <v>756</v>
      </c>
      <c r="C47" s="3">
        <v>1203</v>
      </c>
      <c r="D47" s="3">
        <v>727</v>
      </c>
      <c r="E47" s="3">
        <v>1</v>
      </c>
      <c r="F47" s="3">
        <v>113</v>
      </c>
      <c r="G47" s="3">
        <v>324</v>
      </c>
      <c r="H47" s="3">
        <v>261</v>
      </c>
      <c r="I47" s="3">
        <v>395</v>
      </c>
      <c r="J47" s="3">
        <v>55</v>
      </c>
      <c r="K47" s="3">
        <v>14</v>
      </c>
      <c r="L47" s="3">
        <v>2210</v>
      </c>
      <c r="M47" s="3">
        <v>3841</v>
      </c>
      <c r="N47" s="3">
        <v>1233</v>
      </c>
      <c r="O47" s="3">
        <v>460</v>
      </c>
      <c r="P47" s="3">
        <v>187</v>
      </c>
      <c r="Q47" s="3">
        <v>1187</v>
      </c>
      <c r="R47" s="3">
        <v>1065</v>
      </c>
      <c r="S47" s="3">
        <v>534</v>
      </c>
      <c r="T47" s="3">
        <v>782</v>
      </c>
      <c r="U47" s="3">
        <v>603</v>
      </c>
      <c r="V47" s="3">
        <v>53</v>
      </c>
      <c r="W47" s="3">
        <v>41</v>
      </c>
      <c r="X47" s="3">
        <v>225</v>
      </c>
      <c r="Y47" s="3">
        <v>1695</v>
      </c>
      <c r="Z47" s="3">
        <v>116</v>
      </c>
      <c r="AA47" s="3">
        <v>571</v>
      </c>
      <c r="AB47" s="3">
        <v>1956</v>
      </c>
      <c r="AC47" s="3">
        <v>2657</v>
      </c>
      <c r="AD47" s="3">
        <v>10</v>
      </c>
      <c r="AE47" s="3">
        <v>308</v>
      </c>
      <c r="AF47" s="3">
        <v>11</v>
      </c>
      <c r="AG47" s="3">
        <v>646</v>
      </c>
      <c r="AH47" s="3">
        <v>589</v>
      </c>
      <c r="AI47" s="3">
        <v>643</v>
      </c>
      <c r="AJ47" s="3">
        <v>282</v>
      </c>
      <c r="AK47" s="3">
        <v>543</v>
      </c>
      <c r="AL47" s="3">
        <v>462</v>
      </c>
      <c r="AM47" s="3">
        <v>47</v>
      </c>
      <c r="AN47" s="3">
        <v>7699</v>
      </c>
    </row>
    <row r="48" spans="1:40" x14ac:dyDescent="0.3">
      <c r="A48" s="122">
        <v>208</v>
      </c>
      <c r="B48" s="3">
        <v>727</v>
      </c>
      <c r="C48" s="3">
        <v>1003</v>
      </c>
      <c r="D48" s="3">
        <v>435</v>
      </c>
      <c r="E48" s="3">
        <v>0</v>
      </c>
      <c r="F48" s="3">
        <v>44</v>
      </c>
      <c r="G48" s="3">
        <v>92</v>
      </c>
      <c r="H48" s="3">
        <v>202</v>
      </c>
      <c r="I48" s="3">
        <v>199</v>
      </c>
      <c r="J48" s="3">
        <v>130</v>
      </c>
      <c r="K48" s="3">
        <v>124</v>
      </c>
      <c r="L48" s="3">
        <v>1908</v>
      </c>
      <c r="M48" s="3">
        <v>1493</v>
      </c>
      <c r="N48" s="3">
        <v>735</v>
      </c>
      <c r="O48" s="3">
        <v>286</v>
      </c>
      <c r="P48" s="3">
        <v>708</v>
      </c>
      <c r="Q48" s="3">
        <v>317</v>
      </c>
      <c r="R48" s="3">
        <v>1136</v>
      </c>
      <c r="S48" s="3">
        <v>938</v>
      </c>
      <c r="T48" s="3">
        <v>174</v>
      </c>
      <c r="U48" s="3">
        <v>581</v>
      </c>
      <c r="V48" s="3">
        <v>242</v>
      </c>
      <c r="W48" s="3">
        <v>31</v>
      </c>
      <c r="X48" s="3">
        <v>683</v>
      </c>
      <c r="Y48" s="3">
        <v>881</v>
      </c>
      <c r="Z48" s="3">
        <v>1443</v>
      </c>
      <c r="AA48" s="3">
        <v>654</v>
      </c>
      <c r="AB48" s="3">
        <v>6318</v>
      </c>
      <c r="AC48" s="3">
        <v>1480</v>
      </c>
      <c r="AD48" s="3">
        <v>51</v>
      </c>
      <c r="AE48" s="3">
        <v>168</v>
      </c>
      <c r="AF48" s="3">
        <v>0</v>
      </c>
      <c r="AG48" s="3">
        <v>963</v>
      </c>
      <c r="AH48" s="3">
        <v>954</v>
      </c>
      <c r="AI48" s="3">
        <v>2498</v>
      </c>
      <c r="AJ48" s="3">
        <v>541</v>
      </c>
      <c r="AK48" s="3">
        <v>361</v>
      </c>
      <c r="AL48" s="3">
        <v>1817</v>
      </c>
      <c r="AM48" s="3">
        <v>419</v>
      </c>
      <c r="AN48" s="3">
        <v>1769</v>
      </c>
    </row>
    <row r="49" spans="1:40" x14ac:dyDescent="0.3">
      <c r="A49" s="122">
        <v>209</v>
      </c>
      <c r="B49" s="3">
        <v>530</v>
      </c>
      <c r="C49" s="3">
        <v>497</v>
      </c>
      <c r="D49" s="3">
        <v>251</v>
      </c>
      <c r="E49" s="3">
        <v>1</v>
      </c>
      <c r="F49" s="3">
        <v>92</v>
      </c>
      <c r="G49" s="3">
        <v>242</v>
      </c>
      <c r="H49" s="3">
        <v>518</v>
      </c>
      <c r="I49" s="3">
        <v>492</v>
      </c>
      <c r="J49" s="3">
        <v>65</v>
      </c>
      <c r="K49" s="3">
        <v>54</v>
      </c>
      <c r="L49" s="3">
        <v>568</v>
      </c>
      <c r="M49" s="3">
        <v>1865</v>
      </c>
      <c r="N49" s="3">
        <v>1335</v>
      </c>
      <c r="O49" s="3">
        <v>429</v>
      </c>
      <c r="P49" s="3">
        <v>311</v>
      </c>
      <c r="Q49" s="3">
        <v>724</v>
      </c>
      <c r="R49" s="3">
        <v>1631</v>
      </c>
      <c r="S49" s="3">
        <v>1088</v>
      </c>
      <c r="T49" s="3">
        <v>305</v>
      </c>
      <c r="U49" s="3">
        <v>52</v>
      </c>
      <c r="V49" s="3">
        <v>110</v>
      </c>
      <c r="W49" s="3">
        <v>47</v>
      </c>
      <c r="X49" s="3">
        <v>106</v>
      </c>
      <c r="Y49" s="3">
        <v>1071</v>
      </c>
      <c r="Z49" s="3">
        <v>2666</v>
      </c>
      <c r="AA49" s="3">
        <v>388</v>
      </c>
      <c r="AB49" s="3">
        <v>2893</v>
      </c>
      <c r="AC49" s="3">
        <v>1411</v>
      </c>
      <c r="AD49" s="3">
        <v>84</v>
      </c>
      <c r="AE49" s="3">
        <v>65</v>
      </c>
      <c r="AF49" s="3">
        <v>1133</v>
      </c>
      <c r="AG49" s="3">
        <v>1639</v>
      </c>
      <c r="AH49" s="3">
        <v>1450</v>
      </c>
      <c r="AI49" s="3">
        <v>1097</v>
      </c>
      <c r="AJ49" s="3">
        <v>220</v>
      </c>
      <c r="AK49" s="3">
        <v>178</v>
      </c>
      <c r="AL49" s="3">
        <v>541</v>
      </c>
      <c r="AM49" s="3">
        <v>1278</v>
      </c>
      <c r="AN49" s="3">
        <v>34</v>
      </c>
    </row>
    <row r="50" spans="1:40" x14ac:dyDescent="0.3">
      <c r="A50" s="122">
        <v>210</v>
      </c>
      <c r="B50" s="3">
        <v>668</v>
      </c>
      <c r="C50" s="3">
        <v>633</v>
      </c>
      <c r="D50" s="3">
        <v>667</v>
      </c>
      <c r="E50" s="3">
        <v>0</v>
      </c>
      <c r="F50" s="3">
        <v>27</v>
      </c>
      <c r="G50" s="3">
        <v>592</v>
      </c>
      <c r="H50" s="3">
        <v>92</v>
      </c>
      <c r="I50" s="3">
        <v>557</v>
      </c>
      <c r="J50" s="3">
        <v>467</v>
      </c>
      <c r="K50" s="3">
        <v>50</v>
      </c>
      <c r="L50" s="3">
        <v>602</v>
      </c>
      <c r="M50" s="3">
        <v>7041</v>
      </c>
      <c r="N50" s="3">
        <v>1037</v>
      </c>
      <c r="O50" s="3">
        <v>417</v>
      </c>
      <c r="P50" s="3">
        <v>491</v>
      </c>
      <c r="Q50" s="3">
        <v>1002</v>
      </c>
      <c r="R50" s="3">
        <v>276</v>
      </c>
      <c r="S50" s="3">
        <v>614</v>
      </c>
      <c r="T50" s="3">
        <v>853</v>
      </c>
      <c r="U50" s="3">
        <v>68</v>
      </c>
      <c r="V50" s="3">
        <v>34</v>
      </c>
      <c r="W50" s="3">
        <v>37</v>
      </c>
      <c r="X50" s="3">
        <v>646</v>
      </c>
      <c r="Y50" s="3">
        <v>748</v>
      </c>
      <c r="Z50" s="3">
        <v>1591</v>
      </c>
      <c r="AA50" s="3">
        <v>106</v>
      </c>
      <c r="AB50" s="3">
        <v>4457</v>
      </c>
      <c r="AC50" s="3">
        <v>702</v>
      </c>
      <c r="AD50" s="3">
        <v>532</v>
      </c>
      <c r="AE50" s="3">
        <v>9</v>
      </c>
      <c r="AF50" s="3">
        <v>187</v>
      </c>
      <c r="AG50" s="3">
        <v>401</v>
      </c>
      <c r="AH50" s="3">
        <v>1659</v>
      </c>
      <c r="AI50" s="3">
        <v>310</v>
      </c>
      <c r="AJ50" s="3">
        <v>60</v>
      </c>
      <c r="AK50" s="3">
        <v>102</v>
      </c>
      <c r="AL50" s="3">
        <v>413</v>
      </c>
      <c r="AM50" s="3">
        <v>1739</v>
      </c>
      <c r="AN50" s="3">
        <v>1161</v>
      </c>
    </row>
    <row r="51" spans="1:40" x14ac:dyDescent="0.3">
      <c r="A51" s="122">
        <v>211</v>
      </c>
      <c r="B51" s="3">
        <v>915</v>
      </c>
      <c r="C51" s="3">
        <v>736</v>
      </c>
      <c r="D51" s="3">
        <v>272</v>
      </c>
      <c r="E51" s="3">
        <v>1</v>
      </c>
      <c r="F51" s="3">
        <v>37</v>
      </c>
      <c r="G51" s="3">
        <v>622</v>
      </c>
      <c r="H51" s="3">
        <v>89</v>
      </c>
      <c r="I51" s="3">
        <v>321</v>
      </c>
      <c r="J51" s="3">
        <v>254</v>
      </c>
      <c r="K51" s="3">
        <v>38</v>
      </c>
      <c r="L51" s="3">
        <v>264</v>
      </c>
      <c r="M51" s="3">
        <v>1016</v>
      </c>
      <c r="N51" s="3">
        <v>639</v>
      </c>
      <c r="O51" s="3">
        <v>374</v>
      </c>
      <c r="P51" s="3">
        <v>760</v>
      </c>
      <c r="Q51" s="3">
        <v>249</v>
      </c>
      <c r="R51" s="3">
        <v>78</v>
      </c>
      <c r="S51" s="3">
        <v>139</v>
      </c>
      <c r="T51" s="3">
        <v>1085</v>
      </c>
      <c r="U51" s="3">
        <v>53</v>
      </c>
      <c r="V51" s="3">
        <v>87</v>
      </c>
      <c r="W51" s="3">
        <v>80</v>
      </c>
      <c r="X51" s="3">
        <v>522</v>
      </c>
      <c r="Y51" s="3">
        <v>1140</v>
      </c>
      <c r="Z51" s="3">
        <v>1235</v>
      </c>
      <c r="AA51" s="3">
        <v>4194</v>
      </c>
      <c r="AB51" s="3">
        <v>1504</v>
      </c>
      <c r="AC51" s="3">
        <v>801</v>
      </c>
      <c r="AD51" s="3">
        <v>390</v>
      </c>
      <c r="AE51" s="3">
        <v>151</v>
      </c>
      <c r="AF51" s="3">
        <v>189</v>
      </c>
      <c r="AG51" s="3">
        <v>315</v>
      </c>
      <c r="AH51" s="3">
        <v>518</v>
      </c>
      <c r="AI51" s="3">
        <v>715</v>
      </c>
      <c r="AJ51" s="3">
        <v>351</v>
      </c>
      <c r="AK51" s="3">
        <v>192</v>
      </c>
      <c r="AL51" s="3">
        <v>138</v>
      </c>
      <c r="AM51" s="3">
        <v>350</v>
      </c>
      <c r="AN51" s="3">
        <v>499</v>
      </c>
    </row>
    <row r="52" spans="1:40" x14ac:dyDescent="0.3">
      <c r="A52" s="122">
        <v>212</v>
      </c>
      <c r="B52" s="3">
        <v>634</v>
      </c>
      <c r="C52" s="3">
        <v>319</v>
      </c>
      <c r="D52" s="3">
        <v>385</v>
      </c>
      <c r="E52" s="3">
        <v>15</v>
      </c>
      <c r="F52" s="3">
        <v>49</v>
      </c>
      <c r="G52" s="3">
        <v>339</v>
      </c>
      <c r="H52" s="3">
        <v>68</v>
      </c>
      <c r="I52" s="3">
        <v>334</v>
      </c>
      <c r="J52" s="3">
        <v>159</v>
      </c>
      <c r="K52" s="3">
        <v>44</v>
      </c>
      <c r="L52" s="3">
        <v>54</v>
      </c>
      <c r="M52" s="3">
        <v>1233</v>
      </c>
      <c r="N52" s="3">
        <v>432</v>
      </c>
      <c r="O52" s="3">
        <v>351</v>
      </c>
      <c r="P52" s="3">
        <v>118</v>
      </c>
      <c r="Q52" s="3">
        <v>1100</v>
      </c>
      <c r="R52" s="3">
        <v>387</v>
      </c>
      <c r="S52" s="3">
        <v>861</v>
      </c>
      <c r="T52" s="3">
        <v>599</v>
      </c>
      <c r="U52" s="3">
        <v>1057</v>
      </c>
      <c r="V52" s="3">
        <v>56</v>
      </c>
      <c r="W52" s="3">
        <v>15</v>
      </c>
      <c r="X52" s="3">
        <v>602</v>
      </c>
      <c r="Y52" s="3">
        <v>2557</v>
      </c>
      <c r="Z52" s="3">
        <v>6155</v>
      </c>
      <c r="AA52" s="3">
        <v>1019</v>
      </c>
      <c r="AB52" s="3">
        <v>331</v>
      </c>
      <c r="AC52" s="3">
        <v>2195</v>
      </c>
      <c r="AD52" s="3">
        <v>238</v>
      </c>
      <c r="AE52" s="3">
        <v>294</v>
      </c>
      <c r="AF52" s="3">
        <v>928</v>
      </c>
      <c r="AG52" s="3">
        <v>1245</v>
      </c>
      <c r="AH52" s="3">
        <v>1541</v>
      </c>
      <c r="AI52" s="3">
        <v>1158</v>
      </c>
      <c r="AJ52" s="3">
        <v>267</v>
      </c>
      <c r="AK52" s="107">
        <v>380.50540556431184</v>
      </c>
      <c r="AL52" s="3">
        <v>194</v>
      </c>
      <c r="AM52" s="3">
        <v>1286</v>
      </c>
      <c r="AN52" s="3">
        <v>2216</v>
      </c>
    </row>
    <row r="53" spans="1:40" x14ac:dyDescent="0.3">
      <c r="A53" s="122">
        <v>213</v>
      </c>
      <c r="B53" s="3">
        <v>737</v>
      </c>
      <c r="C53" s="3">
        <v>357</v>
      </c>
      <c r="D53" s="3">
        <v>101</v>
      </c>
      <c r="E53" s="3">
        <v>42</v>
      </c>
      <c r="F53" s="3">
        <v>68</v>
      </c>
      <c r="G53" s="3">
        <v>155</v>
      </c>
      <c r="H53" s="3">
        <v>143</v>
      </c>
      <c r="I53" s="3">
        <v>261</v>
      </c>
      <c r="J53" s="3">
        <v>290</v>
      </c>
      <c r="K53" s="3">
        <v>5</v>
      </c>
      <c r="L53" s="3">
        <v>598</v>
      </c>
      <c r="M53" s="3">
        <v>5502</v>
      </c>
      <c r="N53" s="3">
        <v>1706</v>
      </c>
      <c r="O53" s="3">
        <v>227</v>
      </c>
      <c r="P53" s="3">
        <v>679</v>
      </c>
      <c r="Q53" s="3">
        <v>1319</v>
      </c>
      <c r="R53" s="3">
        <v>174</v>
      </c>
      <c r="S53" s="3">
        <v>112</v>
      </c>
      <c r="T53" s="3">
        <v>1001</v>
      </c>
      <c r="U53" s="3">
        <v>1509</v>
      </c>
      <c r="V53" s="3">
        <v>307</v>
      </c>
      <c r="W53" s="3">
        <v>36</v>
      </c>
      <c r="X53" s="3">
        <v>1262</v>
      </c>
      <c r="Y53" s="3">
        <v>1077</v>
      </c>
      <c r="Z53" s="3">
        <v>4165</v>
      </c>
      <c r="AA53" s="3">
        <v>948</v>
      </c>
      <c r="AB53" s="3">
        <v>1783</v>
      </c>
      <c r="AC53" s="3">
        <v>1039</v>
      </c>
      <c r="AD53" s="3">
        <v>112</v>
      </c>
      <c r="AE53" s="3">
        <v>384</v>
      </c>
      <c r="AF53" s="3">
        <v>570</v>
      </c>
      <c r="AG53" s="3">
        <v>580</v>
      </c>
      <c r="AH53" s="3">
        <v>1797</v>
      </c>
      <c r="AI53" s="3">
        <v>1817</v>
      </c>
      <c r="AJ53" s="3">
        <v>553</v>
      </c>
      <c r="AK53" s="107">
        <v>440.47156572640699</v>
      </c>
      <c r="AL53" s="3">
        <v>48</v>
      </c>
      <c r="AM53" s="3">
        <v>161</v>
      </c>
      <c r="AN53" s="3">
        <v>3902</v>
      </c>
    </row>
    <row r="54" spans="1:40" x14ac:dyDescent="0.3">
      <c r="A54" s="122">
        <v>214</v>
      </c>
      <c r="B54" s="3">
        <v>378</v>
      </c>
      <c r="C54" s="3">
        <v>363</v>
      </c>
      <c r="D54" s="3">
        <v>212</v>
      </c>
      <c r="E54" s="3">
        <v>46</v>
      </c>
      <c r="F54" s="3">
        <v>48</v>
      </c>
      <c r="G54" s="3">
        <v>47</v>
      </c>
      <c r="H54" s="3">
        <v>192</v>
      </c>
      <c r="I54" s="3">
        <v>155</v>
      </c>
      <c r="J54" s="3">
        <v>40</v>
      </c>
      <c r="K54" s="3">
        <v>24</v>
      </c>
      <c r="L54" s="3">
        <v>739</v>
      </c>
      <c r="M54" s="3">
        <v>1941</v>
      </c>
      <c r="N54" s="3">
        <v>2040</v>
      </c>
      <c r="O54" s="3">
        <v>127</v>
      </c>
      <c r="P54" s="3">
        <v>614</v>
      </c>
      <c r="Q54" s="3">
        <v>1685</v>
      </c>
      <c r="R54" s="3">
        <v>2610</v>
      </c>
      <c r="S54" s="3">
        <v>254</v>
      </c>
      <c r="T54" s="3">
        <v>126</v>
      </c>
      <c r="U54" s="3">
        <v>2583</v>
      </c>
      <c r="V54" s="3">
        <v>41</v>
      </c>
      <c r="W54" s="3">
        <v>50</v>
      </c>
      <c r="X54" s="3">
        <v>547</v>
      </c>
      <c r="Y54" s="3">
        <v>365</v>
      </c>
      <c r="Z54" s="3">
        <v>1195</v>
      </c>
      <c r="AA54" s="3">
        <v>560</v>
      </c>
      <c r="AB54" s="3">
        <v>2878</v>
      </c>
      <c r="AC54" s="3">
        <v>3756</v>
      </c>
      <c r="AD54" s="3">
        <v>86</v>
      </c>
      <c r="AE54" s="3">
        <v>332</v>
      </c>
      <c r="AF54" s="3">
        <v>120</v>
      </c>
      <c r="AG54" s="3">
        <v>627</v>
      </c>
      <c r="AH54" s="3">
        <v>1107</v>
      </c>
      <c r="AI54" s="3">
        <v>944</v>
      </c>
      <c r="AJ54" s="3">
        <v>329</v>
      </c>
      <c r="AK54" s="3">
        <v>10</v>
      </c>
      <c r="AL54" s="3">
        <v>354</v>
      </c>
      <c r="AM54" s="3">
        <v>2426</v>
      </c>
      <c r="AN54" s="3">
        <v>328</v>
      </c>
    </row>
    <row r="55" spans="1:40" x14ac:dyDescent="0.3">
      <c r="A55" s="122">
        <v>215</v>
      </c>
      <c r="B55" s="3">
        <v>405</v>
      </c>
      <c r="C55" s="3">
        <v>404</v>
      </c>
      <c r="D55" s="3">
        <v>264</v>
      </c>
      <c r="E55" s="3">
        <v>2</v>
      </c>
      <c r="F55" s="3">
        <v>34</v>
      </c>
      <c r="G55" s="3">
        <v>332</v>
      </c>
      <c r="H55" s="3">
        <v>173</v>
      </c>
      <c r="I55" s="3">
        <v>129</v>
      </c>
      <c r="J55" s="3">
        <v>636</v>
      </c>
      <c r="K55" s="3">
        <v>33</v>
      </c>
      <c r="L55" s="3">
        <v>703</v>
      </c>
      <c r="M55" s="3">
        <v>406</v>
      </c>
      <c r="N55" s="3">
        <v>1114</v>
      </c>
      <c r="O55" s="3">
        <v>169</v>
      </c>
      <c r="P55" s="3">
        <v>157</v>
      </c>
      <c r="Q55" s="3">
        <v>956</v>
      </c>
      <c r="R55" s="3">
        <v>684</v>
      </c>
      <c r="S55" s="3">
        <v>1135</v>
      </c>
      <c r="T55" s="3">
        <v>592</v>
      </c>
      <c r="U55" s="3">
        <v>753</v>
      </c>
      <c r="V55" s="3">
        <v>29</v>
      </c>
      <c r="W55" s="3">
        <v>26</v>
      </c>
      <c r="X55" s="3">
        <v>216</v>
      </c>
      <c r="Y55" s="3">
        <v>2631</v>
      </c>
      <c r="Z55" s="3">
        <v>431</v>
      </c>
      <c r="AA55" s="3">
        <v>2034</v>
      </c>
      <c r="AB55" s="3">
        <v>2833</v>
      </c>
      <c r="AC55" s="3">
        <v>1146</v>
      </c>
      <c r="AD55" s="3">
        <v>220</v>
      </c>
      <c r="AE55" s="3">
        <v>182</v>
      </c>
      <c r="AF55" s="3">
        <v>164</v>
      </c>
      <c r="AG55" s="3">
        <v>358</v>
      </c>
      <c r="AH55" s="3">
        <v>426</v>
      </c>
      <c r="AI55" s="3">
        <v>572</v>
      </c>
      <c r="AJ55" s="3">
        <v>364</v>
      </c>
      <c r="AK55" s="3">
        <v>105</v>
      </c>
      <c r="AL55" s="3">
        <v>162</v>
      </c>
      <c r="AM55" s="3">
        <v>834</v>
      </c>
      <c r="AN55" s="3">
        <v>3980</v>
      </c>
    </row>
    <row r="56" spans="1:40" x14ac:dyDescent="0.3">
      <c r="A56" s="122">
        <v>216</v>
      </c>
      <c r="B56" s="3">
        <v>225</v>
      </c>
      <c r="C56" s="3">
        <v>303</v>
      </c>
      <c r="D56" s="3">
        <v>151</v>
      </c>
      <c r="E56" s="3">
        <v>1</v>
      </c>
      <c r="F56" s="3">
        <v>47</v>
      </c>
      <c r="G56" s="3">
        <v>119</v>
      </c>
      <c r="H56" s="3">
        <v>228</v>
      </c>
      <c r="I56" s="3">
        <v>48</v>
      </c>
      <c r="J56" s="3">
        <v>255</v>
      </c>
      <c r="K56" s="3">
        <v>114</v>
      </c>
      <c r="L56" s="3">
        <v>982</v>
      </c>
      <c r="M56" s="3">
        <v>1134</v>
      </c>
      <c r="N56" s="3">
        <v>341</v>
      </c>
      <c r="O56" s="3">
        <v>337</v>
      </c>
      <c r="P56" s="3">
        <v>542</v>
      </c>
      <c r="Q56" s="3">
        <v>669</v>
      </c>
      <c r="R56" s="3">
        <v>1582</v>
      </c>
      <c r="S56" s="3">
        <v>457</v>
      </c>
      <c r="T56" s="3">
        <v>680</v>
      </c>
      <c r="U56" s="3">
        <v>2523</v>
      </c>
      <c r="V56" s="3">
        <v>28</v>
      </c>
      <c r="W56" s="3">
        <v>18</v>
      </c>
      <c r="X56" s="3">
        <v>416</v>
      </c>
      <c r="Y56" s="3">
        <v>1786</v>
      </c>
      <c r="Z56" s="3">
        <v>2260</v>
      </c>
      <c r="AA56" s="3">
        <v>372</v>
      </c>
      <c r="AB56" s="3">
        <v>1841</v>
      </c>
      <c r="AC56" s="3">
        <v>1085</v>
      </c>
      <c r="AD56" s="3">
        <v>100</v>
      </c>
      <c r="AE56" s="3">
        <v>38</v>
      </c>
      <c r="AF56" s="3">
        <v>261</v>
      </c>
      <c r="AG56" s="3">
        <v>225</v>
      </c>
      <c r="AH56" s="3">
        <v>720</v>
      </c>
      <c r="AI56" s="3">
        <v>1063</v>
      </c>
      <c r="AJ56" s="3">
        <v>211</v>
      </c>
      <c r="AK56" s="3">
        <v>389</v>
      </c>
      <c r="AL56" s="3">
        <v>138</v>
      </c>
      <c r="AM56" s="3">
        <v>911</v>
      </c>
      <c r="AN56" s="3">
        <v>2494</v>
      </c>
    </row>
    <row r="57" spans="1:40" x14ac:dyDescent="0.3">
      <c r="A57" s="122">
        <v>217</v>
      </c>
      <c r="B57" s="3">
        <v>365</v>
      </c>
      <c r="C57" s="3">
        <v>263</v>
      </c>
      <c r="D57" s="3">
        <v>317</v>
      </c>
      <c r="E57" s="3">
        <v>0</v>
      </c>
      <c r="F57" s="3">
        <v>101</v>
      </c>
      <c r="G57" s="3">
        <v>29</v>
      </c>
      <c r="H57" s="3">
        <v>104</v>
      </c>
      <c r="I57" s="3">
        <v>176</v>
      </c>
      <c r="J57" s="3">
        <v>758</v>
      </c>
      <c r="K57" s="3">
        <v>136</v>
      </c>
      <c r="L57" s="3">
        <v>186</v>
      </c>
      <c r="M57" s="3">
        <v>1906</v>
      </c>
      <c r="N57" s="3">
        <v>1432</v>
      </c>
      <c r="O57" s="3">
        <v>855</v>
      </c>
      <c r="P57" s="3">
        <v>894</v>
      </c>
      <c r="Q57" s="3">
        <v>643</v>
      </c>
      <c r="R57" s="3">
        <v>514</v>
      </c>
      <c r="S57" s="3">
        <v>324</v>
      </c>
      <c r="T57" s="3">
        <v>100</v>
      </c>
      <c r="U57" s="3">
        <v>2321</v>
      </c>
      <c r="V57" s="3">
        <v>18</v>
      </c>
      <c r="W57" s="3">
        <v>16</v>
      </c>
      <c r="X57" s="3">
        <v>161</v>
      </c>
      <c r="Y57" s="3">
        <v>1275</v>
      </c>
      <c r="Z57" s="3">
        <v>1006</v>
      </c>
      <c r="AA57" s="3">
        <v>335</v>
      </c>
      <c r="AB57" s="3">
        <v>3273</v>
      </c>
      <c r="AC57" s="3">
        <v>1979</v>
      </c>
      <c r="AD57" s="3">
        <v>54</v>
      </c>
      <c r="AE57" s="3">
        <v>588</v>
      </c>
      <c r="AF57" s="3">
        <v>109</v>
      </c>
      <c r="AG57" s="3">
        <v>123</v>
      </c>
      <c r="AH57" s="3">
        <v>1278</v>
      </c>
      <c r="AI57" s="3">
        <v>874</v>
      </c>
      <c r="AJ57" s="3">
        <v>72</v>
      </c>
      <c r="AK57" s="3">
        <v>377</v>
      </c>
      <c r="AL57" s="3">
        <v>33</v>
      </c>
      <c r="AM57" s="3">
        <v>1178</v>
      </c>
      <c r="AN57" s="3">
        <v>0</v>
      </c>
    </row>
    <row r="58" spans="1:40" x14ac:dyDescent="0.3">
      <c r="A58" s="122">
        <v>218</v>
      </c>
      <c r="B58" s="3">
        <v>1574</v>
      </c>
      <c r="C58" s="3">
        <v>153</v>
      </c>
      <c r="D58" s="3">
        <v>113</v>
      </c>
      <c r="E58" s="3">
        <v>2</v>
      </c>
      <c r="F58" s="3">
        <v>168</v>
      </c>
      <c r="G58" s="3">
        <v>353</v>
      </c>
      <c r="H58" s="3">
        <v>321</v>
      </c>
      <c r="I58" s="3">
        <v>183</v>
      </c>
      <c r="J58" s="3">
        <v>356</v>
      </c>
      <c r="K58" s="3">
        <v>81</v>
      </c>
      <c r="L58" s="3">
        <v>1516</v>
      </c>
      <c r="M58" s="3">
        <v>689</v>
      </c>
      <c r="N58" s="3">
        <v>214</v>
      </c>
      <c r="O58" s="3">
        <v>75</v>
      </c>
      <c r="P58" s="3">
        <v>558</v>
      </c>
      <c r="Q58" s="3">
        <v>1090</v>
      </c>
      <c r="R58" s="3">
        <v>574</v>
      </c>
      <c r="S58" s="3">
        <v>796</v>
      </c>
      <c r="T58" s="3">
        <v>909</v>
      </c>
      <c r="U58" s="3">
        <v>3364</v>
      </c>
      <c r="V58" s="3">
        <v>48</v>
      </c>
      <c r="W58" s="3">
        <v>33</v>
      </c>
      <c r="X58" s="3">
        <v>656</v>
      </c>
      <c r="Y58" s="3">
        <v>1307</v>
      </c>
      <c r="Z58" s="3">
        <v>2090</v>
      </c>
      <c r="AA58" s="3">
        <v>1121</v>
      </c>
      <c r="AB58" s="3">
        <v>732</v>
      </c>
      <c r="AC58" s="3">
        <v>1950</v>
      </c>
      <c r="AD58" s="3">
        <v>6</v>
      </c>
      <c r="AE58" s="3">
        <v>54</v>
      </c>
      <c r="AF58" s="3">
        <v>128</v>
      </c>
      <c r="AG58" s="3">
        <v>384</v>
      </c>
      <c r="AH58" s="3">
        <v>760</v>
      </c>
      <c r="AI58" s="3">
        <v>798</v>
      </c>
      <c r="AJ58" s="3">
        <v>218</v>
      </c>
      <c r="AK58" s="3">
        <v>346</v>
      </c>
      <c r="AL58" s="3">
        <v>257</v>
      </c>
      <c r="AM58" s="3">
        <v>2920</v>
      </c>
      <c r="AN58" s="3">
        <v>39</v>
      </c>
    </row>
    <row r="59" spans="1:40" x14ac:dyDescent="0.3">
      <c r="A59" s="122">
        <v>219</v>
      </c>
      <c r="B59" s="3">
        <v>294</v>
      </c>
      <c r="C59" s="3">
        <v>110</v>
      </c>
      <c r="D59" s="3">
        <v>165</v>
      </c>
      <c r="E59" s="3">
        <v>1</v>
      </c>
      <c r="F59" s="3">
        <v>32</v>
      </c>
      <c r="G59" s="3">
        <v>20</v>
      </c>
      <c r="H59" s="3">
        <v>339</v>
      </c>
      <c r="I59" s="3">
        <v>37</v>
      </c>
      <c r="J59" s="3">
        <v>913</v>
      </c>
      <c r="K59" s="3">
        <v>73</v>
      </c>
      <c r="L59" s="3">
        <v>569</v>
      </c>
      <c r="M59" s="3">
        <v>3065</v>
      </c>
      <c r="N59" s="3">
        <v>2932</v>
      </c>
      <c r="O59" s="3">
        <v>151</v>
      </c>
      <c r="P59" s="3">
        <v>561</v>
      </c>
      <c r="Q59" s="3">
        <v>399</v>
      </c>
      <c r="R59" s="3">
        <v>653</v>
      </c>
      <c r="S59" s="3">
        <v>156</v>
      </c>
      <c r="T59" s="3">
        <v>405</v>
      </c>
      <c r="U59" s="3">
        <v>1212</v>
      </c>
      <c r="V59" s="3">
        <v>36</v>
      </c>
      <c r="W59" s="3">
        <v>27</v>
      </c>
      <c r="X59" s="3">
        <v>222</v>
      </c>
      <c r="Y59" s="3">
        <v>4573</v>
      </c>
      <c r="Z59" s="3">
        <v>578</v>
      </c>
      <c r="AA59" s="3">
        <v>1491</v>
      </c>
      <c r="AB59" s="3">
        <v>836</v>
      </c>
      <c r="AC59" s="3">
        <v>706</v>
      </c>
      <c r="AD59" s="3">
        <v>113</v>
      </c>
      <c r="AE59" s="3">
        <v>289</v>
      </c>
      <c r="AF59" s="3">
        <v>265</v>
      </c>
      <c r="AG59" s="3">
        <v>346</v>
      </c>
      <c r="AH59" s="3">
        <v>1666</v>
      </c>
      <c r="AI59" s="3">
        <v>403</v>
      </c>
      <c r="AJ59" s="3">
        <v>327</v>
      </c>
      <c r="AK59" s="3">
        <v>390</v>
      </c>
      <c r="AL59" s="3">
        <v>134</v>
      </c>
      <c r="AM59" s="3">
        <v>949</v>
      </c>
      <c r="AN59" s="3">
        <v>177</v>
      </c>
    </row>
    <row r="60" spans="1:40" x14ac:dyDescent="0.3">
      <c r="A60" s="122">
        <v>220</v>
      </c>
      <c r="B60" s="3">
        <v>18</v>
      </c>
      <c r="C60" s="3">
        <v>68</v>
      </c>
      <c r="D60" s="3">
        <v>179</v>
      </c>
      <c r="E60" s="3">
        <v>1</v>
      </c>
      <c r="F60" s="3">
        <v>45</v>
      </c>
      <c r="G60" s="3">
        <v>509</v>
      </c>
      <c r="H60" s="3">
        <v>387</v>
      </c>
      <c r="I60" s="3">
        <v>213</v>
      </c>
      <c r="J60" s="3">
        <v>891</v>
      </c>
      <c r="K60" s="3">
        <v>63</v>
      </c>
      <c r="L60" s="3">
        <v>252</v>
      </c>
      <c r="M60" s="3">
        <v>1312</v>
      </c>
      <c r="N60" s="3">
        <v>306</v>
      </c>
      <c r="O60" s="3">
        <v>60</v>
      </c>
      <c r="P60" s="3">
        <v>235</v>
      </c>
      <c r="Q60" s="3">
        <v>1014</v>
      </c>
      <c r="R60" s="3">
        <v>1167</v>
      </c>
      <c r="S60" s="3">
        <v>672</v>
      </c>
      <c r="T60" s="3">
        <v>203</v>
      </c>
      <c r="U60" s="3">
        <v>2580</v>
      </c>
      <c r="V60" s="3">
        <v>49</v>
      </c>
      <c r="W60" s="3">
        <v>7</v>
      </c>
      <c r="X60" s="3">
        <v>203</v>
      </c>
      <c r="Y60" s="3">
        <v>1164</v>
      </c>
      <c r="Z60" s="3">
        <v>3129</v>
      </c>
      <c r="AA60" s="3">
        <v>1395</v>
      </c>
      <c r="AB60" s="3">
        <v>208</v>
      </c>
      <c r="AC60" s="3">
        <v>1986</v>
      </c>
      <c r="AD60" s="3">
        <v>34</v>
      </c>
      <c r="AE60" s="3">
        <v>119</v>
      </c>
      <c r="AF60" s="3">
        <v>158</v>
      </c>
      <c r="AG60" s="3">
        <v>237</v>
      </c>
      <c r="AH60" s="3">
        <v>187</v>
      </c>
      <c r="AI60" s="3">
        <v>1432</v>
      </c>
      <c r="AJ60" s="3">
        <v>333</v>
      </c>
      <c r="AK60" s="3">
        <v>389</v>
      </c>
      <c r="AL60" s="3">
        <v>396</v>
      </c>
      <c r="AM60" s="3">
        <v>513</v>
      </c>
      <c r="AN60" s="3">
        <v>103</v>
      </c>
    </row>
    <row r="61" spans="1:40" x14ac:dyDescent="0.3">
      <c r="A61" s="122">
        <v>221</v>
      </c>
      <c r="B61" s="3">
        <v>293</v>
      </c>
      <c r="C61" s="3">
        <v>84</v>
      </c>
      <c r="D61" s="3">
        <v>213</v>
      </c>
      <c r="E61" s="3">
        <v>4</v>
      </c>
      <c r="F61" s="3">
        <v>64</v>
      </c>
      <c r="G61" s="3">
        <v>292</v>
      </c>
      <c r="H61" s="3">
        <v>151</v>
      </c>
      <c r="I61" s="3">
        <v>223</v>
      </c>
      <c r="J61" s="3">
        <v>239</v>
      </c>
      <c r="K61" s="3">
        <v>58</v>
      </c>
      <c r="L61" s="3">
        <v>468</v>
      </c>
      <c r="M61" s="3">
        <v>2320</v>
      </c>
      <c r="N61" s="3">
        <v>505</v>
      </c>
      <c r="O61" s="3">
        <v>597</v>
      </c>
      <c r="P61" s="3">
        <v>265</v>
      </c>
      <c r="Q61" s="3">
        <v>401</v>
      </c>
      <c r="R61" s="3">
        <v>260</v>
      </c>
      <c r="S61" s="3">
        <v>252</v>
      </c>
      <c r="T61" s="3">
        <v>130</v>
      </c>
      <c r="U61" s="3">
        <v>1769</v>
      </c>
      <c r="V61" s="3">
        <v>60</v>
      </c>
      <c r="W61" s="3">
        <v>71</v>
      </c>
      <c r="X61" s="3">
        <v>182</v>
      </c>
      <c r="Y61" s="3">
        <v>1836</v>
      </c>
      <c r="Z61" s="3">
        <v>3092</v>
      </c>
      <c r="AA61" s="3">
        <v>780</v>
      </c>
      <c r="AB61" s="3">
        <v>1890</v>
      </c>
      <c r="AC61" s="3">
        <v>2012</v>
      </c>
      <c r="AD61" s="3">
        <v>144</v>
      </c>
      <c r="AE61" s="3">
        <v>94</v>
      </c>
      <c r="AF61" s="3">
        <v>989</v>
      </c>
      <c r="AG61" s="3">
        <v>489</v>
      </c>
      <c r="AH61" s="3">
        <v>942</v>
      </c>
      <c r="AI61" s="3">
        <v>780</v>
      </c>
      <c r="AJ61" s="3">
        <v>119</v>
      </c>
      <c r="AK61" s="3">
        <v>276</v>
      </c>
      <c r="AL61" s="3">
        <v>251</v>
      </c>
      <c r="AM61" s="3">
        <v>806</v>
      </c>
      <c r="AN61" s="3">
        <v>66</v>
      </c>
    </row>
    <row r="62" spans="1:40" x14ac:dyDescent="0.3">
      <c r="A62" s="122">
        <v>222</v>
      </c>
      <c r="B62" s="3">
        <v>182</v>
      </c>
      <c r="C62" s="3">
        <v>99</v>
      </c>
      <c r="D62" s="3">
        <v>307</v>
      </c>
      <c r="E62" s="3">
        <v>7</v>
      </c>
      <c r="F62" s="3">
        <v>165</v>
      </c>
      <c r="G62" s="3">
        <v>191</v>
      </c>
      <c r="H62" s="3">
        <v>158</v>
      </c>
      <c r="I62" s="3">
        <v>118</v>
      </c>
      <c r="J62" s="3">
        <v>733</v>
      </c>
      <c r="K62" s="3">
        <v>5</v>
      </c>
      <c r="L62" s="3">
        <v>365</v>
      </c>
      <c r="M62" s="3">
        <v>1479</v>
      </c>
      <c r="N62" s="3">
        <v>840</v>
      </c>
      <c r="O62" s="3">
        <v>116</v>
      </c>
      <c r="P62" s="3">
        <v>157</v>
      </c>
      <c r="Q62" s="3">
        <v>542</v>
      </c>
      <c r="R62" s="3">
        <v>146</v>
      </c>
      <c r="S62" s="3">
        <v>110</v>
      </c>
      <c r="T62" s="3">
        <v>189</v>
      </c>
      <c r="U62" s="3">
        <v>513</v>
      </c>
      <c r="V62" s="3">
        <v>47</v>
      </c>
      <c r="W62" s="3">
        <v>11</v>
      </c>
      <c r="X62" s="3">
        <v>229</v>
      </c>
      <c r="Y62" s="3">
        <v>947</v>
      </c>
      <c r="Z62" s="3">
        <v>788</v>
      </c>
      <c r="AA62" s="3">
        <v>979</v>
      </c>
      <c r="AB62" s="3">
        <v>507</v>
      </c>
      <c r="AC62" s="3">
        <v>903</v>
      </c>
      <c r="AD62" s="3">
        <v>289</v>
      </c>
      <c r="AE62" s="3">
        <v>148</v>
      </c>
      <c r="AF62" s="3">
        <v>41</v>
      </c>
      <c r="AG62" s="3">
        <v>235</v>
      </c>
      <c r="AH62" s="3">
        <v>601</v>
      </c>
      <c r="AI62" s="3">
        <v>564</v>
      </c>
      <c r="AJ62" s="3">
        <v>259</v>
      </c>
      <c r="AK62" s="3">
        <v>102</v>
      </c>
      <c r="AL62" s="3">
        <v>944</v>
      </c>
      <c r="AM62" s="3">
        <v>1034</v>
      </c>
      <c r="AN62" s="3">
        <v>3134</v>
      </c>
    </row>
    <row r="63" spans="1:40" x14ac:dyDescent="0.3">
      <c r="A63" s="122">
        <v>223</v>
      </c>
      <c r="B63" s="3">
        <v>256</v>
      </c>
      <c r="C63" s="3">
        <v>153</v>
      </c>
      <c r="D63" s="3">
        <v>121</v>
      </c>
      <c r="E63" s="3">
        <v>3</v>
      </c>
      <c r="F63" s="3">
        <v>15</v>
      </c>
      <c r="G63" s="3">
        <v>85</v>
      </c>
      <c r="H63" s="3">
        <v>252</v>
      </c>
      <c r="I63" s="3">
        <v>67</v>
      </c>
      <c r="J63" s="3">
        <v>224</v>
      </c>
      <c r="K63" s="3">
        <v>6</v>
      </c>
      <c r="L63" s="3">
        <v>443</v>
      </c>
      <c r="M63" s="3">
        <v>519</v>
      </c>
      <c r="N63" s="3">
        <v>721</v>
      </c>
      <c r="O63" s="3">
        <v>93</v>
      </c>
      <c r="P63" s="3">
        <v>306</v>
      </c>
      <c r="Q63" s="3">
        <v>929</v>
      </c>
      <c r="R63" s="3">
        <v>642</v>
      </c>
      <c r="S63" s="3">
        <v>802</v>
      </c>
      <c r="T63" s="3">
        <v>484</v>
      </c>
      <c r="U63" s="3">
        <v>978</v>
      </c>
      <c r="V63" s="3">
        <v>16</v>
      </c>
      <c r="W63" s="3">
        <v>46</v>
      </c>
      <c r="X63" s="3">
        <v>406</v>
      </c>
      <c r="Y63" s="3">
        <v>2338</v>
      </c>
      <c r="Z63" s="3">
        <v>3323</v>
      </c>
      <c r="AA63" s="3">
        <v>2838</v>
      </c>
      <c r="AB63" s="3">
        <v>1042</v>
      </c>
      <c r="AC63" s="3">
        <v>613</v>
      </c>
      <c r="AD63" s="3">
        <v>312</v>
      </c>
      <c r="AE63" s="3">
        <v>790</v>
      </c>
      <c r="AF63" s="3">
        <v>64</v>
      </c>
      <c r="AG63" s="3">
        <v>716</v>
      </c>
      <c r="AH63" s="3">
        <v>306</v>
      </c>
      <c r="AI63" s="3">
        <v>418</v>
      </c>
      <c r="AJ63" s="3">
        <v>112</v>
      </c>
      <c r="AK63" s="3">
        <v>361</v>
      </c>
      <c r="AL63" s="3">
        <v>288</v>
      </c>
      <c r="AM63" s="3">
        <v>1725</v>
      </c>
      <c r="AN63" s="3">
        <v>37</v>
      </c>
    </row>
    <row r="64" spans="1:40" x14ac:dyDescent="0.3">
      <c r="A64" s="122">
        <v>224</v>
      </c>
      <c r="B64" s="3">
        <v>158</v>
      </c>
      <c r="C64" s="3">
        <v>92</v>
      </c>
      <c r="D64" s="3">
        <v>130</v>
      </c>
      <c r="E64" s="3">
        <v>0</v>
      </c>
      <c r="F64" s="3">
        <v>41</v>
      </c>
      <c r="G64" s="3">
        <v>272</v>
      </c>
      <c r="H64" s="3">
        <v>160</v>
      </c>
      <c r="I64" s="3">
        <v>252</v>
      </c>
      <c r="J64" s="3">
        <v>54</v>
      </c>
      <c r="K64" s="3">
        <v>4</v>
      </c>
      <c r="L64" s="3">
        <v>437</v>
      </c>
      <c r="M64" s="3">
        <v>222</v>
      </c>
      <c r="N64" s="3">
        <v>861</v>
      </c>
      <c r="O64" s="3">
        <v>25</v>
      </c>
      <c r="P64" s="3">
        <v>523</v>
      </c>
      <c r="Q64" s="3">
        <v>107</v>
      </c>
      <c r="R64" s="3">
        <v>1014</v>
      </c>
      <c r="S64" s="3">
        <v>336</v>
      </c>
      <c r="T64" s="3">
        <v>151</v>
      </c>
      <c r="U64" s="3">
        <v>884</v>
      </c>
      <c r="V64" s="3">
        <v>12</v>
      </c>
      <c r="W64" s="3">
        <v>4</v>
      </c>
      <c r="X64" s="3">
        <v>137</v>
      </c>
      <c r="Y64" s="3">
        <v>547</v>
      </c>
      <c r="Z64" s="3">
        <v>184</v>
      </c>
      <c r="AA64" s="3">
        <v>2210</v>
      </c>
      <c r="AB64" s="3">
        <v>1536</v>
      </c>
      <c r="AC64" s="3">
        <v>1934</v>
      </c>
      <c r="AD64" s="3">
        <v>144</v>
      </c>
      <c r="AE64" s="3">
        <v>7</v>
      </c>
      <c r="AF64" s="3">
        <v>122</v>
      </c>
      <c r="AG64" s="3">
        <v>210</v>
      </c>
      <c r="AH64" s="3">
        <v>636</v>
      </c>
      <c r="AI64" s="3">
        <v>387</v>
      </c>
      <c r="AJ64" s="3">
        <v>26</v>
      </c>
      <c r="AK64" s="3">
        <v>340</v>
      </c>
      <c r="AL64" s="3">
        <v>636</v>
      </c>
      <c r="AM64" s="3">
        <v>755</v>
      </c>
      <c r="AN64" s="3">
        <v>3951</v>
      </c>
    </row>
    <row r="65" spans="1:40" x14ac:dyDescent="0.3">
      <c r="A65" s="122">
        <v>225</v>
      </c>
      <c r="B65" s="3">
        <v>581</v>
      </c>
      <c r="C65" s="3">
        <v>42</v>
      </c>
      <c r="D65" s="3">
        <v>83</v>
      </c>
      <c r="E65" s="3">
        <v>9</v>
      </c>
      <c r="F65" s="3">
        <v>156</v>
      </c>
      <c r="G65" s="3">
        <v>76</v>
      </c>
      <c r="H65" s="3">
        <v>470</v>
      </c>
      <c r="I65" s="3">
        <v>71</v>
      </c>
      <c r="J65" s="3">
        <v>479</v>
      </c>
      <c r="K65" s="3">
        <v>37</v>
      </c>
      <c r="L65" s="3">
        <v>1800</v>
      </c>
      <c r="M65" s="3">
        <v>877</v>
      </c>
      <c r="N65" s="3">
        <v>487</v>
      </c>
      <c r="O65" s="3">
        <v>14</v>
      </c>
      <c r="P65" s="3">
        <v>207</v>
      </c>
      <c r="Q65" s="3">
        <v>351</v>
      </c>
      <c r="R65" s="3">
        <v>628</v>
      </c>
      <c r="S65" s="3">
        <v>95</v>
      </c>
      <c r="T65" s="3">
        <v>531</v>
      </c>
      <c r="U65" s="3">
        <v>652</v>
      </c>
      <c r="V65" s="3">
        <v>22</v>
      </c>
      <c r="W65" s="3">
        <v>12</v>
      </c>
      <c r="X65" s="3">
        <v>364</v>
      </c>
      <c r="Y65" s="3">
        <v>1063</v>
      </c>
      <c r="Z65" s="3">
        <v>406</v>
      </c>
      <c r="AA65" s="3">
        <v>3048</v>
      </c>
      <c r="AB65" s="3">
        <v>950</v>
      </c>
      <c r="AC65" s="3">
        <v>732</v>
      </c>
      <c r="AD65" s="3">
        <v>93</v>
      </c>
      <c r="AE65" s="3">
        <v>1</v>
      </c>
      <c r="AF65" s="3">
        <v>197</v>
      </c>
      <c r="AG65" s="3">
        <v>90</v>
      </c>
      <c r="AH65" s="3">
        <v>88</v>
      </c>
      <c r="AI65" s="3">
        <v>541</v>
      </c>
      <c r="AJ65" s="107">
        <v>289.25229675209778</v>
      </c>
      <c r="AK65" s="3">
        <v>210</v>
      </c>
      <c r="AL65" s="3">
        <v>581</v>
      </c>
      <c r="AM65" s="3">
        <v>855</v>
      </c>
      <c r="AN65" s="3">
        <v>669</v>
      </c>
    </row>
    <row r="66" spans="1:40" x14ac:dyDescent="0.3">
      <c r="A66" s="122">
        <v>226</v>
      </c>
      <c r="B66" s="3">
        <v>595</v>
      </c>
      <c r="C66" s="3">
        <v>79</v>
      </c>
      <c r="D66" s="3">
        <v>31</v>
      </c>
      <c r="E66" s="3">
        <v>42</v>
      </c>
      <c r="F66" s="3">
        <v>48</v>
      </c>
      <c r="G66" s="3">
        <v>133</v>
      </c>
      <c r="H66" s="3">
        <v>291</v>
      </c>
      <c r="I66" s="3">
        <v>19</v>
      </c>
      <c r="J66" s="3">
        <v>346</v>
      </c>
      <c r="K66" s="3">
        <v>42</v>
      </c>
      <c r="L66" s="3">
        <v>43</v>
      </c>
      <c r="M66" s="3">
        <v>851</v>
      </c>
      <c r="N66" s="3">
        <v>340</v>
      </c>
      <c r="O66" s="3">
        <v>15</v>
      </c>
      <c r="P66" s="3">
        <v>184</v>
      </c>
      <c r="Q66" s="3">
        <v>222</v>
      </c>
      <c r="R66" s="3">
        <v>634</v>
      </c>
      <c r="S66" s="3">
        <v>68</v>
      </c>
      <c r="T66" s="3">
        <v>226</v>
      </c>
      <c r="U66" s="3">
        <v>1091</v>
      </c>
      <c r="V66" s="3">
        <v>4</v>
      </c>
      <c r="W66" s="3">
        <v>5</v>
      </c>
      <c r="X66" s="3">
        <v>103</v>
      </c>
      <c r="Y66" s="3">
        <v>1567</v>
      </c>
      <c r="Z66" s="3">
        <v>3439</v>
      </c>
      <c r="AA66" s="3">
        <v>1881</v>
      </c>
      <c r="AB66" s="3">
        <v>377</v>
      </c>
      <c r="AC66" s="3">
        <v>1246</v>
      </c>
      <c r="AD66" s="3">
        <v>99</v>
      </c>
      <c r="AE66" s="3">
        <v>48</v>
      </c>
      <c r="AF66" s="3">
        <v>147</v>
      </c>
      <c r="AG66" s="3">
        <v>641</v>
      </c>
      <c r="AH66" s="3">
        <v>109</v>
      </c>
      <c r="AI66" s="3">
        <v>240</v>
      </c>
      <c r="AJ66" s="107">
        <v>288.36100620115394</v>
      </c>
      <c r="AK66" s="3">
        <v>198</v>
      </c>
      <c r="AL66" s="3">
        <v>457</v>
      </c>
      <c r="AM66" s="3">
        <v>754</v>
      </c>
      <c r="AN66" s="3">
        <v>239</v>
      </c>
    </row>
    <row r="67" spans="1:40" x14ac:dyDescent="0.3">
      <c r="A67" s="122">
        <v>227</v>
      </c>
      <c r="B67" s="3">
        <v>343</v>
      </c>
      <c r="C67" s="3">
        <v>55</v>
      </c>
      <c r="D67" s="3">
        <v>24</v>
      </c>
      <c r="E67" s="3">
        <v>18</v>
      </c>
      <c r="F67" s="3">
        <v>32</v>
      </c>
      <c r="G67" s="3">
        <v>155</v>
      </c>
      <c r="H67" s="3">
        <v>80</v>
      </c>
      <c r="I67" s="3">
        <v>54</v>
      </c>
      <c r="J67" s="3">
        <v>428</v>
      </c>
      <c r="K67" s="3">
        <v>34</v>
      </c>
      <c r="L67" s="3">
        <v>203</v>
      </c>
      <c r="M67" s="3">
        <v>445</v>
      </c>
      <c r="N67" s="3">
        <v>418</v>
      </c>
      <c r="O67" s="3">
        <v>26</v>
      </c>
      <c r="P67" s="3">
        <v>509</v>
      </c>
      <c r="Q67" s="3">
        <v>806</v>
      </c>
      <c r="R67" s="3">
        <v>231</v>
      </c>
      <c r="S67" s="3">
        <v>409</v>
      </c>
      <c r="T67" s="3">
        <v>84</v>
      </c>
      <c r="U67" s="3">
        <v>563</v>
      </c>
      <c r="V67" s="3">
        <v>18</v>
      </c>
      <c r="W67" s="3">
        <v>12</v>
      </c>
      <c r="X67" s="3">
        <v>93</v>
      </c>
      <c r="Y67" s="3">
        <v>829</v>
      </c>
      <c r="Z67" s="3">
        <v>1189</v>
      </c>
      <c r="AA67" s="3">
        <v>2378</v>
      </c>
      <c r="AB67" s="3">
        <v>486</v>
      </c>
      <c r="AC67" s="3">
        <v>83</v>
      </c>
      <c r="AD67" s="3">
        <v>444</v>
      </c>
      <c r="AE67" s="3">
        <v>61</v>
      </c>
      <c r="AF67" s="3">
        <v>37</v>
      </c>
      <c r="AG67" s="3">
        <v>285</v>
      </c>
      <c r="AH67" s="3">
        <v>30</v>
      </c>
      <c r="AI67" s="3">
        <v>412</v>
      </c>
      <c r="AJ67" s="107">
        <v>213.79600057316071</v>
      </c>
      <c r="AK67" s="3">
        <v>231</v>
      </c>
      <c r="AL67" s="3">
        <v>408</v>
      </c>
      <c r="AM67" s="3">
        <v>800</v>
      </c>
      <c r="AN67" s="3">
        <v>346</v>
      </c>
    </row>
    <row r="68" spans="1:40" x14ac:dyDescent="0.3">
      <c r="A68" s="122">
        <v>228</v>
      </c>
      <c r="B68" s="3">
        <v>186</v>
      </c>
      <c r="C68" s="3">
        <v>28</v>
      </c>
      <c r="D68" s="3">
        <v>25</v>
      </c>
      <c r="E68" s="3">
        <v>8</v>
      </c>
      <c r="F68" s="3">
        <v>7</v>
      </c>
      <c r="G68" s="3">
        <v>82</v>
      </c>
      <c r="H68" s="3">
        <v>278</v>
      </c>
      <c r="I68" s="3">
        <v>107</v>
      </c>
      <c r="J68" s="3">
        <v>264</v>
      </c>
      <c r="K68" s="3">
        <v>46</v>
      </c>
      <c r="L68" s="3">
        <v>301</v>
      </c>
      <c r="M68" s="3">
        <v>910</v>
      </c>
      <c r="N68" s="3">
        <v>424</v>
      </c>
      <c r="O68" s="3">
        <v>29</v>
      </c>
      <c r="P68" s="3">
        <v>310</v>
      </c>
      <c r="Q68" s="3">
        <v>215</v>
      </c>
      <c r="R68" s="3">
        <v>541</v>
      </c>
      <c r="S68" s="3">
        <v>199</v>
      </c>
      <c r="T68" s="3">
        <v>427</v>
      </c>
      <c r="U68" s="3">
        <v>245</v>
      </c>
      <c r="V68" s="3">
        <v>7</v>
      </c>
      <c r="W68" s="3">
        <v>7</v>
      </c>
      <c r="X68" s="107">
        <v>226.97155645615175</v>
      </c>
      <c r="Y68" s="3">
        <v>2416</v>
      </c>
      <c r="Z68" s="3">
        <v>1305</v>
      </c>
      <c r="AA68" s="3">
        <v>840</v>
      </c>
      <c r="AB68" s="3">
        <v>1030</v>
      </c>
      <c r="AC68" s="3">
        <v>1300</v>
      </c>
      <c r="AD68" s="3">
        <v>63</v>
      </c>
      <c r="AE68" s="3">
        <v>101</v>
      </c>
      <c r="AF68" s="3">
        <v>47</v>
      </c>
      <c r="AG68" s="3">
        <v>55</v>
      </c>
      <c r="AH68" s="3">
        <v>401</v>
      </c>
      <c r="AI68" s="3">
        <v>420</v>
      </c>
      <c r="AJ68" s="3">
        <v>344</v>
      </c>
      <c r="AK68" s="3">
        <v>465</v>
      </c>
      <c r="AL68" s="3">
        <v>144</v>
      </c>
      <c r="AM68" s="3">
        <v>1710</v>
      </c>
      <c r="AN68" s="3">
        <v>0</v>
      </c>
    </row>
    <row r="69" spans="1:40" x14ac:dyDescent="0.3">
      <c r="A69" s="122">
        <v>229</v>
      </c>
      <c r="B69" s="3">
        <v>0</v>
      </c>
      <c r="C69" s="3">
        <v>5</v>
      </c>
      <c r="D69" s="3">
        <v>61</v>
      </c>
      <c r="E69" s="3">
        <v>2</v>
      </c>
      <c r="F69" s="3">
        <v>3</v>
      </c>
      <c r="G69" s="3">
        <v>82</v>
      </c>
      <c r="H69" s="3">
        <v>294</v>
      </c>
      <c r="I69" s="3">
        <v>21</v>
      </c>
      <c r="J69" s="3">
        <v>229</v>
      </c>
      <c r="K69" s="3">
        <v>96</v>
      </c>
      <c r="L69" s="3">
        <v>148</v>
      </c>
      <c r="M69" s="3">
        <v>661</v>
      </c>
      <c r="N69" s="3">
        <v>568</v>
      </c>
      <c r="O69" s="3">
        <v>20</v>
      </c>
      <c r="P69" s="3">
        <v>378</v>
      </c>
      <c r="Q69" s="3">
        <v>48</v>
      </c>
      <c r="R69" s="3">
        <v>420</v>
      </c>
      <c r="S69" s="3">
        <v>120</v>
      </c>
      <c r="T69" s="3">
        <v>118</v>
      </c>
      <c r="U69" s="3">
        <v>1926</v>
      </c>
      <c r="V69" s="3">
        <v>8</v>
      </c>
      <c r="W69" s="3">
        <v>1</v>
      </c>
      <c r="X69" s="107">
        <v>254.47585829296594</v>
      </c>
      <c r="Y69" s="3">
        <v>1080</v>
      </c>
      <c r="Z69" s="3">
        <v>289</v>
      </c>
      <c r="AA69" s="3">
        <v>1633</v>
      </c>
      <c r="AB69" s="3">
        <v>655</v>
      </c>
      <c r="AC69" s="3">
        <v>1027</v>
      </c>
      <c r="AD69" s="3">
        <v>433</v>
      </c>
      <c r="AE69" s="3">
        <v>95</v>
      </c>
      <c r="AF69" s="3">
        <v>47</v>
      </c>
      <c r="AG69" s="3">
        <v>831</v>
      </c>
      <c r="AH69" s="3">
        <v>131</v>
      </c>
      <c r="AI69" s="3">
        <v>149</v>
      </c>
      <c r="AJ69" s="3">
        <v>95</v>
      </c>
      <c r="AK69" s="3">
        <v>69</v>
      </c>
      <c r="AL69" s="3">
        <v>131</v>
      </c>
      <c r="AM69" s="3">
        <v>525</v>
      </c>
      <c r="AN69" s="3">
        <v>1220</v>
      </c>
    </row>
    <row r="70" spans="1:40" x14ac:dyDescent="0.3">
      <c r="A70" s="122">
        <v>230</v>
      </c>
      <c r="B70" s="3">
        <v>0</v>
      </c>
      <c r="C70" s="3">
        <v>56</v>
      </c>
      <c r="D70" s="3">
        <v>36</v>
      </c>
      <c r="E70" s="3">
        <v>25</v>
      </c>
      <c r="F70" s="3">
        <v>49</v>
      </c>
      <c r="G70" s="3">
        <v>35</v>
      </c>
      <c r="H70" s="3">
        <v>520</v>
      </c>
      <c r="I70" s="3">
        <v>137</v>
      </c>
      <c r="J70" s="3">
        <v>229</v>
      </c>
      <c r="K70" s="3">
        <v>57</v>
      </c>
      <c r="L70" s="3">
        <v>91</v>
      </c>
      <c r="M70" s="3">
        <v>287</v>
      </c>
      <c r="N70" s="3">
        <v>609</v>
      </c>
      <c r="O70" s="3">
        <v>32</v>
      </c>
      <c r="P70" s="3">
        <v>314</v>
      </c>
      <c r="Q70" s="3">
        <v>33</v>
      </c>
      <c r="R70" s="3">
        <v>424</v>
      </c>
      <c r="S70" s="3">
        <v>167</v>
      </c>
      <c r="T70" s="3">
        <v>394</v>
      </c>
      <c r="U70" s="3">
        <v>568</v>
      </c>
      <c r="V70" s="3">
        <v>206</v>
      </c>
      <c r="W70" s="3">
        <v>7</v>
      </c>
      <c r="X70" s="3">
        <v>50</v>
      </c>
      <c r="Y70" s="3">
        <v>1579</v>
      </c>
      <c r="Z70" s="3">
        <v>247</v>
      </c>
      <c r="AA70" s="3">
        <v>1131</v>
      </c>
      <c r="AB70" s="3">
        <v>943</v>
      </c>
      <c r="AC70" s="3">
        <v>437</v>
      </c>
      <c r="AD70" s="3">
        <v>114</v>
      </c>
      <c r="AE70" s="3">
        <v>424</v>
      </c>
      <c r="AF70" s="3">
        <v>19</v>
      </c>
      <c r="AG70" s="3">
        <v>851</v>
      </c>
      <c r="AH70" s="3">
        <v>313</v>
      </c>
      <c r="AI70" s="3">
        <v>274</v>
      </c>
      <c r="AJ70" s="3">
        <v>49</v>
      </c>
      <c r="AK70" s="3">
        <v>200</v>
      </c>
      <c r="AL70" s="3">
        <v>644</v>
      </c>
      <c r="AM70" s="3">
        <v>1025</v>
      </c>
      <c r="AN70" s="3">
        <v>30</v>
      </c>
    </row>
    <row r="71" spans="1:40" x14ac:dyDescent="0.3">
      <c r="A71" s="122">
        <v>231</v>
      </c>
      <c r="B71" s="3">
        <v>125</v>
      </c>
      <c r="C71" s="3">
        <v>47</v>
      </c>
      <c r="D71" s="3">
        <v>102</v>
      </c>
      <c r="E71" s="3">
        <v>2</v>
      </c>
      <c r="F71" s="3">
        <v>8</v>
      </c>
      <c r="G71" s="3">
        <v>28</v>
      </c>
      <c r="H71" s="3">
        <v>169</v>
      </c>
      <c r="I71" s="3">
        <v>93</v>
      </c>
      <c r="J71" s="3">
        <v>318</v>
      </c>
      <c r="K71" s="3">
        <v>116</v>
      </c>
      <c r="L71" s="3">
        <v>593</v>
      </c>
      <c r="M71" s="3">
        <v>569</v>
      </c>
      <c r="N71" s="3">
        <v>652</v>
      </c>
      <c r="O71" s="3">
        <v>569</v>
      </c>
      <c r="P71" s="3">
        <v>63</v>
      </c>
      <c r="Q71" s="3">
        <v>831</v>
      </c>
      <c r="R71" s="3">
        <v>366</v>
      </c>
      <c r="S71" s="3">
        <v>46</v>
      </c>
      <c r="T71" s="3">
        <v>679</v>
      </c>
      <c r="U71" s="3">
        <v>1269</v>
      </c>
      <c r="V71" s="3">
        <v>23</v>
      </c>
      <c r="W71" s="3">
        <v>2</v>
      </c>
      <c r="X71" s="3">
        <v>144</v>
      </c>
      <c r="Y71" s="3">
        <v>2848</v>
      </c>
      <c r="Z71" s="3">
        <v>686</v>
      </c>
      <c r="AA71" s="3">
        <v>1667</v>
      </c>
      <c r="AB71" s="3">
        <v>1488</v>
      </c>
      <c r="AC71" s="3">
        <v>530</v>
      </c>
      <c r="AD71" s="3">
        <v>151</v>
      </c>
      <c r="AE71" s="3">
        <v>10</v>
      </c>
      <c r="AF71" s="3">
        <v>391</v>
      </c>
      <c r="AG71" s="3">
        <v>1173</v>
      </c>
      <c r="AH71" s="3">
        <v>327</v>
      </c>
      <c r="AI71" s="3">
        <v>219</v>
      </c>
      <c r="AJ71" s="3">
        <v>112</v>
      </c>
      <c r="AK71" s="3">
        <v>236</v>
      </c>
      <c r="AL71" s="3">
        <v>132</v>
      </c>
      <c r="AM71" s="3">
        <v>610</v>
      </c>
      <c r="AN71" s="3">
        <v>816</v>
      </c>
    </row>
    <row r="72" spans="1:40" x14ac:dyDescent="0.3">
      <c r="A72" s="122">
        <v>232</v>
      </c>
      <c r="B72" s="3">
        <v>146</v>
      </c>
      <c r="C72" s="3">
        <v>81</v>
      </c>
      <c r="D72" s="3">
        <v>54</v>
      </c>
      <c r="E72" s="3">
        <v>2</v>
      </c>
      <c r="F72" s="3">
        <v>6</v>
      </c>
      <c r="G72" s="3">
        <v>125</v>
      </c>
      <c r="H72" s="3">
        <v>451</v>
      </c>
      <c r="I72" s="3">
        <v>65</v>
      </c>
      <c r="J72" s="3">
        <v>132</v>
      </c>
      <c r="K72" s="3">
        <v>61</v>
      </c>
      <c r="L72" s="3">
        <v>56</v>
      </c>
      <c r="M72" s="3">
        <v>806</v>
      </c>
      <c r="N72" s="3">
        <v>274</v>
      </c>
      <c r="O72" s="3">
        <v>72</v>
      </c>
      <c r="P72" s="3">
        <v>147</v>
      </c>
      <c r="Q72" s="3">
        <v>314</v>
      </c>
      <c r="R72" s="3">
        <v>264</v>
      </c>
      <c r="S72" s="3">
        <v>46</v>
      </c>
      <c r="T72" s="3">
        <v>604</v>
      </c>
      <c r="U72" s="3">
        <v>601</v>
      </c>
      <c r="V72" s="3">
        <v>29</v>
      </c>
      <c r="W72" s="3">
        <v>47</v>
      </c>
      <c r="X72" s="3">
        <v>94</v>
      </c>
      <c r="Y72" s="3">
        <v>960</v>
      </c>
      <c r="Z72" s="3">
        <v>411</v>
      </c>
      <c r="AA72" s="3">
        <v>767</v>
      </c>
      <c r="AB72" s="3">
        <v>614</v>
      </c>
      <c r="AC72" s="3">
        <v>1261</v>
      </c>
      <c r="AD72" s="3">
        <v>145</v>
      </c>
      <c r="AE72" s="3">
        <v>275</v>
      </c>
      <c r="AF72" s="3">
        <v>5</v>
      </c>
      <c r="AG72" s="3">
        <v>834</v>
      </c>
      <c r="AH72" s="3">
        <v>104</v>
      </c>
      <c r="AI72" s="3">
        <v>263</v>
      </c>
      <c r="AJ72" s="3">
        <v>13</v>
      </c>
      <c r="AK72" s="3">
        <v>297</v>
      </c>
      <c r="AL72" s="3">
        <v>100</v>
      </c>
      <c r="AM72" s="3">
        <v>1232</v>
      </c>
      <c r="AN72" s="3">
        <v>304</v>
      </c>
    </row>
    <row r="73" spans="1:40" x14ac:dyDescent="0.3">
      <c r="A73" s="122">
        <v>233</v>
      </c>
      <c r="B73" s="3">
        <v>83</v>
      </c>
      <c r="C73" s="3">
        <v>50</v>
      </c>
      <c r="D73" s="3">
        <v>31</v>
      </c>
      <c r="E73" s="3">
        <v>0</v>
      </c>
      <c r="F73" s="3">
        <v>6</v>
      </c>
      <c r="G73" s="3">
        <v>149</v>
      </c>
      <c r="H73" s="3">
        <v>320</v>
      </c>
      <c r="I73" s="3">
        <v>140</v>
      </c>
      <c r="J73" s="3">
        <v>41</v>
      </c>
      <c r="K73" s="3">
        <v>0</v>
      </c>
      <c r="L73" s="3"/>
      <c r="M73" s="3">
        <v>426</v>
      </c>
      <c r="N73" s="3">
        <v>280</v>
      </c>
      <c r="O73" s="3">
        <v>182</v>
      </c>
      <c r="P73" s="3">
        <v>206</v>
      </c>
      <c r="Q73" s="3">
        <v>335</v>
      </c>
      <c r="R73" s="3">
        <v>142</v>
      </c>
      <c r="S73" s="3">
        <v>374</v>
      </c>
      <c r="T73" s="3">
        <v>785</v>
      </c>
      <c r="U73" s="3">
        <v>742</v>
      </c>
      <c r="V73" s="3">
        <v>12</v>
      </c>
      <c r="W73" s="3">
        <v>246</v>
      </c>
      <c r="X73" s="3">
        <v>82</v>
      </c>
      <c r="Y73" s="3">
        <v>825</v>
      </c>
      <c r="Z73" s="3">
        <v>741</v>
      </c>
      <c r="AA73" s="3">
        <v>1173</v>
      </c>
      <c r="AB73" s="3">
        <v>1962</v>
      </c>
      <c r="AC73" s="3">
        <v>833</v>
      </c>
      <c r="AD73" s="3">
        <v>51</v>
      </c>
      <c r="AE73" s="3">
        <v>257</v>
      </c>
      <c r="AF73" s="3">
        <v>1084</v>
      </c>
      <c r="AG73" s="3">
        <v>733</v>
      </c>
      <c r="AH73" s="3">
        <v>280</v>
      </c>
      <c r="AI73" s="3">
        <v>113</v>
      </c>
      <c r="AJ73" s="3">
        <v>16</v>
      </c>
      <c r="AK73" s="3">
        <v>448</v>
      </c>
      <c r="AL73" s="3">
        <v>88</v>
      </c>
      <c r="AM73" s="3">
        <v>945</v>
      </c>
      <c r="AN73" s="3">
        <v>395</v>
      </c>
    </row>
    <row r="74" spans="1:40" x14ac:dyDescent="0.3">
      <c r="A74" s="122">
        <v>234</v>
      </c>
      <c r="B74" s="3">
        <v>63</v>
      </c>
      <c r="C74" s="3">
        <v>45</v>
      </c>
      <c r="D74" s="3">
        <v>56</v>
      </c>
      <c r="E74" s="3">
        <v>2</v>
      </c>
      <c r="F74" s="3">
        <v>5</v>
      </c>
      <c r="G74" s="3">
        <v>17</v>
      </c>
      <c r="H74" s="3">
        <v>167</v>
      </c>
      <c r="I74" s="3">
        <v>35</v>
      </c>
      <c r="J74" s="3">
        <v>6</v>
      </c>
      <c r="K74" s="3">
        <v>13</v>
      </c>
      <c r="L74" s="3"/>
      <c r="M74" s="3">
        <v>941</v>
      </c>
      <c r="N74" s="3">
        <v>1121</v>
      </c>
      <c r="O74" s="3">
        <v>81</v>
      </c>
      <c r="P74" s="3">
        <v>167</v>
      </c>
      <c r="Q74" s="3">
        <v>111</v>
      </c>
      <c r="R74" s="3">
        <v>286</v>
      </c>
      <c r="S74" s="3">
        <v>330</v>
      </c>
      <c r="T74" s="3">
        <v>489</v>
      </c>
      <c r="U74" s="3">
        <v>369</v>
      </c>
      <c r="V74" s="3">
        <v>27</v>
      </c>
      <c r="W74" s="3">
        <v>37</v>
      </c>
      <c r="X74" s="3">
        <v>81</v>
      </c>
      <c r="Y74" s="3">
        <v>112</v>
      </c>
      <c r="Z74" s="3">
        <v>581</v>
      </c>
      <c r="AA74" s="3">
        <v>1143</v>
      </c>
      <c r="AB74" s="3">
        <v>1646</v>
      </c>
      <c r="AC74" s="3">
        <v>537</v>
      </c>
      <c r="AD74" s="3">
        <v>70</v>
      </c>
      <c r="AE74" s="3">
        <v>180</v>
      </c>
      <c r="AF74" s="3">
        <v>388</v>
      </c>
      <c r="AG74" s="3">
        <v>149</v>
      </c>
      <c r="AH74" s="3">
        <v>533</v>
      </c>
      <c r="AI74" s="3">
        <v>332</v>
      </c>
      <c r="AJ74" s="3">
        <v>51</v>
      </c>
      <c r="AK74" s="3">
        <v>294</v>
      </c>
      <c r="AL74" s="3">
        <v>223</v>
      </c>
      <c r="AM74" s="3">
        <v>124</v>
      </c>
      <c r="AN74" s="3">
        <v>323</v>
      </c>
    </row>
    <row r="75" spans="1:40" x14ac:dyDescent="0.3">
      <c r="A75" s="122">
        <v>235</v>
      </c>
      <c r="B75" s="3">
        <v>53</v>
      </c>
      <c r="C75" s="3">
        <v>24</v>
      </c>
      <c r="D75" s="3">
        <v>58</v>
      </c>
      <c r="E75" s="3">
        <v>0</v>
      </c>
      <c r="F75" s="3">
        <v>7</v>
      </c>
      <c r="G75" s="3">
        <v>129</v>
      </c>
      <c r="H75" s="3">
        <v>184</v>
      </c>
      <c r="I75" s="3">
        <v>90</v>
      </c>
      <c r="J75" s="3"/>
      <c r="K75" s="3">
        <v>37</v>
      </c>
      <c r="L75" s="3"/>
      <c r="M75" s="3">
        <v>108</v>
      </c>
      <c r="N75" s="3">
        <v>494</v>
      </c>
      <c r="O75" s="3">
        <v>33</v>
      </c>
      <c r="P75" s="3">
        <v>119</v>
      </c>
      <c r="Q75" s="3">
        <v>127</v>
      </c>
      <c r="R75" s="3">
        <v>229</v>
      </c>
      <c r="S75" s="3">
        <v>234</v>
      </c>
      <c r="T75" s="3">
        <v>440</v>
      </c>
      <c r="U75" s="3">
        <v>542</v>
      </c>
      <c r="V75" s="3">
        <v>46</v>
      </c>
      <c r="W75" s="3">
        <v>96</v>
      </c>
      <c r="X75" s="3">
        <v>152</v>
      </c>
      <c r="Y75" s="3">
        <v>1218</v>
      </c>
      <c r="Z75" s="3">
        <v>843</v>
      </c>
      <c r="AA75" s="3">
        <v>863</v>
      </c>
      <c r="AB75" s="3">
        <v>668</v>
      </c>
      <c r="AC75" s="3">
        <v>771</v>
      </c>
      <c r="AD75" s="3">
        <v>204</v>
      </c>
      <c r="AE75" s="3">
        <v>87</v>
      </c>
      <c r="AF75" s="3">
        <v>82</v>
      </c>
      <c r="AG75" s="107">
        <v>199.52528477495045</v>
      </c>
      <c r="AH75" s="3">
        <v>202</v>
      </c>
      <c r="AI75" s="3">
        <v>125</v>
      </c>
      <c r="AJ75" s="3">
        <v>60</v>
      </c>
      <c r="AK75" s="3">
        <v>57</v>
      </c>
      <c r="AL75" s="3">
        <v>211</v>
      </c>
      <c r="AM75" s="3">
        <v>240</v>
      </c>
      <c r="AN75" s="3">
        <v>346</v>
      </c>
    </row>
    <row r="76" spans="1:40" x14ac:dyDescent="0.3">
      <c r="A76" s="122">
        <v>236</v>
      </c>
      <c r="B76" s="3">
        <v>44</v>
      </c>
      <c r="C76" s="3">
        <v>29</v>
      </c>
      <c r="D76" s="3">
        <v>60</v>
      </c>
      <c r="E76" s="3">
        <v>0</v>
      </c>
      <c r="F76" s="3">
        <v>9</v>
      </c>
      <c r="G76" s="3">
        <v>68</v>
      </c>
      <c r="H76" s="3">
        <v>177</v>
      </c>
      <c r="I76" s="3">
        <v>129</v>
      </c>
      <c r="J76" s="3"/>
      <c r="K76" s="3">
        <v>12</v>
      </c>
      <c r="L76" s="3"/>
      <c r="M76" s="3">
        <v>237</v>
      </c>
      <c r="N76" s="3">
        <v>393</v>
      </c>
      <c r="O76" s="3">
        <v>77</v>
      </c>
      <c r="P76" s="3">
        <v>61</v>
      </c>
      <c r="Q76" s="3">
        <v>1192</v>
      </c>
      <c r="R76" s="3">
        <v>199</v>
      </c>
      <c r="S76" s="3">
        <v>317</v>
      </c>
      <c r="T76" s="3">
        <v>625</v>
      </c>
      <c r="U76" s="3">
        <v>53</v>
      </c>
      <c r="V76" s="3">
        <v>14</v>
      </c>
      <c r="W76" s="3">
        <v>10</v>
      </c>
      <c r="X76" s="3">
        <v>87</v>
      </c>
      <c r="Y76" s="3">
        <v>440</v>
      </c>
      <c r="Z76" s="3">
        <v>880</v>
      </c>
      <c r="AA76" s="3">
        <v>1564</v>
      </c>
      <c r="AB76" s="3">
        <v>664</v>
      </c>
      <c r="AC76" s="3">
        <v>560</v>
      </c>
      <c r="AD76" s="3">
        <v>25</v>
      </c>
      <c r="AE76" s="3">
        <v>23</v>
      </c>
      <c r="AF76" s="3">
        <v>29</v>
      </c>
      <c r="AG76" s="107">
        <v>202.45166294194823</v>
      </c>
      <c r="AH76" s="3">
        <v>185</v>
      </c>
      <c r="AI76" s="3">
        <v>188</v>
      </c>
      <c r="AJ76" s="3">
        <v>43</v>
      </c>
      <c r="AK76" s="3">
        <v>206</v>
      </c>
      <c r="AL76" s="3">
        <v>76</v>
      </c>
      <c r="AM76" s="3">
        <v>889</v>
      </c>
      <c r="AN76" s="3">
        <v>734</v>
      </c>
    </row>
    <row r="77" spans="1:40" x14ac:dyDescent="0.3">
      <c r="A77" s="122">
        <v>237</v>
      </c>
      <c r="B77" s="3">
        <v>44</v>
      </c>
      <c r="C77" s="3">
        <v>63</v>
      </c>
      <c r="D77" s="3">
        <v>29</v>
      </c>
      <c r="E77" s="3">
        <v>0</v>
      </c>
      <c r="F77" s="3">
        <v>6</v>
      </c>
      <c r="G77" s="3">
        <v>41</v>
      </c>
      <c r="H77" s="3">
        <v>168</v>
      </c>
      <c r="I77" s="3">
        <v>58</v>
      </c>
      <c r="J77" s="3"/>
      <c r="K77" s="3">
        <v>38</v>
      </c>
      <c r="L77" s="3"/>
      <c r="M77" s="3">
        <v>303</v>
      </c>
      <c r="N77" s="3">
        <v>342</v>
      </c>
      <c r="O77" s="3">
        <v>11</v>
      </c>
      <c r="P77" s="3">
        <v>564</v>
      </c>
      <c r="Q77" s="3">
        <v>104</v>
      </c>
      <c r="R77" s="3">
        <v>156</v>
      </c>
      <c r="S77" s="3">
        <v>30</v>
      </c>
      <c r="T77" s="3">
        <v>42</v>
      </c>
      <c r="U77" s="3">
        <v>719</v>
      </c>
      <c r="V77" s="3">
        <v>84</v>
      </c>
      <c r="W77" s="3">
        <v>5</v>
      </c>
      <c r="X77" s="3">
        <v>167</v>
      </c>
      <c r="Y77" s="3">
        <v>303</v>
      </c>
      <c r="Z77" s="3">
        <v>516</v>
      </c>
      <c r="AA77" s="3">
        <v>2833</v>
      </c>
      <c r="AB77" s="3">
        <v>624</v>
      </c>
      <c r="AC77" s="3">
        <v>655</v>
      </c>
      <c r="AD77" s="3">
        <v>0</v>
      </c>
      <c r="AE77" s="3">
        <v>34</v>
      </c>
      <c r="AF77" s="3">
        <v>71</v>
      </c>
      <c r="AG77" s="107">
        <v>200.78765884685981</v>
      </c>
      <c r="AH77" s="3">
        <v>116</v>
      </c>
      <c r="AI77" s="3">
        <v>163</v>
      </c>
      <c r="AJ77" s="3">
        <v>167</v>
      </c>
      <c r="AK77" s="3">
        <v>54</v>
      </c>
      <c r="AL77" s="3">
        <v>280</v>
      </c>
      <c r="AM77" s="3">
        <v>1092</v>
      </c>
      <c r="AN77" s="3">
        <v>196</v>
      </c>
    </row>
    <row r="78" spans="1:40" x14ac:dyDescent="0.3">
      <c r="A78" s="122">
        <v>238</v>
      </c>
      <c r="B78" s="3">
        <v>60</v>
      </c>
      <c r="C78" s="3">
        <v>5</v>
      </c>
      <c r="D78" s="3">
        <v>29</v>
      </c>
      <c r="E78" s="3"/>
      <c r="F78" s="3">
        <v>5</v>
      </c>
      <c r="G78" s="3">
        <v>65</v>
      </c>
      <c r="H78" s="3">
        <v>49</v>
      </c>
      <c r="I78" s="3">
        <v>35</v>
      </c>
      <c r="J78" s="3"/>
      <c r="K78" s="3">
        <v>22</v>
      </c>
      <c r="L78" s="3"/>
      <c r="M78" s="3">
        <v>298</v>
      </c>
      <c r="N78" s="3">
        <v>399</v>
      </c>
      <c r="O78" s="3">
        <v>55</v>
      </c>
      <c r="P78" s="3">
        <v>22</v>
      </c>
      <c r="Q78" s="3">
        <v>124</v>
      </c>
      <c r="R78" s="3">
        <v>324</v>
      </c>
      <c r="S78" s="3">
        <v>241</v>
      </c>
      <c r="T78" s="3">
        <v>539</v>
      </c>
      <c r="U78" s="3">
        <v>283</v>
      </c>
      <c r="V78" s="3">
        <v>16</v>
      </c>
      <c r="W78" s="3">
        <v>6</v>
      </c>
      <c r="X78" s="3">
        <v>123</v>
      </c>
      <c r="Y78" s="3">
        <v>249</v>
      </c>
      <c r="Z78" s="3">
        <v>706</v>
      </c>
      <c r="AA78" s="3">
        <v>1056</v>
      </c>
      <c r="AB78" s="3">
        <v>704</v>
      </c>
      <c r="AC78" s="3">
        <v>207</v>
      </c>
      <c r="AD78" s="3">
        <v>168</v>
      </c>
      <c r="AE78" s="3">
        <v>33</v>
      </c>
      <c r="AF78" s="3">
        <v>159</v>
      </c>
      <c r="AG78" s="107">
        <v>151.35113288427112</v>
      </c>
      <c r="AH78" s="3">
        <v>151</v>
      </c>
      <c r="AI78" s="3">
        <v>201</v>
      </c>
      <c r="AJ78" s="3">
        <v>59</v>
      </c>
      <c r="AK78" s="107">
        <v>95.540370944437143</v>
      </c>
      <c r="AL78" s="3">
        <v>333</v>
      </c>
      <c r="AM78" s="3">
        <v>389</v>
      </c>
      <c r="AN78" s="3">
        <v>773</v>
      </c>
    </row>
    <row r="79" spans="1:40" x14ac:dyDescent="0.3">
      <c r="A79" s="122">
        <v>239</v>
      </c>
      <c r="B79" s="3">
        <v>44</v>
      </c>
      <c r="C79" s="3">
        <v>42</v>
      </c>
      <c r="D79" s="3">
        <v>20</v>
      </c>
      <c r="E79" s="3"/>
      <c r="F79" s="3">
        <v>1</v>
      </c>
      <c r="G79" s="3">
        <v>68</v>
      </c>
      <c r="H79" s="3">
        <v>80</v>
      </c>
      <c r="I79" s="3">
        <v>53</v>
      </c>
      <c r="J79" s="3"/>
      <c r="K79" s="3">
        <v>24</v>
      </c>
      <c r="L79" s="3"/>
      <c r="M79" s="3">
        <v>338</v>
      </c>
      <c r="N79" s="3">
        <v>82</v>
      </c>
      <c r="O79" s="3">
        <v>7</v>
      </c>
      <c r="P79" s="3">
        <v>47</v>
      </c>
      <c r="Q79" s="3">
        <v>446</v>
      </c>
      <c r="R79" s="3">
        <v>209</v>
      </c>
      <c r="S79" s="3">
        <v>24</v>
      </c>
      <c r="T79" s="3">
        <v>227</v>
      </c>
      <c r="U79" s="3">
        <v>131</v>
      </c>
      <c r="V79" s="3">
        <v>2</v>
      </c>
      <c r="W79" s="3">
        <v>2</v>
      </c>
      <c r="X79" s="3">
        <v>40</v>
      </c>
      <c r="Y79" s="3">
        <v>83</v>
      </c>
      <c r="Z79" s="3">
        <v>536</v>
      </c>
      <c r="AA79" s="3">
        <v>648</v>
      </c>
      <c r="AB79" s="3">
        <v>1281</v>
      </c>
      <c r="AC79" s="3">
        <v>320</v>
      </c>
      <c r="AD79" s="3">
        <v>316</v>
      </c>
      <c r="AE79" s="3">
        <v>6</v>
      </c>
      <c r="AF79" s="3">
        <v>102</v>
      </c>
      <c r="AG79" s="107">
        <v>130.0905404210983</v>
      </c>
      <c r="AH79" s="3">
        <v>127</v>
      </c>
      <c r="AI79" s="3">
        <v>146</v>
      </c>
      <c r="AJ79" s="3">
        <v>135</v>
      </c>
      <c r="AK79" s="107">
        <v>82.887030354248566</v>
      </c>
      <c r="AL79" s="3">
        <v>229</v>
      </c>
      <c r="AM79" s="3">
        <v>148</v>
      </c>
      <c r="AN79" s="3">
        <v>411</v>
      </c>
    </row>
    <row r="80" spans="1:40" x14ac:dyDescent="0.3">
      <c r="A80" s="122">
        <v>240</v>
      </c>
      <c r="B80" s="3">
        <v>25</v>
      </c>
      <c r="C80" s="3">
        <v>31</v>
      </c>
      <c r="D80" s="3">
        <v>21</v>
      </c>
      <c r="E80" s="3"/>
      <c r="F80" s="3">
        <v>3</v>
      </c>
      <c r="G80" s="3">
        <v>10</v>
      </c>
      <c r="H80" s="3">
        <v>48</v>
      </c>
      <c r="I80" s="3">
        <v>22</v>
      </c>
      <c r="J80" s="3"/>
      <c r="K80" s="3">
        <v>9</v>
      </c>
      <c r="L80" s="3"/>
      <c r="M80" s="3">
        <v>153</v>
      </c>
      <c r="N80" s="3">
        <v>328</v>
      </c>
      <c r="O80" s="3">
        <v>45</v>
      </c>
      <c r="P80" s="3">
        <v>163</v>
      </c>
      <c r="Q80" s="3">
        <v>186</v>
      </c>
      <c r="R80" s="3">
        <v>156</v>
      </c>
      <c r="S80" s="3">
        <v>17</v>
      </c>
      <c r="T80" s="3">
        <v>264</v>
      </c>
      <c r="U80" s="3">
        <v>144</v>
      </c>
      <c r="V80" s="3">
        <v>13</v>
      </c>
      <c r="W80" s="3">
        <v>22</v>
      </c>
      <c r="X80" s="3">
        <v>79</v>
      </c>
      <c r="Y80" s="3">
        <v>292</v>
      </c>
      <c r="Z80" s="3">
        <v>391</v>
      </c>
      <c r="AA80" s="3">
        <v>1145</v>
      </c>
      <c r="AB80" s="3">
        <v>1646</v>
      </c>
      <c r="AC80" s="3">
        <v>242</v>
      </c>
      <c r="AD80" s="3">
        <v>17</v>
      </c>
      <c r="AE80" s="3">
        <v>39</v>
      </c>
      <c r="AF80" s="3">
        <v>53</v>
      </c>
      <c r="AG80" s="3">
        <v>8</v>
      </c>
      <c r="AH80" s="3">
        <v>74</v>
      </c>
      <c r="AI80" s="3">
        <v>113</v>
      </c>
      <c r="AJ80" s="3">
        <v>209</v>
      </c>
      <c r="AK80" s="3">
        <v>73</v>
      </c>
      <c r="AL80" s="3">
        <v>89</v>
      </c>
      <c r="AM80" s="3">
        <v>331</v>
      </c>
      <c r="AN80" s="3">
        <v>37</v>
      </c>
    </row>
    <row r="81" spans="1:40" x14ac:dyDescent="0.3">
      <c r="A81" s="122">
        <v>241</v>
      </c>
      <c r="B81" s="3">
        <v>16</v>
      </c>
      <c r="C81" s="3">
        <v>44</v>
      </c>
      <c r="D81" s="3">
        <v>13</v>
      </c>
      <c r="E81" s="3"/>
      <c r="F81" s="3">
        <v>4</v>
      </c>
      <c r="G81" s="3">
        <v>12</v>
      </c>
      <c r="H81" s="3">
        <v>38</v>
      </c>
      <c r="I81" s="3">
        <v>5</v>
      </c>
      <c r="J81" s="3"/>
      <c r="K81" s="3">
        <v>42</v>
      </c>
      <c r="L81" s="3"/>
      <c r="M81" s="3">
        <v>155</v>
      </c>
      <c r="N81" s="3">
        <v>367</v>
      </c>
      <c r="O81" s="3">
        <v>46</v>
      </c>
      <c r="P81" s="3">
        <v>16</v>
      </c>
      <c r="Q81" s="3">
        <v>162</v>
      </c>
      <c r="R81" s="3">
        <v>427</v>
      </c>
      <c r="S81" s="3">
        <v>192</v>
      </c>
      <c r="T81" s="3">
        <v>367</v>
      </c>
      <c r="U81" s="3">
        <v>706</v>
      </c>
      <c r="V81" s="3">
        <v>8</v>
      </c>
      <c r="W81" s="3">
        <v>7</v>
      </c>
      <c r="X81" s="3">
        <v>64</v>
      </c>
      <c r="Y81" s="3">
        <v>210</v>
      </c>
      <c r="Z81" s="3">
        <v>71</v>
      </c>
      <c r="AA81" s="3">
        <v>322</v>
      </c>
      <c r="AB81" s="3">
        <v>515</v>
      </c>
      <c r="AC81" s="3">
        <v>376</v>
      </c>
      <c r="AD81" s="3">
        <v>23</v>
      </c>
      <c r="AE81" s="3">
        <v>88</v>
      </c>
      <c r="AF81" s="3">
        <v>54</v>
      </c>
      <c r="AG81" s="3">
        <v>22</v>
      </c>
      <c r="AH81" s="3">
        <v>105</v>
      </c>
      <c r="AI81" s="3">
        <v>74</v>
      </c>
      <c r="AJ81" s="3">
        <v>12</v>
      </c>
      <c r="AK81" s="3">
        <v>225</v>
      </c>
      <c r="AL81" s="3">
        <v>232</v>
      </c>
      <c r="AM81" s="3">
        <v>226</v>
      </c>
      <c r="AN81" s="3">
        <v>17</v>
      </c>
    </row>
    <row r="82" spans="1:40" x14ac:dyDescent="0.3">
      <c r="A82" s="122">
        <v>242</v>
      </c>
      <c r="B82" s="3">
        <v>35</v>
      </c>
      <c r="C82" s="3">
        <v>22</v>
      </c>
      <c r="D82" s="3">
        <v>0</v>
      </c>
      <c r="E82" s="3"/>
      <c r="F82" s="3">
        <v>2</v>
      </c>
      <c r="G82" s="3">
        <v>56</v>
      </c>
      <c r="H82" s="3">
        <v>88</v>
      </c>
      <c r="I82" s="3">
        <v>10</v>
      </c>
      <c r="J82" s="3"/>
      <c r="K82" s="3">
        <v>31</v>
      </c>
      <c r="L82" s="3"/>
      <c r="M82" s="3">
        <v>79</v>
      </c>
      <c r="N82" s="3">
        <v>236</v>
      </c>
      <c r="O82" s="3">
        <v>109</v>
      </c>
      <c r="P82" s="3">
        <v>27</v>
      </c>
      <c r="Q82" s="3">
        <v>228</v>
      </c>
      <c r="R82" s="3">
        <v>197</v>
      </c>
      <c r="S82" s="3">
        <v>110</v>
      </c>
      <c r="T82" s="3">
        <v>245</v>
      </c>
      <c r="U82" s="3">
        <v>46</v>
      </c>
      <c r="V82" s="3">
        <v>7</v>
      </c>
      <c r="W82" s="3">
        <v>74</v>
      </c>
      <c r="X82" s="3">
        <v>81</v>
      </c>
      <c r="Y82" s="3">
        <v>270</v>
      </c>
      <c r="Z82" s="3">
        <v>240</v>
      </c>
      <c r="AA82" s="3">
        <v>266</v>
      </c>
      <c r="AB82" s="3">
        <v>696</v>
      </c>
      <c r="AC82" s="3">
        <v>555</v>
      </c>
      <c r="AD82" s="3">
        <v>73</v>
      </c>
      <c r="AE82" s="3">
        <v>0</v>
      </c>
      <c r="AF82" s="3">
        <v>69</v>
      </c>
      <c r="AG82" s="3">
        <v>111</v>
      </c>
      <c r="AH82" s="3">
        <v>33</v>
      </c>
      <c r="AI82" s="3">
        <v>92</v>
      </c>
      <c r="AJ82" s="3">
        <v>347</v>
      </c>
      <c r="AK82" s="3">
        <v>23</v>
      </c>
      <c r="AL82" s="3">
        <v>78</v>
      </c>
      <c r="AM82" s="3">
        <v>127</v>
      </c>
      <c r="AN82" s="3">
        <v>0</v>
      </c>
    </row>
    <row r="83" spans="1:40" x14ac:dyDescent="0.3">
      <c r="A83" s="122">
        <v>243</v>
      </c>
      <c r="B83" s="3">
        <v>23</v>
      </c>
      <c r="C83" s="3">
        <v>11</v>
      </c>
      <c r="D83" s="3">
        <v>4</v>
      </c>
      <c r="E83" s="3"/>
      <c r="F83" s="3">
        <v>3</v>
      </c>
      <c r="G83" s="3">
        <v>20</v>
      </c>
      <c r="H83" s="3">
        <v>78</v>
      </c>
      <c r="I83" s="3">
        <v>27</v>
      </c>
      <c r="J83" s="3"/>
      <c r="K83" s="3">
        <v>26</v>
      </c>
      <c r="L83" s="3"/>
      <c r="M83" s="3">
        <v>81</v>
      </c>
      <c r="N83" s="3">
        <v>261</v>
      </c>
      <c r="O83" s="3">
        <v>107</v>
      </c>
      <c r="P83" s="3">
        <v>64</v>
      </c>
      <c r="Q83" s="3">
        <v>63</v>
      </c>
      <c r="R83" s="3">
        <v>170</v>
      </c>
      <c r="S83" s="3">
        <v>25</v>
      </c>
      <c r="T83" s="3">
        <v>114</v>
      </c>
      <c r="U83" s="3">
        <v>42</v>
      </c>
      <c r="V83" s="3"/>
      <c r="W83" s="3">
        <v>2</v>
      </c>
      <c r="X83" s="3">
        <v>51</v>
      </c>
      <c r="Y83" s="3">
        <v>544</v>
      </c>
      <c r="Z83" s="3">
        <v>260</v>
      </c>
      <c r="AA83" s="3">
        <v>153</v>
      </c>
      <c r="AB83" s="3">
        <v>546</v>
      </c>
      <c r="AC83" s="3">
        <v>164</v>
      </c>
      <c r="AD83" s="3">
        <v>36</v>
      </c>
      <c r="AE83" s="3">
        <v>40</v>
      </c>
      <c r="AF83" s="3">
        <v>54</v>
      </c>
      <c r="AG83" s="3">
        <v>74</v>
      </c>
      <c r="AH83" s="3">
        <v>64</v>
      </c>
      <c r="AI83" s="3">
        <v>49</v>
      </c>
      <c r="AJ83" s="3">
        <v>128</v>
      </c>
      <c r="AK83" s="3">
        <v>223</v>
      </c>
      <c r="AL83" s="3">
        <v>44</v>
      </c>
      <c r="AM83" s="3">
        <v>252</v>
      </c>
      <c r="AN83" s="3">
        <v>262</v>
      </c>
    </row>
    <row r="84" spans="1:40" x14ac:dyDescent="0.3">
      <c r="A84" s="122">
        <v>244</v>
      </c>
      <c r="B84" s="3">
        <v>25</v>
      </c>
      <c r="C84" s="3">
        <v>17</v>
      </c>
      <c r="D84" s="3">
        <v>7</v>
      </c>
      <c r="E84" s="3"/>
      <c r="F84" s="3">
        <v>6</v>
      </c>
      <c r="G84" s="3">
        <v>9</v>
      </c>
      <c r="H84" s="3"/>
      <c r="I84" s="3"/>
      <c r="J84" s="3"/>
      <c r="K84" s="3">
        <v>25</v>
      </c>
      <c r="L84" s="3"/>
      <c r="M84" s="3">
        <v>140</v>
      </c>
      <c r="N84" s="3">
        <v>201</v>
      </c>
      <c r="O84" s="3">
        <v>23</v>
      </c>
      <c r="P84" s="3">
        <v>202</v>
      </c>
      <c r="Q84" s="3">
        <v>80</v>
      </c>
      <c r="R84" s="3">
        <v>229</v>
      </c>
      <c r="S84" s="3"/>
      <c r="T84" s="3"/>
      <c r="U84" s="3">
        <v>150</v>
      </c>
      <c r="V84" s="3"/>
      <c r="W84" s="3">
        <v>1</v>
      </c>
      <c r="X84" s="3">
        <v>47</v>
      </c>
      <c r="Y84" s="3">
        <v>252</v>
      </c>
      <c r="Z84" s="3">
        <v>100</v>
      </c>
      <c r="AA84" s="3">
        <v>142</v>
      </c>
      <c r="AB84" s="3">
        <v>1246</v>
      </c>
      <c r="AC84" s="3">
        <v>53</v>
      </c>
      <c r="AD84" s="3">
        <v>8</v>
      </c>
      <c r="AE84" s="3">
        <v>15</v>
      </c>
      <c r="AF84" s="3">
        <v>59</v>
      </c>
      <c r="AG84" s="3">
        <v>38</v>
      </c>
      <c r="AH84" s="3">
        <v>36</v>
      </c>
      <c r="AI84" s="3">
        <v>101</v>
      </c>
      <c r="AJ84" s="3">
        <v>54</v>
      </c>
      <c r="AK84" s="3">
        <v>207</v>
      </c>
      <c r="AL84" s="3">
        <v>31</v>
      </c>
      <c r="AM84" s="3">
        <v>338</v>
      </c>
      <c r="AN84" s="3">
        <v>288</v>
      </c>
    </row>
    <row r="85" spans="1:40" x14ac:dyDescent="0.3">
      <c r="A85" s="122">
        <v>245</v>
      </c>
      <c r="B85" s="3">
        <v>32</v>
      </c>
      <c r="C85" s="3">
        <v>23</v>
      </c>
      <c r="D85" s="3">
        <v>7</v>
      </c>
      <c r="E85" s="3"/>
      <c r="F85" s="3">
        <v>5</v>
      </c>
      <c r="G85" s="3">
        <v>17</v>
      </c>
      <c r="H85" s="3"/>
      <c r="I85" s="3"/>
      <c r="J85" s="3"/>
      <c r="K85" s="3">
        <v>26</v>
      </c>
      <c r="L85" s="3"/>
      <c r="M85" s="3">
        <v>72</v>
      </c>
      <c r="N85" s="3">
        <v>111</v>
      </c>
      <c r="O85" s="3">
        <v>86</v>
      </c>
      <c r="P85" s="3">
        <v>35</v>
      </c>
      <c r="Q85" s="3">
        <v>182</v>
      </c>
      <c r="R85" s="3">
        <v>207</v>
      </c>
      <c r="S85" s="3"/>
      <c r="T85" s="3"/>
      <c r="U85" s="3">
        <v>447</v>
      </c>
      <c r="V85" s="3"/>
      <c r="W85" s="3">
        <v>3</v>
      </c>
      <c r="X85" s="3">
        <v>51</v>
      </c>
      <c r="Y85" s="3">
        <v>967</v>
      </c>
      <c r="Z85" s="3">
        <v>127</v>
      </c>
      <c r="AA85" s="3">
        <v>252</v>
      </c>
      <c r="AB85" s="3">
        <v>626</v>
      </c>
      <c r="AC85" s="3">
        <v>490</v>
      </c>
      <c r="AD85" s="3">
        <v>32</v>
      </c>
      <c r="AE85" s="3">
        <v>6</v>
      </c>
      <c r="AF85" s="3">
        <v>80</v>
      </c>
      <c r="AG85" s="3">
        <v>53</v>
      </c>
      <c r="AH85" s="3">
        <v>57</v>
      </c>
      <c r="AI85" s="3">
        <v>28</v>
      </c>
      <c r="AJ85" s="3">
        <v>221</v>
      </c>
      <c r="AK85" s="3"/>
      <c r="AL85" s="3">
        <v>15</v>
      </c>
      <c r="AM85" s="3">
        <v>253</v>
      </c>
      <c r="AN85" s="3">
        <v>175</v>
      </c>
    </row>
    <row r="86" spans="1:40" x14ac:dyDescent="0.3">
      <c r="A86" s="122">
        <v>246</v>
      </c>
      <c r="B86" s="3">
        <v>30</v>
      </c>
      <c r="C86" s="3">
        <v>10</v>
      </c>
      <c r="D86" s="3">
        <v>5</v>
      </c>
      <c r="E86" s="3"/>
      <c r="F86" s="3">
        <v>12</v>
      </c>
      <c r="G86" s="3">
        <v>8</v>
      </c>
      <c r="H86" s="3"/>
      <c r="I86" s="3"/>
      <c r="J86" s="3"/>
      <c r="K86" s="3">
        <v>34</v>
      </c>
      <c r="L86" s="3"/>
      <c r="M86" s="3">
        <v>42</v>
      </c>
      <c r="N86" s="3">
        <v>207</v>
      </c>
      <c r="O86" s="3">
        <v>183</v>
      </c>
      <c r="P86" s="3">
        <v>25</v>
      </c>
      <c r="Q86" s="3">
        <v>77</v>
      </c>
      <c r="R86" s="3">
        <v>69</v>
      </c>
      <c r="S86" s="3"/>
      <c r="T86" s="3"/>
      <c r="U86" s="3">
        <v>111</v>
      </c>
      <c r="V86" s="3"/>
      <c r="W86" s="3">
        <v>2</v>
      </c>
      <c r="X86" s="3">
        <v>29</v>
      </c>
      <c r="Y86" s="3">
        <v>236</v>
      </c>
      <c r="Z86" s="3">
        <v>119</v>
      </c>
      <c r="AA86" s="3">
        <v>400</v>
      </c>
      <c r="AB86" s="3"/>
      <c r="AC86" s="3">
        <v>349</v>
      </c>
      <c r="AD86" s="3">
        <v>17</v>
      </c>
      <c r="AE86" s="3">
        <v>41</v>
      </c>
      <c r="AF86" s="3">
        <v>18</v>
      </c>
      <c r="AG86" s="3">
        <v>96</v>
      </c>
      <c r="AH86" s="3">
        <v>104</v>
      </c>
      <c r="AI86" s="3">
        <v>62</v>
      </c>
      <c r="AJ86" s="3">
        <v>126</v>
      </c>
      <c r="AK86" s="3"/>
      <c r="AL86" s="3">
        <v>105</v>
      </c>
      <c r="AM86" s="3">
        <v>371</v>
      </c>
      <c r="AN86" s="3">
        <v>120</v>
      </c>
    </row>
    <row r="87" spans="1:40" x14ac:dyDescent="0.3">
      <c r="A87" s="122">
        <v>247</v>
      </c>
      <c r="B87" s="3">
        <v>14</v>
      </c>
      <c r="C87" s="3">
        <v>6</v>
      </c>
      <c r="D87" s="3">
        <v>18</v>
      </c>
      <c r="E87" s="3"/>
      <c r="F87" s="3">
        <v>4</v>
      </c>
      <c r="G87" s="3">
        <v>25</v>
      </c>
      <c r="H87" s="3"/>
      <c r="I87" s="3"/>
      <c r="J87" s="3"/>
      <c r="K87" s="3">
        <v>27</v>
      </c>
      <c r="L87" s="3"/>
      <c r="M87" s="3">
        <v>70</v>
      </c>
      <c r="N87" s="3">
        <v>176</v>
      </c>
      <c r="O87" s="3">
        <v>82</v>
      </c>
      <c r="P87" s="3">
        <v>98</v>
      </c>
      <c r="Q87" s="3">
        <v>108</v>
      </c>
      <c r="R87" s="3"/>
      <c r="S87" s="3"/>
      <c r="T87" s="3"/>
      <c r="U87" s="3">
        <v>762</v>
      </c>
      <c r="V87" s="3"/>
      <c r="W87" s="3">
        <v>6</v>
      </c>
      <c r="X87" s="3">
        <v>22</v>
      </c>
      <c r="Y87" s="3">
        <v>81</v>
      </c>
      <c r="Z87" s="3">
        <v>486</v>
      </c>
      <c r="AA87" s="3">
        <v>598</v>
      </c>
      <c r="AB87" s="3"/>
      <c r="AC87" s="3">
        <v>304</v>
      </c>
      <c r="AD87" s="3">
        <v>6</v>
      </c>
      <c r="AE87" s="3">
        <v>63</v>
      </c>
      <c r="AF87" s="3">
        <v>37</v>
      </c>
      <c r="AG87" s="3">
        <v>46</v>
      </c>
      <c r="AH87" s="3">
        <v>4</v>
      </c>
      <c r="AI87" s="3">
        <v>103</v>
      </c>
      <c r="AJ87" s="3"/>
      <c r="AK87" s="3"/>
      <c r="AL87" s="3">
        <v>20</v>
      </c>
      <c r="AM87" s="3">
        <v>122</v>
      </c>
      <c r="AN87" s="3">
        <v>126</v>
      </c>
    </row>
    <row r="88" spans="1:40" x14ac:dyDescent="0.3">
      <c r="A88" s="122">
        <v>248</v>
      </c>
      <c r="B88" s="3">
        <v>15</v>
      </c>
      <c r="C88" s="3">
        <v>20</v>
      </c>
      <c r="D88" s="3">
        <v>6</v>
      </c>
      <c r="E88" s="3"/>
      <c r="F88" s="3">
        <v>1</v>
      </c>
      <c r="G88" s="3">
        <v>27</v>
      </c>
      <c r="H88" s="3"/>
      <c r="I88" s="3"/>
      <c r="J88" s="3"/>
      <c r="K88" s="3">
        <v>26</v>
      </c>
      <c r="L88" s="3"/>
      <c r="M88" s="3">
        <v>79</v>
      </c>
      <c r="N88" s="3">
        <v>64</v>
      </c>
      <c r="O88" s="3">
        <v>48</v>
      </c>
      <c r="P88" s="3"/>
      <c r="Q88" s="3"/>
      <c r="R88" s="3"/>
      <c r="S88" s="3"/>
      <c r="T88" s="3"/>
      <c r="U88" s="3">
        <v>358</v>
      </c>
      <c r="V88" s="3"/>
      <c r="W88" s="3">
        <v>16</v>
      </c>
      <c r="X88" s="3">
        <v>21</v>
      </c>
      <c r="Y88" s="3">
        <v>233</v>
      </c>
      <c r="Z88" s="3">
        <v>142</v>
      </c>
      <c r="AA88" s="3">
        <v>200</v>
      </c>
      <c r="AB88" s="3"/>
      <c r="AC88" s="3">
        <v>373</v>
      </c>
      <c r="AD88" s="3">
        <v>22</v>
      </c>
      <c r="AE88" s="3">
        <v>68</v>
      </c>
      <c r="AF88" s="3">
        <v>158</v>
      </c>
      <c r="AG88" s="3">
        <v>13</v>
      </c>
      <c r="AH88" s="3">
        <v>10</v>
      </c>
      <c r="AI88" s="3">
        <v>38</v>
      </c>
      <c r="AJ88" s="3"/>
      <c r="AK88" s="3"/>
      <c r="AL88" s="3">
        <v>31</v>
      </c>
      <c r="AM88" s="3">
        <v>307</v>
      </c>
      <c r="AN88" s="3"/>
    </row>
    <row r="89" spans="1:40" x14ac:dyDescent="0.3">
      <c r="A89" s="122">
        <v>249</v>
      </c>
      <c r="B89" s="3">
        <v>23</v>
      </c>
      <c r="C89" s="3"/>
      <c r="D89" s="3">
        <v>0</v>
      </c>
      <c r="E89" s="3"/>
      <c r="F89" s="3">
        <v>1</v>
      </c>
      <c r="G89" s="3">
        <v>25</v>
      </c>
      <c r="H89" s="3"/>
      <c r="I89" s="3"/>
      <c r="J89" s="3"/>
      <c r="K89" s="3">
        <v>7</v>
      </c>
      <c r="L89" s="3"/>
      <c r="M89" s="3">
        <v>21</v>
      </c>
      <c r="N89" s="3"/>
      <c r="O89" s="3">
        <v>3</v>
      </c>
      <c r="P89" s="3"/>
      <c r="Q89" s="3"/>
      <c r="R89" s="3"/>
      <c r="S89" s="3"/>
      <c r="T89" s="3"/>
      <c r="U89" s="3">
        <v>251</v>
      </c>
      <c r="V89" s="3"/>
      <c r="W89" s="3">
        <v>7</v>
      </c>
      <c r="X89" s="3">
        <v>68</v>
      </c>
      <c r="Y89" s="3">
        <v>175</v>
      </c>
      <c r="Z89" s="3">
        <v>397</v>
      </c>
      <c r="AA89" s="3">
        <v>321</v>
      </c>
      <c r="AB89" s="3"/>
      <c r="AC89" s="3">
        <v>377</v>
      </c>
      <c r="AD89" s="3">
        <v>44</v>
      </c>
      <c r="AE89" s="3">
        <v>12</v>
      </c>
      <c r="AF89" s="3">
        <v>66</v>
      </c>
      <c r="AG89" s="3">
        <v>76</v>
      </c>
      <c r="AH89" s="3"/>
      <c r="AI89" s="3"/>
      <c r="AJ89" s="3"/>
      <c r="AK89" s="3"/>
      <c r="AL89" s="3">
        <v>12</v>
      </c>
      <c r="AM89" s="3">
        <v>244</v>
      </c>
      <c r="AN89" s="3"/>
    </row>
    <row r="90" spans="1:40" x14ac:dyDescent="0.3">
      <c r="A90" s="122">
        <v>250</v>
      </c>
      <c r="B90" s="3">
        <v>0</v>
      </c>
      <c r="C90" s="3"/>
      <c r="D90" s="3"/>
      <c r="E90" s="3"/>
      <c r="F90" s="3">
        <v>0</v>
      </c>
      <c r="G90" s="3">
        <v>18</v>
      </c>
      <c r="H90" s="3"/>
      <c r="I90" s="3"/>
      <c r="J90" s="3"/>
      <c r="K90" s="3">
        <v>12</v>
      </c>
      <c r="L90" s="3"/>
      <c r="M90" s="3">
        <v>253</v>
      </c>
      <c r="N90" s="3"/>
      <c r="O90" s="3"/>
      <c r="P90" s="3"/>
      <c r="Q90" s="3"/>
      <c r="R90" s="3"/>
      <c r="S90" s="3"/>
      <c r="T90" s="3"/>
      <c r="U90" s="3">
        <v>57</v>
      </c>
      <c r="V90" s="3"/>
      <c r="W90" s="3">
        <v>0</v>
      </c>
      <c r="X90" s="3">
        <v>39</v>
      </c>
      <c r="Y90" s="3">
        <v>405</v>
      </c>
      <c r="Z90" s="3">
        <v>683</v>
      </c>
      <c r="AA90" s="3">
        <v>188</v>
      </c>
      <c r="AB90" s="3"/>
      <c r="AC90" s="3">
        <v>287</v>
      </c>
      <c r="AD90" s="3">
        <v>18</v>
      </c>
      <c r="AE90" s="3">
        <v>13</v>
      </c>
      <c r="AF90" s="3">
        <v>24</v>
      </c>
      <c r="AG90" s="3">
        <v>56</v>
      </c>
      <c r="AH90" s="3"/>
      <c r="AI90" s="3"/>
      <c r="AJ90" s="3"/>
      <c r="AK90" s="3"/>
      <c r="AL90" s="3">
        <v>32</v>
      </c>
      <c r="AM90" s="3">
        <v>224</v>
      </c>
      <c r="AN90" s="3"/>
    </row>
    <row r="91" spans="1:40" x14ac:dyDescent="0.3">
      <c r="A91" s="122">
        <v>251</v>
      </c>
      <c r="B91" s="3">
        <v>4</v>
      </c>
      <c r="C91" s="3"/>
      <c r="D91" s="3"/>
      <c r="E91" s="3"/>
      <c r="F91" s="3">
        <v>0</v>
      </c>
      <c r="G91" s="3">
        <v>21</v>
      </c>
      <c r="H91" s="3"/>
      <c r="I91" s="3"/>
      <c r="J91" s="3"/>
      <c r="K91" s="3">
        <v>5</v>
      </c>
      <c r="L91" s="3"/>
      <c r="M91" s="3">
        <v>7</v>
      </c>
      <c r="N91" s="3"/>
      <c r="O91" s="3"/>
      <c r="P91" s="3"/>
      <c r="Q91" s="3"/>
      <c r="R91" s="3"/>
      <c r="S91" s="3"/>
      <c r="T91" s="3"/>
      <c r="U91" s="3">
        <v>178</v>
      </c>
      <c r="V91" s="3"/>
      <c r="W91" s="3">
        <v>4</v>
      </c>
      <c r="X91" s="3">
        <v>20</v>
      </c>
      <c r="Y91" s="3">
        <v>354</v>
      </c>
      <c r="Z91" s="3">
        <v>239</v>
      </c>
      <c r="AA91" s="3">
        <v>146</v>
      </c>
      <c r="AB91" s="3"/>
      <c r="AC91" s="3">
        <v>505</v>
      </c>
      <c r="AD91" s="3">
        <v>5</v>
      </c>
      <c r="AE91" s="3">
        <v>17</v>
      </c>
      <c r="AF91" s="3">
        <v>12</v>
      </c>
      <c r="AG91" s="3">
        <v>14</v>
      </c>
      <c r="AH91" s="3"/>
      <c r="AI91" s="3"/>
      <c r="AJ91" s="3"/>
      <c r="AK91" s="3"/>
      <c r="AL91" s="3"/>
      <c r="AM91" s="3">
        <v>256</v>
      </c>
      <c r="AN91" s="3"/>
    </row>
    <row r="92" spans="1:40" x14ac:dyDescent="0.3">
      <c r="A92" s="122">
        <v>252</v>
      </c>
      <c r="B92" s="3">
        <v>5</v>
      </c>
      <c r="C92" s="3"/>
      <c r="D92" s="3"/>
      <c r="E92" s="3"/>
      <c r="F92" s="3">
        <v>2</v>
      </c>
      <c r="G92" s="3">
        <v>12</v>
      </c>
      <c r="H92" s="3"/>
      <c r="I92" s="3"/>
      <c r="J92" s="3"/>
      <c r="K92" s="3">
        <v>24</v>
      </c>
      <c r="L92" s="3"/>
      <c r="M92" s="3">
        <v>8</v>
      </c>
      <c r="N92" s="3"/>
      <c r="O92" s="3"/>
      <c r="P92" s="3"/>
      <c r="Q92" s="3"/>
      <c r="R92" s="3"/>
      <c r="S92" s="3"/>
      <c r="T92" s="3"/>
      <c r="U92" s="3">
        <v>358</v>
      </c>
      <c r="V92" s="3"/>
      <c r="W92" s="3">
        <v>2</v>
      </c>
      <c r="X92" s="3">
        <v>13</v>
      </c>
      <c r="Y92" s="3">
        <v>159</v>
      </c>
      <c r="Z92" s="3">
        <v>95</v>
      </c>
      <c r="AA92" s="3">
        <v>81</v>
      </c>
      <c r="AB92" s="3"/>
      <c r="AC92" s="3">
        <v>236</v>
      </c>
      <c r="AD92" s="3">
        <v>6</v>
      </c>
      <c r="AE92" s="3">
        <v>31</v>
      </c>
      <c r="AF92" s="3">
        <v>80</v>
      </c>
      <c r="AG92" s="3"/>
      <c r="AH92" s="3"/>
      <c r="AI92" s="3"/>
      <c r="AJ92" s="3"/>
      <c r="AK92" s="3"/>
      <c r="AL92" s="3"/>
      <c r="AM92" s="3">
        <v>54</v>
      </c>
      <c r="AN92" s="3"/>
    </row>
    <row r="93" spans="1:40" x14ac:dyDescent="0.3">
      <c r="A93" s="122">
        <v>253</v>
      </c>
      <c r="B93" s="3">
        <v>0</v>
      </c>
      <c r="C93" s="3"/>
      <c r="D93" s="3"/>
      <c r="E93" s="3"/>
      <c r="F93" s="3">
        <v>0</v>
      </c>
      <c r="G93" s="3">
        <v>11</v>
      </c>
      <c r="H93" s="3"/>
      <c r="I93" s="3"/>
      <c r="J93" s="3"/>
      <c r="K93" s="3">
        <v>6</v>
      </c>
      <c r="L93" s="3"/>
      <c r="M93" s="3">
        <v>3</v>
      </c>
      <c r="N93" s="3"/>
      <c r="O93" s="3"/>
      <c r="P93" s="3"/>
      <c r="Q93" s="3"/>
      <c r="R93" s="3"/>
      <c r="S93" s="3"/>
      <c r="T93" s="3"/>
      <c r="U93" s="3"/>
      <c r="V93" s="3"/>
      <c r="W93" s="3">
        <v>0</v>
      </c>
      <c r="X93" s="3">
        <v>26</v>
      </c>
      <c r="Y93" s="3">
        <v>59</v>
      </c>
      <c r="Z93" s="3">
        <v>131</v>
      </c>
      <c r="AA93" s="3">
        <v>290</v>
      </c>
      <c r="AB93" s="3"/>
      <c r="AC93" s="3">
        <v>161</v>
      </c>
      <c r="AD93" s="3">
        <v>6</v>
      </c>
      <c r="AE93" s="3">
        <v>7</v>
      </c>
      <c r="AF93" s="3"/>
      <c r="AG93" s="3"/>
      <c r="AH93" s="3"/>
      <c r="AI93" s="3"/>
      <c r="AJ93" s="3"/>
      <c r="AK93" s="3"/>
      <c r="AL93" s="3"/>
      <c r="AM93" s="3">
        <v>253</v>
      </c>
      <c r="AN93" s="3"/>
    </row>
    <row r="94" spans="1:40" x14ac:dyDescent="0.3">
      <c r="A94" s="122">
        <v>254</v>
      </c>
      <c r="B94" s="3">
        <v>0</v>
      </c>
      <c r="C94" s="3"/>
      <c r="D94" s="3"/>
      <c r="E94" s="3"/>
      <c r="F94" s="3">
        <v>0</v>
      </c>
      <c r="G94" s="3">
        <v>5</v>
      </c>
      <c r="H94" s="3"/>
      <c r="I94" s="3"/>
      <c r="J94" s="3"/>
      <c r="K94" s="3">
        <v>7</v>
      </c>
      <c r="L94" s="3"/>
      <c r="M94" s="3">
        <v>14</v>
      </c>
      <c r="N94" s="3"/>
      <c r="O94" s="3"/>
      <c r="P94" s="3"/>
      <c r="Q94" s="3"/>
      <c r="R94" s="3"/>
      <c r="S94" s="3"/>
      <c r="T94" s="3"/>
      <c r="U94" s="3"/>
      <c r="V94" s="3"/>
      <c r="W94" s="3">
        <v>2</v>
      </c>
      <c r="X94" s="3"/>
      <c r="Y94" s="3">
        <v>129</v>
      </c>
      <c r="Z94" s="3">
        <v>151</v>
      </c>
      <c r="AA94" s="3">
        <v>157</v>
      </c>
      <c r="AB94" s="3"/>
      <c r="AC94" s="3">
        <v>311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1:40" x14ac:dyDescent="0.3">
      <c r="A95" s="122">
        <v>255</v>
      </c>
      <c r="B95" s="3">
        <v>0</v>
      </c>
      <c r="C95" s="3"/>
      <c r="D95" s="3"/>
      <c r="E95" s="3"/>
      <c r="F95" s="3">
        <v>1</v>
      </c>
      <c r="G95" s="3">
        <v>3</v>
      </c>
      <c r="H95" s="3"/>
      <c r="I95" s="3"/>
      <c r="J95" s="3"/>
      <c r="K95" s="3">
        <v>3</v>
      </c>
      <c r="L95" s="3"/>
      <c r="M95" s="3">
        <v>36</v>
      </c>
      <c r="N95" s="3"/>
      <c r="O95" s="3"/>
      <c r="P95" s="3"/>
      <c r="Q95" s="3"/>
      <c r="R95" s="3"/>
      <c r="S95" s="3"/>
      <c r="T95" s="3"/>
      <c r="U95" s="3"/>
      <c r="V95" s="3"/>
      <c r="W95" s="3">
        <v>1</v>
      </c>
      <c r="X95" s="3"/>
      <c r="Y95" s="3">
        <v>40</v>
      </c>
      <c r="Z95" s="3"/>
      <c r="AA95" s="3">
        <v>89</v>
      </c>
      <c r="AB95" s="3"/>
      <c r="AC95" s="3">
        <v>257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1:40" x14ac:dyDescent="0.3">
      <c r="A96" s="122">
        <v>256</v>
      </c>
      <c r="B96" s="3">
        <v>0</v>
      </c>
      <c r="C96" s="3"/>
      <c r="D96" s="3"/>
      <c r="E96" s="3"/>
      <c r="F96" s="3">
        <v>1</v>
      </c>
      <c r="G96" s="3">
        <v>5</v>
      </c>
      <c r="H96" s="3"/>
      <c r="I96" s="3"/>
      <c r="J96" s="3"/>
      <c r="K96" s="3">
        <v>1</v>
      </c>
      <c r="L96" s="3"/>
      <c r="M96" s="3">
        <v>7</v>
      </c>
      <c r="N96" s="3"/>
      <c r="O96" s="3"/>
      <c r="P96" s="3"/>
      <c r="Q96" s="3"/>
      <c r="R96" s="3"/>
      <c r="S96" s="3"/>
      <c r="T96" s="3"/>
      <c r="U96" s="3"/>
      <c r="V96" s="3"/>
      <c r="W96" s="3">
        <v>0</v>
      </c>
      <c r="X96" s="3"/>
      <c r="Y96" s="3">
        <v>55</v>
      </c>
      <c r="Z96" s="3"/>
      <c r="AA96" s="3">
        <v>96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1:40" x14ac:dyDescent="0.3">
      <c r="A97" s="122">
        <v>257</v>
      </c>
      <c r="B97" s="3">
        <v>2</v>
      </c>
      <c r="C97" s="3"/>
      <c r="D97" s="3"/>
      <c r="E97" s="3"/>
      <c r="F97" s="3">
        <v>1</v>
      </c>
      <c r="G97" s="3">
        <v>4</v>
      </c>
      <c r="H97" s="3"/>
      <c r="I97" s="3"/>
      <c r="J97" s="3"/>
      <c r="K97" s="3">
        <v>7</v>
      </c>
      <c r="L97" s="3"/>
      <c r="M97" s="3">
        <v>17</v>
      </c>
      <c r="N97" s="3"/>
      <c r="O97" s="3"/>
      <c r="P97" s="3"/>
      <c r="Q97" s="3"/>
      <c r="R97" s="3"/>
      <c r="S97" s="3"/>
      <c r="T97" s="3"/>
      <c r="U97" s="3"/>
      <c r="V97" s="3"/>
      <c r="W97" s="3">
        <v>0</v>
      </c>
      <c r="X97" s="3"/>
      <c r="Y97" s="3">
        <v>169</v>
      </c>
      <c r="Z97" s="3"/>
      <c r="AA97" s="3">
        <v>36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1:40" x14ac:dyDescent="0.3">
      <c r="A98" s="122">
        <v>258</v>
      </c>
      <c r="B98" s="3">
        <v>1</v>
      </c>
      <c r="C98" s="3"/>
      <c r="D98" s="3"/>
      <c r="E98" s="3"/>
      <c r="F98" s="3">
        <v>0</v>
      </c>
      <c r="G98" s="3">
        <v>2</v>
      </c>
      <c r="H98" s="3"/>
      <c r="I98" s="3"/>
      <c r="J98" s="3"/>
      <c r="K98" s="3">
        <v>2</v>
      </c>
      <c r="L98" s="3"/>
      <c r="M98" s="3">
        <v>32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>
        <v>60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1:40" x14ac:dyDescent="0.3">
      <c r="A99" s="122">
        <v>259</v>
      </c>
      <c r="B99" s="3">
        <v>0</v>
      </c>
      <c r="C99" s="3"/>
      <c r="D99" s="3"/>
      <c r="E99" s="3"/>
      <c r="F99" s="3">
        <v>0</v>
      </c>
      <c r="G99" s="3">
        <v>8</v>
      </c>
      <c r="H99" s="3"/>
      <c r="I99" s="3"/>
      <c r="J99" s="3"/>
      <c r="K99" s="3">
        <v>3</v>
      </c>
      <c r="L99" s="3"/>
      <c r="M99" s="3">
        <v>63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>
        <v>5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1:40" x14ac:dyDescent="0.3">
      <c r="A100" s="122">
        <v>260</v>
      </c>
      <c r="B100" s="3">
        <v>0</v>
      </c>
      <c r="C100" s="3"/>
      <c r="D100" s="3"/>
      <c r="E100" s="3"/>
      <c r="F100" s="3">
        <v>0</v>
      </c>
      <c r="G100" s="3">
        <v>0</v>
      </c>
      <c r="H100" s="3"/>
      <c r="I100" s="3"/>
      <c r="J100" s="3"/>
      <c r="K100" s="3">
        <v>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>
        <v>0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1:40" x14ac:dyDescent="0.3">
      <c r="A101" s="122">
        <v>261</v>
      </c>
      <c r="B101" s="3">
        <v>0</v>
      </c>
      <c r="C101" s="3"/>
      <c r="D101" s="3"/>
      <c r="E101" s="3"/>
      <c r="F101" s="3">
        <v>0</v>
      </c>
      <c r="G101" s="3">
        <v>3</v>
      </c>
      <c r="H101" s="3"/>
      <c r="I101" s="3"/>
      <c r="J101" s="3"/>
      <c r="K101" s="3">
        <v>4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>
        <v>16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1:40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1:40" x14ac:dyDescent="0.3">
      <c r="A103" s="1" t="s">
        <v>12</v>
      </c>
      <c r="B103" s="3">
        <v>22941</v>
      </c>
      <c r="C103" s="3">
        <v>19148</v>
      </c>
      <c r="D103" s="3">
        <v>22877</v>
      </c>
      <c r="E103" s="3">
        <v>430</v>
      </c>
      <c r="F103" s="3">
        <v>2525</v>
      </c>
      <c r="G103" s="3">
        <v>11530</v>
      </c>
      <c r="H103" s="3">
        <v>10669</v>
      </c>
      <c r="I103" s="3">
        <v>9414</v>
      </c>
      <c r="J103" s="3">
        <v>12990</v>
      </c>
      <c r="K103" s="3">
        <v>1888</v>
      </c>
      <c r="L103" s="3">
        <v>28669</v>
      </c>
      <c r="M103" s="3">
        <v>72517</v>
      </c>
      <c r="N103" s="3">
        <v>45039</v>
      </c>
      <c r="O103" s="3">
        <v>10231</v>
      </c>
      <c r="P103" s="3">
        <v>24707</v>
      </c>
      <c r="Q103" s="3">
        <v>39216</v>
      </c>
      <c r="R103" s="3">
        <v>34216</v>
      </c>
      <c r="S103" s="3">
        <v>18725</v>
      </c>
      <c r="T103" s="3">
        <v>28127</v>
      </c>
      <c r="U103" s="3">
        <v>57469</v>
      </c>
      <c r="V103" s="3">
        <v>2948</v>
      </c>
      <c r="W103" s="3">
        <v>3661</v>
      </c>
      <c r="X103" s="3">
        <v>23924.447414749116</v>
      </c>
      <c r="Y103" s="3">
        <v>69859</v>
      </c>
      <c r="Z103" s="3">
        <v>77049</v>
      </c>
      <c r="AA103" s="3">
        <v>65546</v>
      </c>
      <c r="AB103" s="3">
        <v>101067</v>
      </c>
      <c r="AC103" s="3">
        <v>66708</v>
      </c>
      <c r="AD103" s="3">
        <v>10021</v>
      </c>
      <c r="AE103" s="3">
        <v>12503</v>
      </c>
      <c r="AF103" s="3">
        <v>17030</v>
      </c>
      <c r="AG103" s="3">
        <v>22529.20627986913</v>
      </c>
      <c r="AH103" s="3">
        <v>40272</v>
      </c>
      <c r="AI103" s="3">
        <v>48355</v>
      </c>
      <c r="AJ103" s="3">
        <v>19485.409303526412</v>
      </c>
      <c r="AK103" s="3">
        <v>13539.404372589403</v>
      </c>
      <c r="AL103" s="3">
        <v>22553</v>
      </c>
      <c r="AM103" s="3">
        <v>55397</v>
      </c>
      <c r="AN103" s="3">
        <v>72409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39A0-A449-484F-BDA6-5B0C1D00BDD0}">
  <dimension ref="A1:AN126"/>
  <sheetViews>
    <sheetView zoomScale="75" zoomScaleNormal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9.109375" defaultRowHeight="13.8" x14ac:dyDescent="0.3"/>
  <cols>
    <col min="1" max="1" width="35.44140625" style="1" customWidth="1"/>
    <col min="2" max="40" width="8.109375" style="1" customWidth="1"/>
    <col min="41" max="16384" width="9.109375" style="1"/>
  </cols>
  <sheetData>
    <row r="1" spans="1:40" ht="18" x14ac:dyDescent="0.35">
      <c r="A1" s="108" t="s">
        <v>133</v>
      </c>
    </row>
    <row r="3" spans="1:40" x14ac:dyDescent="0.3">
      <c r="A3" s="89" t="s">
        <v>129</v>
      </c>
      <c r="B3" s="90">
        <v>1953</v>
      </c>
      <c r="C3" s="90">
        <v>1954</v>
      </c>
      <c r="D3" s="90">
        <v>1955</v>
      </c>
      <c r="E3" s="90">
        <v>1982</v>
      </c>
      <c r="F3" s="90">
        <v>1983</v>
      </c>
      <c r="G3" s="90">
        <v>1984</v>
      </c>
      <c r="H3" s="90">
        <v>1985</v>
      </c>
      <c r="I3" s="90">
        <v>1986</v>
      </c>
      <c r="J3" s="90">
        <v>1987</v>
      </c>
      <c r="K3" s="90">
        <v>1988</v>
      </c>
      <c r="L3" s="90">
        <v>1989</v>
      </c>
      <c r="M3" s="90">
        <v>1990</v>
      </c>
      <c r="N3" s="90">
        <v>1991</v>
      </c>
      <c r="O3" s="90">
        <v>1992</v>
      </c>
      <c r="P3" s="90">
        <v>1993</v>
      </c>
      <c r="Q3" s="90">
        <v>1994</v>
      </c>
      <c r="R3" s="90">
        <v>1995</v>
      </c>
      <c r="S3" s="90">
        <v>1996</v>
      </c>
      <c r="T3" s="90">
        <v>1997</v>
      </c>
      <c r="U3" s="90">
        <v>1999</v>
      </c>
      <c r="V3" s="90">
        <v>2000</v>
      </c>
      <c r="W3" s="90">
        <v>2001</v>
      </c>
      <c r="X3" s="90">
        <v>2002</v>
      </c>
      <c r="Y3" s="90">
        <v>2003</v>
      </c>
      <c r="Z3" s="90">
        <v>2004</v>
      </c>
      <c r="AA3" s="90">
        <v>2005</v>
      </c>
      <c r="AB3" s="90">
        <v>2006</v>
      </c>
      <c r="AC3" s="90">
        <v>2007</v>
      </c>
      <c r="AD3" s="90">
        <v>2008</v>
      </c>
      <c r="AE3" s="90">
        <v>2009</v>
      </c>
      <c r="AF3" s="90">
        <v>2010</v>
      </c>
      <c r="AG3" s="90">
        <v>2011</v>
      </c>
      <c r="AH3" s="90">
        <v>2012</v>
      </c>
      <c r="AI3" s="90">
        <v>2013</v>
      </c>
      <c r="AJ3" s="90">
        <v>2014</v>
      </c>
      <c r="AK3" s="90">
        <v>2015</v>
      </c>
      <c r="AL3" s="90">
        <v>2016</v>
      </c>
      <c r="AM3" s="90">
        <v>2017</v>
      </c>
      <c r="AN3" s="90">
        <v>2018</v>
      </c>
    </row>
    <row r="4" spans="1:40" x14ac:dyDescent="0.3">
      <c r="A4" s="91">
        <v>43261</v>
      </c>
      <c r="B4" s="92">
        <v>0</v>
      </c>
      <c r="C4" s="92">
        <v>0</v>
      </c>
      <c r="D4" s="92">
        <v>0</v>
      </c>
      <c r="E4" s="92">
        <v>0</v>
      </c>
      <c r="F4" s="92">
        <v>0</v>
      </c>
      <c r="G4" s="92">
        <v>0</v>
      </c>
      <c r="H4" s="92">
        <v>0</v>
      </c>
      <c r="I4" s="92">
        <v>0</v>
      </c>
      <c r="J4" s="92">
        <v>0</v>
      </c>
      <c r="K4" s="92"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2">
        <v>0</v>
      </c>
      <c r="R4" s="1">
        <v>0</v>
      </c>
      <c r="S4" s="92">
        <v>0</v>
      </c>
      <c r="T4" s="92">
        <v>0</v>
      </c>
      <c r="U4" s="92">
        <v>0</v>
      </c>
      <c r="V4" s="93">
        <v>0</v>
      </c>
      <c r="W4" s="92">
        <v>0</v>
      </c>
      <c r="X4" s="93">
        <v>3</v>
      </c>
      <c r="Y4" s="93">
        <v>2</v>
      </c>
      <c r="Z4" s="93">
        <v>6</v>
      </c>
      <c r="AA4" s="93">
        <v>0</v>
      </c>
      <c r="AB4" s="92">
        <v>1.5711179549169878</v>
      </c>
      <c r="AC4" s="92">
        <v>1.0116903049698054</v>
      </c>
      <c r="AD4" s="93">
        <v>0</v>
      </c>
      <c r="AE4" s="94">
        <v>0.18996116475558406</v>
      </c>
      <c r="AF4" s="94">
        <v>0.25646272691570465</v>
      </c>
      <c r="AG4" s="94">
        <v>0.33962964789192557</v>
      </c>
      <c r="AH4" s="95">
        <v>0.61205624029286954</v>
      </c>
      <c r="AI4" s="95">
        <v>0.73434235178031049</v>
      </c>
      <c r="AJ4" s="95">
        <v>0.29801843264023425</v>
      </c>
      <c r="AK4" s="95">
        <v>0.22451597892657385</v>
      </c>
      <c r="AL4" s="92">
        <v>0.3407709515657753</v>
      </c>
      <c r="AM4" s="92">
        <v>0.83346801323694863</v>
      </c>
      <c r="AN4" s="115">
        <v>1.1044092165856678</v>
      </c>
    </row>
    <row r="5" spans="1:40" x14ac:dyDescent="0.3">
      <c r="A5" s="91">
        <v>43262</v>
      </c>
      <c r="B5" s="92">
        <v>0</v>
      </c>
      <c r="C5" s="92">
        <v>0</v>
      </c>
      <c r="D5" s="92">
        <v>0</v>
      </c>
      <c r="E5" s="92">
        <v>0</v>
      </c>
      <c r="F5" s="92">
        <v>0</v>
      </c>
      <c r="G5" s="92">
        <v>0</v>
      </c>
      <c r="H5" s="92">
        <v>0</v>
      </c>
      <c r="I5" s="92">
        <v>0</v>
      </c>
      <c r="J5" s="92">
        <v>0</v>
      </c>
      <c r="K5" s="92">
        <v>0</v>
      </c>
      <c r="L5" s="92">
        <v>0</v>
      </c>
      <c r="M5" s="92">
        <v>0</v>
      </c>
      <c r="N5" s="92">
        <v>0</v>
      </c>
      <c r="O5" s="92">
        <v>0</v>
      </c>
      <c r="P5" s="1">
        <v>0</v>
      </c>
      <c r="Q5" s="92">
        <v>0</v>
      </c>
      <c r="R5" s="92">
        <v>0</v>
      </c>
      <c r="S5" s="92">
        <v>0</v>
      </c>
      <c r="T5" s="92">
        <v>0</v>
      </c>
      <c r="U5" s="92">
        <v>0</v>
      </c>
      <c r="V5" s="93">
        <v>0</v>
      </c>
      <c r="W5" s="92">
        <v>0</v>
      </c>
      <c r="X5" s="93">
        <v>2</v>
      </c>
      <c r="Y5" s="93">
        <v>0</v>
      </c>
      <c r="Z5" s="93">
        <v>29</v>
      </c>
      <c r="AA5" s="93">
        <v>0</v>
      </c>
      <c r="AB5" s="92">
        <v>4.4276960547692825</v>
      </c>
      <c r="AC5" s="92">
        <v>2.8511272230975444</v>
      </c>
      <c r="AD5" s="93">
        <v>0</v>
      </c>
      <c r="AE5" s="94">
        <v>0.53534510067526198</v>
      </c>
      <c r="AF5" s="94">
        <v>0.722758594036783</v>
      </c>
      <c r="AG5" s="94">
        <v>0.9571380986087723</v>
      </c>
      <c r="AH5" s="95">
        <v>1.7248857681364909</v>
      </c>
      <c r="AI5" s="95">
        <v>2.0695102641486165</v>
      </c>
      <c r="AJ5" s="95">
        <v>0.83987012836304542</v>
      </c>
      <c r="AK5" s="95">
        <v>0.63272684970416915</v>
      </c>
      <c r="AL5" s="92">
        <v>0.96035449987328525</v>
      </c>
      <c r="AM5" s="92">
        <v>2.3488644009479502</v>
      </c>
      <c r="AN5" s="115">
        <v>3.1124259740220261</v>
      </c>
    </row>
    <row r="6" spans="1:40" x14ac:dyDescent="0.3">
      <c r="A6" s="91">
        <v>43263</v>
      </c>
      <c r="B6" s="92">
        <v>0</v>
      </c>
      <c r="C6" s="92">
        <v>0</v>
      </c>
      <c r="D6" s="92">
        <v>0</v>
      </c>
      <c r="E6" s="92">
        <v>0</v>
      </c>
      <c r="F6" s="92">
        <v>0</v>
      </c>
      <c r="G6" s="92">
        <v>0</v>
      </c>
      <c r="H6" s="92">
        <v>0</v>
      </c>
      <c r="I6" s="92">
        <v>0</v>
      </c>
      <c r="J6" s="92">
        <v>0</v>
      </c>
      <c r="K6" s="92">
        <v>0</v>
      </c>
      <c r="L6" s="92">
        <v>0</v>
      </c>
      <c r="M6" s="92">
        <v>0</v>
      </c>
      <c r="N6" s="92">
        <v>0</v>
      </c>
      <c r="O6" s="92">
        <v>0</v>
      </c>
      <c r="P6" s="1">
        <v>0</v>
      </c>
      <c r="Q6" s="92">
        <v>0</v>
      </c>
      <c r="R6" s="92">
        <v>0</v>
      </c>
      <c r="S6" s="1">
        <v>0</v>
      </c>
      <c r="T6" s="92">
        <v>0</v>
      </c>
      <c r="U6" s="92">
        <v>0</v>
      </c>
      <c r="V6" s="93">
        <v>0</v>
      </c>
      <c r="W6" s="92">
        <v>0</v>
      </c>
      <c r="X6" s="93">
        <v>1</v>
      </c>
      <c r="Y6" s="93">
        <v>2</v>
      </c>
      <c r="Z6" s="93">
        <v>18</v>
      </c>
      <c r="AA6" s="93">
        <v>0</v>
      </c>
      <c r="AB6" s="92">
        <v>2.9994070048451809</v>
      </c>
      <c r="AC6" s="92">
        <v>1.9314087640341884</v>
      </c>
      <c r="AD6" s="93">
        <v>0</v>
      </c>
      <c r="AE6" s="94">
        <v>0.36265313271569544</v>
      </c>
      <c r="AF6" s="94">
        <v>0.48961066047726159</v>
      </c>
      <c r="AG6" s="94">
        <v>0.64838387325304925</v>
      </c>
      <c r="AH6" s="95">
        <v>1.1684710042390025</v>
      </c>
      <c r="AI6" s="95">
        <v>1.4019263079900852</v>
      </c>
      <c r="AJ6" s="95">
        <v>0.56894428051008072</v>
      </c>
      <c r="AK6" s="96">
        <v>0.42862141431664347</v>
      </c>
      <c r="AL6" s="92">
        <v>0.65056272572338414</v>
      </c>
      <c r="AM6" s="92">
        <v>1.5911662070971608</v>
      </c>
      <c r="AN6" s="115">
        <v>2.1084175953088313</v>
      </c>
    </row>
    <row r="7" spans="1:40" x14ac:dyDescent="0.3">
      <c r="A7" s="91">
        <v>43264</v>
      </c>
      <c r="B7" s="92">
        <v>2.4607930519200787</v>
      </c>
      <c r="C7" s="92">
        <v>2.078382618109206</v>
      </c>
      <c r="D7" s="92">
        <v>2.4812371416974854</v>
      </c>
      <c r="E7" s="92">
        <v>4.8876057072198782E-2</v>
      </c>
      <c r="F7" s="92">
        <v>0.27232025636927459</v>
      </c>
      <c r="G7" s="92">
        <v>1.2415643188365684</v>
      </c>
      <c r="H7" s="92">
        <v>1.1785130407539677</v>
      </c>
      <c r="I7" s="92">
        <v>1.0505770106071497</v>
      </c>
      <c r="J7" s="92">
        <v>1.5280556366142632</v>
      </c>
      <c r="K7" s="92">
        <v>0.34868843133423111</v>
      </c>
      <c r="L7" s="92">
        <v>3.385041664960311</v>
      </c>
      <c r="M7" s="92">
        <v>7.8465492279787217</v>
      </c>
      <c r="N7" s="92">
        <v>4.8796415495727627</v>
      </c>
      <c r="O7" s="92">
        <v>1.107152157175999</v>
      </c>
      <c r="P7" s="1">
        <v>0</v>
      </c>
      <c r="Q7" s="1">
        <v>0</v>
      </c>
      <c r="R7" s="92">
        <v>3.7310616598572737</v>
      </c>
      <c r="S7" s="1">
        <v>9</v>
      </c>
      <c r="T7" s="92">
        <v>3.0985377762824893</v>
      </c>
      <c r="U7" s="92">
        <v>6.1924391744873004</v>
      </c>
      <c r="V7" s="93">
        <v>1</v>
      </c>
      <c r="W7" s="93">
        <v>11</v>
      </c>
      <c r="X7" s="93">
        <v>4</v>
      </c>
      <c r="Y7" s="93">
        <v>3</v>
      </c>
      <c r="Z7" s="93">
        <v>29</v>
      </c>
      <c r="AA7" s="93">
        <v>0</v>
      </c>
      <c r="AB7" s="92">
        <v>14.272811173966659</v>
      </c>
      <c r="AC7" s="92">
        <v>9.1906942086329622</v>
      </c>
      <c r="AD7" s="93">
        <v>1</v>
      </c>
      <c r="AE7" s="94">
        <v>1.7257010057446533</v>
      </c>
      <c r="AF7" s="94">
        <v>2.3484550277811591</v>
      </c>
      <c r="AG7" s="94">
        <v>3.1100229018713978</v>
      </c>
      <c r="AH7" s="95">
        <v>5.6046606546913296</v>
      </c>
      <c r="AI7" s="95">
        <v>6.7244468973520322</v>
      </c>
      <c r="AJ7" s="95">
        <v>2.7289848118245073</v>
      </c>
      <c r="AK7" s="95">
        <v>2.0559154379700422</v>
      </c>
      <c r="AL7" s="97">
        <v>1</v>
      </c>
      <c r="AM7" s="92">
        <v>7.525546216966462</v>
      </c>
      <c r="AN7" s="115">
        <v>9.9719275003205556</v>
      </c>
    </row>
    <row r="8" spans="1:40" x14ac:dyDescent="0.3">
      <c r="A8" s="91">
        <v>43265</v>
      </c>
      <c r="B8" s="92">
        <v>1.7396143431693618</v>
      </c>
      <c r="C8" s="92">
        <v>1.4692760166221999</v>
      </c>
      <c r="D8" s="92">
        <v>1.7540669326637162</v>
      </c>
      <c r="E8" s="92">
        <v>3.4552068429330722E-2</v>
      </c>
      <c r="F8" s="92">
        <v>0.1925120129650586</v>
      </c>
      <c r="G8" s="92">
        <v>0.87770204622863057</v>
      </c>
      <c r="H8" s="92">
        <v>0.8331290547606891</v>
      </c>
      <c r="I8" s="92">
        <v>0.74268692965882632</v>
      </c>
      <c r="J8" s="92">
        <v>1.0802320416749458</v>
      </c>
      <c r="K8" s="92">
        <v>0.24649915033407618</v>
      </c>
      <c r="L8" s="92">
        <v>2.3929956352878508</v>
      </c>
      <c r="M8" s="92">
        <v>5.546979893627249</v>
      </c>
      <c r="N8" s="92">
        <v>3.4495767218377216</v>
      </c>
      <c r="O8" s="92">
        <v>0.78268173391981322</v>
      </c>
      <c r="P8" s="1">
        <v>0</v>
      </c>
      <c r="Q8" s="1">
        <v>0</v>
      </c>
      <c r="R8" s="1">
        <v>6</v>
      </c>
      <c r="S8" s="1">
        <v>3</v>
      </c>
      <c r="T8" s="92">
        <v>2.1904567530653734</v>
      </c>
      <c r="U8" s="92">
        <v>4.3776359002396115</v>
      </c>
      <c r="V8" s="93">
        <v>0</v>
      </c>
      <c r="W8" s="93">
        <v>6</v>
      </c>
      <c r="X8" s="93">
        <v>24</v>
      </c>
      <c r="Y8" s="93">
        <v>3</v>
      </c>
      <c r="Z8" s="93">
        <v>24</v>
      </c>
      <c r="AA8" s="93">
        <v>5</v>
      </c>
      <c r="AB8" s="92">
        <v>14.098726514232995</v>
      </c>
      <c r="AC8" s="92">
        <v>9.0785958381916352</v>
      </c>
      <c r="AD8" s="93">
        <v>0</v>
      </c>
      <c r="AE8" s="94">
        <v>1.7046527294991574</v>
      </c>
      <c r="AF8" s="94">
        <v>2.3014171766048981</v>
      </c>
      <c r="AG8" s="94">
        <v>3.0477313984663916</v>
      </c>
      <c r="AH8" s="95">
        <v>5.492403366441879</v>
      </c>
      <c r="AI8" s="98">
        <v>41</v>
      </c>
      <c r="AJ8" s="95">
        <v>3.3268683716793528</v>
      </c>
      <c r="AK8" s="95">
        <v>2.50633862653262</v>
      </c>
      <c r="AL8" s="97">
        <v>3</v>
      </c>
      <c r="AM8" s="92">
        <v>9.2638246733945433</v>
      </c>
      <c r="AN8" s="115">
        <v>12.275280139841731</v>
      </c>
    </row>
    <row r="9" spans="1:40" x14ac:dyDescent="0.3">
      <c r="A9" s="91">
        <v>43266</v>
      </c>
      <c r="B9" s="92">
        <v>2.3194857908924824</v>
      </c>
      <c r="C9" s="92">
        <v>1.9590346888295995</v>
      </c>
      <c r="D9" s="92">
        <v>2.3387559102182869</v>
      </c>
      <c r="E9" s="92">
        <v>4.6069424572440933E-2</v>
      </c>
      <c r="F9" s="92">
        <v>0.25668268395341132</v>
      </c>
      <c r="G9" s="92">
        <v>1.1702693949714806</v>
      </c>
      <c r="H9" s="92">
        <v>1.110838739680919</v>
      </c>
      <c r="I9" s="92">
        <v>0.99024923954510169</v>
      </c>
      <c r="J9" s="92">
        <v>1.4403093888999279</v>
      </c>
      <c r="K9" s="92">
        <v>0.32866553377876845</v>
      </c>
      <c r="L9" s="92">
        <v>3.1906608470504678</v>
      </c>
      <c r="M9" s="92">
        <v>7.3959731915029971</v>
      </c>
      <c r="N9" s="92">
        <v>4.5994356291169609</v>
      </c>
      <c r="O9" s="92">
        <v>1.0435756452264171</v>
      </c>
      <c r="P9" s="1">
        <v>0</v>
      </c>
      <c r="Q9" s="1">
        <v>6</v>
      </c>
      <c r="R9" s="1">
        <v>2</v>
      </c>
      <c r="S9" s="1">
        <v>4</v>
      </c>
      <c r="T9" s="92">
        <v>2.9206090040871628</v>
      </c>
      <c r="U9" s="92">
        <v>5.8368478669861448</v>
      </c>
      <c r="V9" s="93">
        <v>2</v>
      </c>
      <c r="W9" s="93">
        <v>3</v>
      </c>
      <c r="X9" s="93">
        <v>21</v>
      </c>
      <c r="Y9" s="93">
        <v>2</v>
      </c>
      <c r="Z9" s="93">
        <v>22</v>
      </c>
      <c r="AA9" s="93">
        <v>0</v>
      </c>
      <c r="AB9" s="92">
        <v>14.132557789227715</v>
      </c>
      <c r="AC9" s="92">
        <v>9.1003808179813763</v>
      </c>
      <c r="AD9" s="93">
        <v>7</v>
      </c>
      <c r="AE9" s="94">
        <v>1.7087432106641198</v>
      </c>
      <c r="AF9" s="94">
        <v>2.4372866461418132</v>
      </c>
      <c r="AG9" s="94">
        <v>3.2276612489386434</v>
      </c>
      <c r="AH9" s="95">
        <v>5.8166600637037433</v>
      </c>
      <c r="AI9" s="98">
        <v>33</v>
      </c>
      <c r="AJ9" s="95">
        <v>3.3256666179395427</v>
      </c>
      <c r="AK9" s="93">
        <v>0</v>
      </c>
      <c r="AL9" s="97">
        <v>3</v>
      </c>
      <c r="AM9" s="92">
        <v>9.1345750838899917</v>
      </c>
      <c r="AN9" s="115">
        <v>12.104014493604536</v>
      </c>
    </row>
    <row r="10" spans="1:40" x14ac:dyDescent="0.3">
      <c r="A10" s="91">
        <v>43267</v>
      </c>
      <c r="B10" s="1">
        <v>0</v>
      </c>
      <c r="C10" s="92">
        <v>8.8016618312446102</v>
      </c>
      <c r="D10" s="92">
        <v>10.507694807519114</v>
      </c>
      <c r="E10" s="92">
        <v>0.20698331589466673</v>
      </c>
      <c r="F10" s="92">
        <v>1.1532384775910913</v>
      </c>
      <c r="G10" s="92">
        <v>5.2578525151822575</v>
      </c>
      <c r="H10" s="92">
        <v>4.990839106354608</v>
      </c>
      <c r="I10" s="92">
        <v>4.4490477809398925</v>
      </c>
      <c r="J10" s="92">
        <v>6.471103470370287</v>
      </c>
      <c r="K10" s="92">
        <v>1.4766470958377171</v>
      </c>
      <c r="L10" s="92">
        <v>14.335181482008156</v>
      </c>
      <c r="M10" s="92">
        <v>33.229046588969055</v>
      </c>
      <c r="N10" s="1">
        <v>1</v>
      </c>
      <c r="O10" s="92">
        <v>4.6886356719321398</v>
      </c>
      <c r="P10" s="1">
        <v>14</v>
      </c>
      <c r="Q10" s="1">
        <v>19</v>
      </c>
      <c r="R10" s="1">
        <v>51</v>
      </c>
      <c r="S10" s="1">
        <v>0</v>
      </c>
      <c r="T10" s="92">
        <v>13.121877290799628</v>
      </c>
      <c r="U10" s="92">
        <v>26.224120164137904</v>
      </c>
      <c r="V10" s="93">
        <v>0</v>
      </c>
      <c r="W10" s="93">
        <v>5</v>
      </c>
      <c r="X10" s="93">
        <v>60</v>
      </c>
      <c r="Y10" s="93">
        <v>11</v>
      </c>
      <c r="Z10" s="93">
        <v>43</v>
      </c>
      <c r="AA10" s="93">
        <v>0</v>
      </c>
      <c r="AB10" s="92">
        <v>48.406705451994782</v>
      </c>
      <c r="AC10" s="92">
        <v>31.170539708705107</v>
      </c>
      <c r="AD10" s="93">
        <v>12</v>
      </c>
      <c r="AE10" s="94">
        <v>5.852771347207244</v>
      </c>
      <c r="AF10" s="94">
        <v>8.1251602234434781</v>
      </c>
      <c r="AG10" s="94">
        <v>10.760024815664895</v>
      </c>
      <c r="AH10" s="95">
        <v>19.390946512801904</v>
      </c>
      <c r="AI10" s="98">
        <v>220</v>
      </c>
      <c r="AJ10" s="98">
        <v>19</v>
      </c>
      <c r="AK10" s="93">
        <v>0</v>
      </c>
      <c r="AL10" s="97">
        <v>9</v>
      </c>
      <c r="AM10" s="92">
        <v>36.328879673467746</v>
      </c>
      <c r="AN10" s="117">
        <v>2</v>
      </c>
    </row>
    <row r="11" spans="1:40" x14ac:dyDescent="0.3">
      <c r="A11" s="91">
        <v>43268</v>
      </c>
      <c r="B11" s="1">
        <v>0</v>
      </c>
      <c r="C11" s="92">
        <v>5.3305551607311941</v>
      </c>
      <c r="D11" s="92">
        <v>6.3637808242954517</v>
      </c>
      <c r="E11" s="92">
        <v>0.12535541627046556</v>
      </c>
      <c r="F11" s="92">
        <v>0.69843643577107084</v>
      </c>
      <c r="G11" s="92">
        <v>3.1843160299197573</v>
      </c>
      <c r="H11" s="92">
        <v>3.022604556370907</v>
      </c>
      <c r="I11" s="92">
        <v>2.6944791862871837</v>
      </c>
      <c r="J11" s="92">
        <v>3.9190978545839843</v>
      </c>
      <c r="K11" s="92">
        <v>0.89430257015255277</v>
      </c>
      <c r="L11" s="1">
        <v>4</v>
      </c>
      <c r="M11" s="92">
        <v>20.124525251826704</v>
      </c>
      <c r="N11" s="1">
        <v>0</v>
      </c>
      <c r="O11" s="1">
        <v>0</v>
      </c>
      <c r="P11" s="1">
        <v>0</v>
      </c>
      <c r="Q11" s="1">
        <v>20</v>
      </c>
      <c r="R11" s="1">
        <v>27</v>
      </c>
      <c r="S11" s="1">
        <v>12</v>
      </c>
      <c r="T11" s="92">
        <v>7.9470095593329519</v>
      </c>
      <c r="U11" s="92">
        <v>15.88212791591992</v>
      </c>
      <c r="V11" s="93">
        <v>4</v>
      </c>
      <c r="W11" s="93">
        <v>10</v>
      </c>
      <c r="X11" s="93">
        <v>76</v>
      </c>
      <c r="Y11" s="93">
        <v>0</v>
      </c>
      <c r="Z11" s="93">
        <v>23</v>
      </c>
      <c r="AA11" s="93">
        <v>3</v>
      </c>
      <c r="AB11" s="92">
        <v>35.591047897953651</v>
      </c>
      <c r="AC11" s="93">
        <v>86</v>
      </c>
      <c r="AD11" s="93">
        <v>5</v>
      </c>
      <c r="AE11" s="8">
        <v>0</v>
      </c>
      <c r="AF11" s="94">
        <v>6.9973550676462599</v>
      </c>
      <c r="AG11" s="109">
        <v>0</v>
      </c>
      <c r="AH11" s="99">
        <v>0</v>
      </c>
      <c r="AI11" s="99">
        <v>276</v>
      </c>
      <c r="AJ11" s="98">
        <v>4</v>
      </c>
      <c r="AK11" s="93">
        <v>1</v>
      </c>
      <c r="AL11" s="100">
        <v>8</v>
      </c>
      <c r="AM11" s="113">
        <v>3</v>
      </c>
      <c r="AN11" s="117">
        <v>42</v>
      </c>
    </row>
    <row r="12" spans="1:40" x14ac:dyDescent="0.3">
      <c r="A12" s="91">
        <v>43269</v>
      </c>
      <c r="B12" s="1">
        <v>0</v>
      </c>
      <c r="C12" s="92">
        <v>9.0534825745751863</v>
      </c>
      <c r="D12" s="92">
        <v>10.808326161898602</v>
      </c>
      <c r="E12" s="92">
        <v>0.2129052308085681</v>
      </c>
      <c r="F12" s="92">
        <v>1.1862333115476893</v>
      </c>
      <c r="G12" s="92">
        <v>5.4082827809742531</v>
      </c>
      <c r="H12" s="92">
        <v>5.133629960820425</v>
      </c>
      <c r="I12" s="92">
        <v>4.5763376655988655</v>
      </c>
      <c r="J12" s="92">
        <v>6.6562455625473973</v>
      </c>
      <c r="K12" s="92">
        <v>1.5188948413702115</v>
      </c>
      <c r="L12" s="1">
        <v>23</v>
      </c>
      <c r="M12" s="92">
        <v>34.179749237229409</v>
      </c>
      <c r="N12" s="1">
        <v>0</v>
      </c>
      <c r="O12" s="1">
        <v>0</v>
      </c>
      <c r="P12" s="1">
        <v>3</v>
      </c>
      <c r="Q12" s="1">
        <v>32</v>
      </c>
      <c r="R12" s="1">
        <v>41</v>
      </c>
      <c r="S12" s="1">
        <v>8</v>
      </c>
      <c r="T12" s="92">
        <v>13.497301949978127</v>
      </c>
      <c r="U12" s="92">
        <v>26.974407730213063</v>
      </c>
      <c r="V12" s="93">
        <v>1</v>
      </c>
      <c r="W12" s="93">
        <v>0</v>
      </c>
      <c r="X12" s="93">
        <v>39</v>
      </c>
      <c r="Y12" s="93">
        <v>1</v>
      </c>
      <c r="Z12" s="93">
        <v>53</v>
      </c>
      <c r="AA12" s="93">
        <v>119</v>
      </c>
      <c r="AB12" s="92">
        <v>62.731283054616625</v>
      </c>
      <c r="AC12" s="93">
        <v>220</v>
      </c>
      <c r="AD12" s="93">
        <v>0</v>
      </c>
      <c r="AE12" s="8">
        <v>0</v>
      </c>
      <c r="AF12" s="94">
        <v>13.443189711286484</v>
      </c>
      <c r="AG12" s="109">
        <v>0</v>
      </c>
      <c r="AH12" s="99">
        <v>0</v>
      </c>
      <c r="AI12" s="99">
        <v>341</v>
      </c>
      <c r="AJ12" s="98">
        <v>241</v>
      </c>
      <c r="AK12" s="93">
        <v>1</v>
      </c>
      <c r="AL12" s="100">
        <v>4</v>
      </c>
      <c r="AM12" s="97">
        <v>1</v>
      </c>
      <c r="AN12" s="117">
        <v>2</v>
      </c>
    </row>
    <row r="13" spans="1:40" x14ac:dyDescent="0.3">
      <c r="A13" s="91">
        <v>43270</v>
      </c>
      <c r="B13" s="1">
        <v>0</v>
      </c>
      <c r="C13" s="92">
        <v>12.246893795741583</v>
      </c>
      <c r="D13" s="92">
        <v>14.62071877028178</v>
      </c>
      <c r="E13" s="92">
        <v>0.28800273583039293</v>
      </c>
      <c r="F13" s="92">
        <v>1.6046502838911616</v>
      </c>
      <c r="G13" s="92">
        <v>7.315932216176007</v>
      </c>
      <c r="H13" s="92">
        <v>6.9444018253669526</v>
      </c>
      <c r="I13" s="92">
        <v>6.1905372769411127</v>
      </c>
      <c r="J13" s="92">
        <v>9.0040856445482316</v>
      </c>
      <c r="K13" s="92">
        <v>2.0546506447586594</v>
      </c>
      <c r="L13" s="1">
        <v>25</v>
      </c>
      <c r="M13" s="92">
        <v>46.235882758423415</v>
      </c>
      <c r="N13" s="1">
        <v>0</v>
      </c>
      <c r="O13" s="1">
        <v>1</v>
      </c>
      <c r="P13" s="1">
        <v>0</v>
      </c>
      <c r="Q13" s="1">
        <v>70</v>
      </c>
      <c r="R13" s="1">
        <v>34</v>
      </c>
      <c r="S13" s="1">
        <v>14</v>
      </c>
      <c r="T13" s="1">
        <v>19</v>
      </c>
      <c r="U13" s="92">
        <v>36.489019993567759</v>
      </c>
      <c r="V13" s="93">
        <v>0</v>
      </c>
      <c r="W13" s="93">
        <v>6</v>
      </c>
      <c r="X13" s="93">
        <v>17</v>
      </c>
      <c r="Y13" s="93">
        <v>0</v>
      </c>
      <c r="Z13" s="93">
        <v>61</v>
      </c>
      <c r="AA13" s="93">
        <v>8</v>
      </c>
      <c r="AB13" s="92">
        <v>56.845158042896337</v>
      </c>
      <c r="AC13" s="93">
        <v>447</v>
      </c>
      <c r="AD13" s="93">
        <v>11</v>
      </c>
      <c r="AE13" s="8">
        <v>9</v>
      </c>
      <c r="AF13" s="8">
        <v>0</v>
      </c>
      <c r="AG13" s="8">
        <v>12</v>
      </c>
      <c r="AH13" s="99">
        <v>0</v>
      </c>
      <c r="AI13" s="99">
        <v>397</v>
      </c>
      <c r="AJ13" s="98">
        <v>42</v>
      </c>
      <c r="AK13" s="93">
        <v>0</v>
      </c>
      <c r="AL13" s="100">
        <v>12</v>
      </c>
      <c r="AM13" s="97">
        <v>48</v>
      </c>
      <c r="AN13" s="117">
        <v>2</v>
      </c>
    </row>
    <row r="14" spans="1:40" x14ac:dyDescent="0.3">
      <c r="A14" s="91">
        <v>43271</v>
      </c>
      <c r="B14" s="1">
        <v>7</v>
      </c>
      <c r="C14" s="1">
        <v>11</v>
      </c>
      <c r="D14" s="92">
        <v>19.88688140088869</v>
      </c>
      <c r="E14" s="92">
        <v>0.39173698233169163</v>
      </c>
      <c r="F14" s="92">
        <v>2.1826211410693168</v>
      </c>
      <c r="G14" s="92">
        <v>9.9510207812583307</v>
      </c>
      <c r="H14" s="92">
        <v>9.4456707410240739</v>
      </c>
      <c r="I14" s="92">
        <v>8.4202755397053028</v>
      </c>
      <c r="J14" s="92">
        <v>12.247221641425179</v>
      </c>
      <c r="K14" s="92">
        <v>2.7947048523791813</v>
      </c>
      <c r="L14" s="1">
        <v>11</v>
      </c>
      <c r="M14" s="92">
        <v>62.889351154969219</v>
      </c>
      <c r="N14" s="1">
        <v>1</v>
      </c>
      <c r="O14" s="1">
        <v>0</v>
      </c>
      <c r="P14" s="1">
        <v>39</v>
      </c>
      <c r="Q14" s="1">
        <v>47</v>
      </c>
      <c r="R14" s="1">
        <v>68</v>
      </c>
      <c r="S14" s="1">
        <v>18</v>
      </c>
      <c r="T14" s="1">
        <v>78</v>
      </c>
      <c r="U14" s="1">
        <v>8</v>
      </c>
      <c r="V14" s="1">
        <v>1</v>
      </c>
      <c r="W14" s="93">
        <v>10</v>
      </c>
      <c r="X14" s="93">
        <v>20</v>
      </c>
      <c r="Y14" s="93">
        <v>1</v>
      </c>
      <c r="Z14" s="93">
        <v>136</v>
      </c>
      <c r="AA14" s="93">
        <v>49</v>
      </c>
      <c r="AB14" s="92">
        <v>90.440617267873236</v>
      </c>
      <c r="AC14" s="93">
        <v>97</v>
      </c>
      <c r="AD14" s="93">
        <v>4</v>
      </c>
      <c r="AE14" s="8">
        <v>7</v>
      </c>
      <c r="AF14" s="8">
        <v>0</v>
      </c>
      <c r="AG14" s="8">
        <v>0</v>
      </c>
      <c r="AH14" s="99">
        <v>0</v>
      </c>
      <c r="AI14" s="99">
        <v>93</v>
      </c>
      <c r="AJ14" s="98">
        <v>66</v>
      </c>
      <c r="AK14" s="93">
        <v>0</v>
      </c>
      <c r="AL14" s="100">
        <v>2</v>
      </c>
      <c r="AM14" s="97">
        <v>52</v>
      </c>
      <c r="AN14" s="117">
        <v>0</v>
      </c>
    </row>
    <row r="15" spans="1:40" x14ac:dyDescent="0.3">
      <c r="A15" s="91">
        <v>43272</v>
      </c>
      <c r="B15" s="1">
        <v>33</v>
      </c>
      <c r="C15" s="1">
        <v>12</v>
      </c>
      <c r="D15" s="1">
        <v>15</v>
      </c>
      <c r="E15" s="92">
        <v>0.52134985282589685</v>
      </c>
      <c r="F15" s="92">
        <v>2.9047786193128151</v>
      </c>
      <c r="G15" s="1">
        <v>0</v>
      </c>
      <c r="H15" s="92">
        <v>12.570932214237137</v>
      </c>
      <c r="I15" s="92">
        <v>11.206267499365794</v>
      </c>
      <c r="J15" s="92">
        <v>16.299424073557383</v>
      </c>
      <c r="K15" s="92">
        <v>3.7193806793928781</v>
      </c>
      <c r="L15" s="1">
        <v>11</v>
      </c>
      <c r="M15" s="92">
        <v>83.697366978285359</v>
      </c>
      <c r="N15" s="1">
        <v>0</v>
      </c>
      <c r="O15" s="1">
        <v>0</v>
      </c>
      <c r="P15" s="1">
        <v>35</v>
      </c>
      <c r="Q15" s="1">
        <v>54</v>
      </c>
      <c r="R15" s="1">
        <v>134</v>
      </c>
      <c r="S15" s="1">
        <v>21</v>
      </c>
      <c r="T15" s="1">
        <v>32</v>
      </c>
      <c r="U15" s="1">
        <v>76</v>
      </c>
      <c r="V15" s="1">
        <v>3</v>
      </c>
      <c r="W15" s="93">
        <v>9</v>
      </c>
      <c r="X15" s="93">
        <v>36</v>
      </c>
      <c r="Y15" s="93">
        <v>0</v>
      </c>
      <c r="Z15" s="93">
        <v>36</v>
      </c>
      <c r="AA15" s="93">
        <v>58</v>
      </c>
      <c r="AB15" s="92">
        <v>99.397420140911549</v>
      </c>
      <c r="AC15" s="93">
        <v>61</v>
      </c>
      <c r="AD15" s="93">
        <v>7</v>
      </c>
      <c r="AE15" s="8">
        <v>0</v>
      </c>
      <c r="AF15" s="8">
        <v>0</v>
      </c>
      <c r="AG15" s="8">
        <v>0</v>
      </c>
      <c r="AH15" s="99">
        <v>2</v>
      </c>
      <c r="AI15" s="99">
        <v>667</v>
      </c>
      <c r="AJ15" s="98">
        <v>349</v>
      </c>
      <c r="AK15" s="93">
        <v>1</v>
      </c>
      <c r="AL15" s="100">
        <v>6</v>
      </c>
      <c r="AM15" s="97">
        <v>170</v>
      </c>
      <c r="AN15" s="117">
        <v>0</v>
      </c>
    </row>
    <row r="16" spans="1:40" x14ac:dyDescent="0.3">
      <c r="A16" s="91">
        <v>43273</v>
      </c>
      <c r="B16" s="1">
        <v>11</v>
      </c>
      <c r="C16" s="1">
        <v>4</v>
      </c>
      <c r="D16" s="1">
        <v>40</v>
      </c>
      <c r="E16" s="92">
        <v>0.7385085537238868</v>
      </c>
      <c r="F16" s="92">
        <v>4.1147107751330907</v>
      </c>
      <c r="G16" s="1">
        <v>0</v>
      </c>
      <c r="H16" s="1">
        <v>1</v>
      </c>
      <c r="I16" s="92">
        <v>15.874032300457886</v>
      </c>
      <c r="J16" s="92">
        <v>23.088649654057509</v>
      </c>
      <c r="K16" s="92">
        <v>5.2686203542546783</v>
      </c>
      <c r="L16" s="1">
        <v>11</v>
      </c>
      <c r="M16" s="92">
        <v>118.55996717476836</v>
      </c>
      <c r="N16" s="1">
        <v>0</v>
      </c>
      <c r="O16" s="1">
        <v>0</v>
      </c>
      <c r="P16" s="1">
        <v>10</v>
      </c>
      <c r="Q16" s="1">
        <v>277</v>
      </c>
      <c r="R16" s="1">
        <v>67</v>
      </c>
      <c r="S16" s="1">
        <v>10</v>
      </c>
      <c r="T16" s="1">
        <v>51</v>
      </c>
      <c r="U16" s="1">
        <v>135</v>
      </c>
      <c r="V16" s="1">
        <v>1</v>
      </c>
      <c r="W16" s="93">
        <v>4</v>
      </c>
      <c r="X16" s="93">
        <v>23</v>
      </c>
      <c r="Y16" s="93">
        <v>0</v>
      </c>
      <c r="Z16" s="93">
        <v>33</v>
      </c>
      <c r="AA16" s="93">
        <v>47</v>
      </c>
      <c r="AB16" s="3">
        <v>246</v>
      </c>
      <c r="AC16" s="3">
        <v>63</v>
      </c>
      <c r="AD16" s="3">
        <v>1</v>
      </c>
      <c r="AE16" s="8">
        <v>12</v>
      </c>
      <c r="AF16" s="8">
        <v>18</v>
      </c>
      <c r="AG16" s="8">
        <v>0</v>
      </c>
      <c r="AH16" s="99">
        <v>120</v>
      </c>
      <c r="AI16" s="99">
        <v>535</v>
      </c>
      <c r="AJ16" s="98">
        <v>155</v>
      </c>
      <c r="AK16" s="93">
        <v>2</v>
      </c>
      <c r="AL16" s="100">
        <v>1</v>
      </c>
      <c r="AM16" s="97">
        <v>334</v>
      </c>
      <c r="AN16" s="117">
        <v>6</v>
      </c>
    </row>
    <row r="17" spans="1:40" x14ac:dyDescent="0.3">
      <c r="A17" s="91">
        <v>43274</v>
      </c>
      <c r="B17" s="1">
        <v>93</v>
      </c>
      <c r="C17" s="1">
        <v>3</v>
      </c>
      <c r="D17" s="1">
        <v>40</v>
      </c>
      <c r="E17" s="1">
        <v>8</v>
      </c>
      <c r="F17" s="1">
        <v>13</v>
      </c>
      <c r="G17" s="1">
        <v>0</v>
      </c>
      <c r="H17" s="1">
        <v>0</v>
      </c>
      <c r="I17" s="92">
        <v>26.216204509105712</v>
      </c>
      <c r="J17" s="92">
        <v>38.131254221550456</v>
      </c>
      <c r="K17" s="92">
        <v>8.7012062262211121</v>
      </c>
      <c r="L17" s="1">
        <v>18</v>
      </c>
      <c r="M17" s="92">
        <v>195.80357953264598</v>
      </c>
      <c r="N17" s="1">
        <v>0</v>
      </c>
      <c r="O17" s="1">
        <v>3</v>
      </c>
      <c r="P17" s="1">
        <v>7</v>
      </c>
      <c r="Q17" s="1">
        <v>30</v>
      </c>
      <c r="R17" s="1">
        <v>125</v>
      </c>
      <c r="S17" s="1">
        <v>7</v>
      </c>
      <c r="T17" s="1">
        <v>156</v>
      </c>
      <c r="U17" s="1">
        <v>524</v>
      </c>
      <c r="V17" s="1">
        <v>8</v>
      </c>
      <c r="W17" s="93">
        <v>10</v>
      </c>
      <c r="X17" s="93">
        <v>74</v>
      </c>
      <c r="Y17" s="93">
        <v>2</v>
      </c>
      <c r="Z17" s="93">
        <v>103</v>
      </c>
      <c r="AA17" s="93">
        <v>71</v>
      </c>
      <c r="AB17" s="3">
        <v>160</v>
      </c>
      <c r="AC17" s="3">
        <v>44</v>
      </c>
      <c r="AD17" s="3">
        <v>13</v>
      </c>
      <c r="AE17" s="8">
        <v>52</v>
      </c>
      <c r="AF17" s="8">
        <v>0</v>
      </c>
      <c r="AG17" s="8">
        <v>0</v>
      </c>
      <c r="AH17" s="99">
        <v>65</v>
      </c>
      <c r="AI17" s="99">
        <v>92</v>
      </c>
      <c r="AJ17" s="98">
        <v>143</v>
      </c>
      <c r="AK17" s="93">
        <v>3</v>
      </c>
      <c r="AL17" s="100">
        <v>81</v>
      </c>
      <c r="AM17" s="97">
        <v>108</v>
      </c>
      <c r="AN17" s="117">
        <v>358</v>
      </c>
    </row>
    <row r="18" spans="1:40" x14ac:dyDescent="0.3">
      <c r="A18" s="91">
        <v>43275</v>
      </c>
      <c r="B18" s="1">
        <v>38</v>
      </c>
      <c r="C18" s="1">
        <v>3</v>
      </c>
      <c r="D18" s="1">
        <v>67</v>
      </c>
      <c r="E18" s="1">
        <v>1</v>
      </c>
      <c r="F18" s="1">
        <v>11</v>
      </c>
      <c r="G18" s="1">
        <v>1</v>
      </c>
      <c r="H18" s="1">
        <v>0</v>
      </c>
      <c r="I18" s="92">
        <v>27.506781095688119</v>
      </c>
      <c r="J18" s="92">
        <v>40.008387271005461</v>
      </c>
      <c r="K18" s="92">
        <v>9.1295509557824701</v>
      </c>
      <c r="L18" s="1">
        <v>24</v>
      </c>
      <c r="M18" s="1">
        <v>28</v>
      </c>
      <c r="N18" s="1">
        <v>0</v>
      </c>
      <c r="O18" s="1">
        <v>3</v>
      </c>
      <c r="P18" s="1">
        <v>285</v>
      </c>
      <c r="Q18" s="1">
        <v>105</v>
      </c>
      <c r="R18" s="1">
        <v>149</v>
      </c>
      <c r="S18" s="1">
        <v>2</v>
      </c>
      <c r="T18" s="1">
        <v>155</v>
      </c>
      <c r="U18" s="1">
        <v>411</v>
      </c>
      <c r="V18" s="1">
        <v>16</v>
      </c>
      <c r="W18" s="93">
        <v>31</v>
      </c>
      <c r="X18" s="93">
        <v>54</v>
      </c>
      <c r="Y18" s="93">
        <v>7</v>
      </c>
      <c r="Z18" s="93">
        <v>561</v>
      </c>
      <c r="AA18" s="93">
        <v>89</v>
      </c>
      <c r="AB18" s="3">
        <v>143</v>
      </c>
      <c r="AC18" s="3">
        <v>15</v>
      </c>
      <c r="AD18" s="3">
        <v>2</v>
      </c>
      <c r="AE18" s="8">
        <v>14</v>
      </c>
      <c r="AF18" s="8">
        <v>4</v>
      </c>
      <c r="AG18" s="8">
        <v>0</v>
      </c>
      <c r="AH18" s="99">
        <v>66</v>
      </c>
      <c r="AI18" s="99">
        <v>311</v>
      </c>
      <c r="AJ18" s="98">
        <v>50</v>
      </c>
      <c r="AK18" s="93">
        <v>0</v>
      </c>
      <c r="AL18" s="100">
        <v>260</v>
      </c>
      <c r="AM18" s="97">
        <v>1055</v>
      </c>
      <c r="AN18" s="117">
        <v>535</v>
      </c>
    </row>
    <row r="19" spans="1:40" x14ac:dyDescent="0.3">
      <c r="A19" s="91">
        <v>43276</v>
      </c>
      <c r="B19" s="1">
        <v>47</v>
      </c>
      <c r="C19" s="1">
        <v>47</v>
      </c>
      <c r="D19" s="1">
        <v>464</v>
      </c>
      <c r="E19" s="1">
        <v>0</v>
      </c>
      <c r="F19" s="1">
        <v>12</v>
      </c>
      <c r="G19" s="1">
        <v>0</v>
      </c>
      <c r="H19" s="1">
        <v>0</v>
      </c>
      <c r="I19" s="92">
        <v>27.206629158557444</v>
      </c>
      <c r="J19" s="92">
        <v>39.571818742718136</v>
      </c>
      <c r="K19" s="92">
        <v>9.0299299788686369</v>
      </c>
      <c r="L19" s="1">
        <v>4</v>
      </c>
      <c r="M19" s="1">
        <v>32</v>
      </c>
      <c r="N19" s="1">
        <v>0</v>
      </c>
      <c r="O19" s="1">
        <v>1</v>
      </c>
      <c r="P19" s="1">
        <v>228</v>
      </c>
      <c r="Q19" s="1">
        <v>234</v>
      </c>
      <c r="R19" s="1">
        <v>31</v>
      </c>
      <c r="S19" s="1">
        <v>16</v>
      </c>
      <c r="T19" s="1">
        <v>92</v>
      </c>
      <c r="U19" s="1">
        <v>61</v>
      </c>
      <c r="V19" s="1">
        <v>9</v>
      </c>
      <c r="W19" s="93">
        <v>39</v>
      </c>
      <c r="X19" s="93">
        <v>42</v>
      </c>
      <c r="Y19" s="93">
        <v>11</v>
      </c>
      <c r="Z19" s="93">
        <v>343</v>
      </c>
      <c r="AA19" s="93">
        <v>9</v>
      </c>
      <c r="AB19" s="3">
        <v>71</v>
      </c>
      <c r="AC19" s="3">
        <v>63</v>
      </c>
      <c r="AD19" s="3">
        <v>0</v>
      </c>
      <c r="AE19" s="8">
        <v>0</v>
      </c>
      <c r="AF19" s="8">
        <v>2</v>
      </c>
      <c r="AG19" s="8">
        <v>19</v>
      </c>
      <c r="AH19" s="99">
        <v>41</v>
      </c>
      <c r="AI19" s="99">
        <v>205</v>
      </c>
      <c r="AJ19" s="98">
        <v>927</v>
      </c>
      <c r="AK19" s="93">
        <v>13</v>
      </c>
      <c r="AL19" s="100">
        <v>69</v>
      </c>
      <c r="AM19" s="97">
        <v>193</v>
      </c>
      <c r="AN19" s="117">
        <v>0</v>
      </c>
    </row>
    <row r="20" spans="1:40" x14ac:dyDescent="0.3">
      <c r="A20" s="91">
        <v>43277</v>
      </c>
      <c r="B20" s="1">
        <v>42</v>
      </c>
      <c r="C20" s="1">
        <v>36</v>
      </c>
      <c r="D20" s="1">
        <v>274</v>
      </c>
      <c r="E20" s="1">
        <v>2</v>
      </c>
      <c r="F20" s="1">
        <v>12</v>
      </c>
      <c r="G20" s="1">
        <v>37</v>
      </c>
      <c r="H20" s="1">
        <v>0</v>
      </c>
      <c r="I20" s="1">
        <v>0</v>
      </c>
      <c r="J20" s="92">
        <v>33.246019300792923</v>
      </c>
      <c r="K20" s="92">
        <v>7.5864399438937165</v>
      </c>
      <c r="L20" s="1">
        <v>2</v>
      </c>
      <c r="M20" s="1">
        <v>147</v>
      </c>
      <c r="N20" s="1">
        <v>180</v>
      </c>
      <c r="O20" s="1">
        <v>2</v>
      </c>
      <c r="P20" s="1">
        <v>28</v>
      </c>
      <c r="Q20" s="1">
        <v>167</v>
      </c>
      <c r="R20" s="1">
        <v>18</v>
      </c>
      <c r="S20" s="1">
        <v>7</v>
      </c>
      <c r="T20" s="1">
        <v>89</v>
      </c>
      <c r="U20" s="1">
        <v>46</v>
      </c>
      <c r="V20" s="1">
        <v>15</v>
      </c>
      <c r="W20" s="93">
        <v>54</v>
      </c>
      <c r="X20" s="93">
        <v>1</v>
      </c>
      <c r="Y20" s="93">
        <v>48</v>
      </c>
      <c r="Z20" s="93">
        <v>201</v>
      </c>
      <c r="AA20" s="93">
        <v>514</v>
      </c>
      <c r="AB20" s="3">
        <v>44</v>
      </c>
      <c r="AC20" s="3">
        <v>401</v>
      </c>
      <c r="AD20" s="3">
        <v>2</v>
      </c>
      <c r="AE20" s="8">
        <v>2</v>
      </c>
      <c r="AF20" s="8">
        <v>3</v>
      </c>
      <c r="AG20" s="8">
        <v>36</v>
      </c>
      <c r="AH20" s="99">
        <v>59</v>
      </c>
      <c r="AI20" s="99">
        <v>537</v>
      </c>
      <c r="AJ20" s="98">
        <v>124</v>
      </c>
      <c r="AK20" s="93">
        <v>12</v>
      </c>
      <c r="AL20" s="100">
        <v>160</v>
      </c>
      <c r="AM20" s="97">
        <v>32</v>
      </c>
      <c r="AN20" s="117">
        <v>799</v>
      </c>
    </row>
    <row r="21" spans="1:40" x14ac:dyDescent="0.3">
      <c r="A21" s="91">
        <v>43278</v>
      </c>
      <c r="B21" s="1">
        <v>118</v>
      </c>
      <c r="C21" s="1">
        <v>4</v>
      </c>
      <c r="D21" s="1">
        <v>144</v>
      </c>
      <c r="E21" s="1">
        <v>2</v>
      </c>
      <c r="F21" s="1">
        <v>0</v>
      </c>
      <c r="G21" s="1">
        <v>8</v>
      </c>
      <c r="H21" s="1">
        <v>0</v>
      </c>
      <c r="I21" s="1">
        <v>0</v>
      </c>
      <c r="J21" s="1">
        <v>0</v>
      </c>
      <c r="K21" s="92">
        <v>14.770710692951903</v>
      </c>
      <c r="L21" s="1">
        <v>17</v>
      </c>
      <c r="M21" s="1">
        <v>85</v>
      </c>
      <c r="N21" s="1">
        <v>54</v>
      </c>
      <c r="O21" s="1">
        <v>6</v>
      </c>
      <c r="P21" s="1">
        <v>42</v>
      </c>
      <c r="Q21" s="1">
        <v>253</v>
      </c>
      <c r="R21" s="1">
        <v>187</v>
      </c>
      <c r="S21" s="1">
        <v>7</v>
      </c>
      <c r="T21" s="1">
        <v>438</v>
      </c>
      <c r="U21" s="1">
        <v>820</v>
      </c>
      <c r="V21" s="1">
        <v>21</v>
      </c>
      <c r="W21" s="93">
        <v>77</v>
      </c>
      <c r="X21" s="93">
        <v>38</v>
      </c>
      <c r="Y21" s="93">
        <v>24</v>
      </c>
      <c r="Z21" s="93">
        <v>930</v>
      </c>
      <c r="AA21" s="93">
        <v>368</v>
      </c>
      <c r="AB21" s="3">
        <v>28</v>
      </c>
      <c r="AC21" s="3">
        <v>183</v>
      </c>
      <c r="AD21" s="3">
        <v>3</v>
      </c>
      <c r="AE21" s="8">
        <v>1</v>
      </c>
      <c r="AF21" s="8">
        <v>9</v>
      </c>
      <c r="AG21" s="8">
        <v>0</v>
      </c>
      <c r="AH21" s="99">
        <v>522</v>
      </c>
      <c r="AI21" s="99">
        <v>425</v>
      </c>
      <c r="AJ21" s="98">
        <v>146</v>
      </c>
      <c r="AK21" s="93">
        <v>93</v>
      </c>
      <c r="AL21" s="100">
        <v>176</v>
      </c>
      <c r="AM21" s="97">
        <v>3</v>
      </c>
      <c r="AN21" s="117">
        <v>502</v>
      </c>
    </row>
    <row r="22" spans="1:40" x14ac:dyDescent="0.3">
      <c r="A22" s="91">
        <v>43279</v>
      </c>
      <c r="B22" s="1">
        <v>171</v>
      </c>
      <c r="C22" s="1">
        <v>53</v>
      </c>
      <c r="D22" s="1">
        <v>148</v>
      </c>
      <c r="E22" s="1">
        <v>7</v>
      </c>
      <c r="F22" s="1">
        <v>8</v>
      </c>
      <c r="G22" s="1">
        <v>3</v>
      </c>
      <c r="H22" s="1">
        <v>0</v>
      </c>
      <c r="I22" s="1">
        <v>0</v>
      </c>
      <c r="J22" s="1">
        <v>0</v>
      </c>
      <c r="K22" s="92">
        <v>12.79001584945844</v>
      </c>
      <c r="L22" s="1">
        <v>29</v>
      </c>
      <c r="M22" s="1">
        <v>109</v>
      </c>
      <c r="N22" s="1">
        <v>92</v>
      </c>
      <c r="O22" s="1">
        <v>3</v>
      </c>
      <c r="P22" s="1">
        <v>195</v>
      </c>
      <c r="Q22" s="1">
        <v>210</v>
      </c>
      <c r="R22" s="1">
        <v>180</v>
      </c>
      <c r="S22" s="1">
        <v>7</v>
      </c>
      <c r="T22" s="1">
        <v>267</v>
      </c>
      <c r="U22" s="1">
        <v>410</v>
      </c>
      <c r="V22" s="1">
        <v>24</v>
      </c>
      <c r="W22" s="93">
        <v>91</v>
      </c>
      <c r="X22" s="93">
        <v>8</v>
      </c>
      <c r="Y22" s="93">
        <v>74</v>
      </c>
      <c r="Z22" s="93">
        <v>197</v>
      </c>
      <c r="AA22" s="93">
        <v>433</v>
      </c>
      <c r="AB22" s="3">
        <v>142</v>
      </c>
      <c r="AC22" s="3">
        <v>71</v>
      </c>
      <c r="AD22" s="3">
        <v>3</v>
      </c>
      <c r="AE22" s="8">
        <v>17</v>
      </c>
      <c r="AF22" s="8">
        <v>1</v>
      </c>
      <c r="AG22" s="8">
        <v>0</v>
      </c>
      <c r="AH22" s="99">
        <v>201</v>
      </c>
      <c r="AI22" s="99">
        <v>1030</v>
      </c>
      <c r="AJ22" s="98">
        <v>304</v>
      </c>
      <c r="AK22" s="93">
        <v>2</v>
      </c>
      <c r="AL22" s="100">
        <v>437</v>
      </c>
      <c r="AM22" s="97">
        <v>457</v>
      </c>
      <c r="AN22" s="117">
        <v>869</v>
      </c>
    </row>
    <row r="23" spans="1:40" x14ac:dyDescent="0.3">
      <c r="A23" s="91">
        <v>43280</v>
      </c>
      <c r="B23" s="1">
        <v>342</v>
      </c>
      <c r="C23" s="1">
        <v>312</v>
      </c>
      <c r="D23" s="1">
        <v>223</v>
      </c>
      <c r="E23" s="1">
        <v>2</v>
      </c>
      <c r="F23" s="1">
        <v>3</v>
      </c>
      <c r="G23" s="1">
        <v>8</v>
      </c>
      <c r="H23" s="1">
        <v>0</v>
      </c>
      <c r="I23" s="1">
        <v>0</v>
      </c>
      <c r="J23" s="1">
        <v>5</v>
      </c>
      <c r="K23" s="92">
        <v>22.382527736554643</v>
      </c>
      <c r="L23" s="1">
        <v>44</v>
      </c>
      <c r="M23" s="1">
        <v>219</v>
      </c>
      <c r="N23" s="1">
        <v>648</v>
      </c>
      <c r="O23" s="1">
        <v>3</v>
      </c>
      <c r="P23" s="1">
        <v>453</v>
      </c>
      <c r="Q23" s="1">
        <v>97</v>
      </c>
      <c r="R23" s="1">
        <v>269</v>
      </c>
      <c r="S23" s="1">
        <v>0</v>
      </c>
      <c r="T23" s="1">
        <v>104</v>
      </c>
      <c r="U23" s="1">
        <v>579</v>
      </c>
      <c r="V23" s="1">
        <v>24</v>
      </c>
      <c r="W23" s="93">
        <v>40</v>
      </c>
      <c r="X23" s="93">
        <v>25</v>
      </c>
      <c r="Y23" s="93">
        <v>77</v>
      </c>
      <c r="Z23" s="93">
        <v>1099</v>
      </c>
      <c r="AA23" s="93">
        <v>300</v>
      </c>
      <c r="AB23" s="3">
        <v>215</v>
      </c>
      <c r="AC23" s="3">
        <v>155</v>
      </c>
      <c r="AD23" s="3">
        <v>6</v>
      </c>
      <c r="AE23" s="8">
        <v>0</v>
      </c>
      <c r="AF23" s="8">
        <v>3</v>
      </c>
      <c r="AG23" s="8">
        <v>42</v>
      </c>
      <c r="AH23" s="99">
        <v>55</v>
      </c>
      <c r="AI23" s="99">
        <v>1548</v>
      </c>
      <c r="AJ23" s="98">
        <v>91</v>
      </c>
      <c r="AK23" s="93">
        <v>1</v>
      </c>
      <c r="AL23" s="100">
        <v>176</v>
      </c>
      <c r="AM23" s="97">
        <v>255</v>
      </c>
      <c r="AN23" s="117">
        <v>205</v>
      </c>
    </row>
    <row r="24" spans="1:40" x14ac:dyDescent="0.3">
      <c r="A24" s="91">
        <v>43281</v>
      </c>
      <c r="B24" s="1">
        <v>417</v>
      </c>
      <c r="C24" s="1">
        <v>382</v>
      </c>
      <c r="D24" s="1">
        <v>178</v>
      </c>
      <c r="E24" s="1">
        <v>2</v>
      </c>
      <c r="F24" s="1">
        <v>47</v>
      </c>
      <c r="G24" s="1">
        <v>11</v>
      </c>
      <c r="H24" s="1">
        <v>3</v>
      </c>
      <c r="I24" s="1">
        <v>0</v>
      </c>
      <c r="J24" s="1">
        <v>19</v>
      </c>
      <c r="K24" s="92">
        <v>19.651467269758498</v>
      </c>
      <c r="L24" s="1">
        <v>23</v>
      </c>
      <c r="M24" s="1">
        <v>202</v>
      </c>
      <c r="N24" s="1">
        <v>67</v>
      </c>
      <c r="O24" s="1">
        <v>14</v>
      </c>
      <c r="P24" s="1">
        <v>169</v>
      </c>
      <c r="Q24" s="1">
        <v>79</v>
      </c>
      <c r="R24" s="1">
        <v>300</v>
      </c>
      <c r="S24" s="1">
        <v>1</v>
      </c>
      <c r="T24" s="1">
        <v>491</v>
      </c>
      <c r="U24" s="1">
        <v>502</v>
      </c>
      <c r="V24" s="1">
        <v>17</v>
      </c>
      <c r="W24" s="93">
        <v>55</v>
      </c>
      <c r="X24" s="93">
        <v>11</v>
      </c>
      <c r="Y24" s="93">
        <v>65</v>
      </c>
      <c r="Z24" s="93">
        <v>104</v>
      </c>
      <c r="AA24" s="93">
        <v>21</v>
      </c>
      <c r="AB24" s="3">
        <v>4</v>
      </c>
      <c r="AC24" s="3">
        <v>1146</v>
      </c>
      <c r="AD24" s="3">
        <v>3</v>
      </c>
      <c r="AE24" s="8">
        <v>11</v>
      </c>
      <c r="AF24" s="8">
        <v>1</v>
      </c>
      <c r="AG24" s="8">
        <v>10</v>
      </c>
      <c r="AH24" s="99">
        <v>576</v>
      </c>
      <c r="AI24" s="99">
        <v>999</v>
      </c>
      <c r="AJ24" s="98">
        <v>244</v>
      </c>
      <c r="AK24" s="93">
        <v>5</v>
      </c>
      <c r="AL24" s="100">
        <v>121</v>
      </c>
      <c r="AM24" s="97">
        <v>96</v>
      </c>
      <c r="AN24" s="117">
        <v>157</v>
      </c>
    </row>
    <row r="25" spans="1:40" x14ac:dyDescent="0.3">
      <c r="A25" s="91">
        <v>43282</v>
      </c>
      <c r="B25" s="1">
        <v>110</v>
      </c>
      <c r="C25" s="1">
        <v>135</v>
      </c>
      <c r="D25" s="1">
        <v>135</v>
      </c>
      <c r="E25" s="1">
        <v>8</v>
      </c>
      <c r="F25" s="1">
        <v>13</v>
      </c>
      <c r="G25" s="1">
        <v>108</v>
      </c>
      <c r="H25" s="1">
        <v>3</v>
      </c>
      <c r="I25" s="1">
        <v>2</v>
      </c>
      <c r="J25" s="1">
        <v>13</v>
      </c>
      <c r="K25" s="92">
        <v>19.523026307212863</v>
      </c>
      <c r="L25" s="1">
        <v>9</v>
      </c>
      <c r="M25" s="1">
        <v>680</v>
      </c>
      <c r="N25" s="1">
        <v>366</v>
      </c>
      <c r="O25" s="1">
        <v>13</v>
      </c>
      <c r="P25" s="1">
        <v>135</v>
      </c>
      <c r="Q25" s="1">
        <v>570</v>
      </c>
      <c r="R25" s="1">
        <v>391</v>
      </c>
      <c r="S25" s="1">
        <v>0</v>
      </c>
      <c r="T25" s="1">
        <v>159</v>
      </c>
      <c r="U25" s="1">
        <v>38</v>
      </c>
      <c r="V25" s="1">
        <v>15</v>
      </c>
      <c r="W25" s="93">
        <v>44</v>
      </c>
      <c r="X25" s="93">
        <v>4</v>
      </c>
      <c r="Y25" s="93">
        <v>145</v>
      </c>
      <c r="Z25" s="93">
        <v>433</v>
      </c>
      <c r="AA25" s="93">
        <v>634</v>
      </c>
      <c r="AB25" s="3">
        <v>0</v>
      </c>
      <c r="AC25" s="3">
        <v>43</v>
      </c>
      <c r="AD25" s="3">
        <v>120</v>
      </c>
      <c r="AE25" s="8">
        <v>2</v>
      </c>
      <c r="AF25" s="8">
        <v>18</v>
      </c>
      <c r="AG25" s="8">
        <v>92</v>
      </c>
      <c r="AH25" s="99">
        <v>736</v>
      </c>
      <c r="AI25" s="99">
        <v>1252</v>
      </c>
      <c r="AJ25" s="98">
        <v>44</v>
      </c>
      <c r="AK25" s="93">
        <v>197</v>
      </c>
      <c r="AL25" s="100">
        <v>10</v>
      </c>
      <c r="AM25" s="97">
        <v>1180</v>
      </c>
      <c r="AN25" s="117">
        <v>345</v>
      </c>
    </row>
    <row r="26" spans="1:40" x14ac:dyDescent="0.3">
      <c r="A26" s="91">
        <v>43283</v>
      </c>
      <c r="B26" s="1">
        <v>162</v>
      </c>
      <c r="C26" s="1">
        <v>60</v>
      </c>
      <c r="D26" s="1">
        <v>193</v>
      </c>
      <c r="E26" s="1">
        <v>17</v>
      </c>
      <c r="F26" s="1">
        <v>0</v>
      </c>
      <c r="G26" s="1">
        <v>69</v>
      </c>
      <c r="H26" s="1">
        <v>2</v>
      </c>
      <c r="I26" s="1">
        <v>0</v>
      </c>
      <c r="J26" s="1">
        <v>0</v>
      </c>
      <c r="K26" s="92">
        <v>24.336182377414961</v>
      </c>
      <c r="L26" s="1">
        <v>586</v>
      </c>
      <c r="M26" s="1">
        <v>826</v>
      </c>
      <c r="N26" s="1">
        <v>373</v>
      </c>
      <c r="O26" s="1">
        <v>42</v>
      </c>
      <c r="P26" s="1">
        <v>237</v>
      </c>
      <c r="Q26" s="1">
        <v>442</v>
      </c>
      <c r="R26" s="1">
        <v>310</v>
      </c>
      <c r="S26" s="1">
        <v>0</v>
      </c>
      <c r="T26" s="1">
        <v>169</v>
      </c>
      <c r="U26" s="1">
        <v>112</v>
      </c>
      <c r="V26" s="1">
        <v>3</v>
      </c>
      <c r="W26" s="93">
        <v>61</v>
      </c>
      <c r="X26" s="93">
        <v>11</v>
      </c>
      <c r="Y26" s="93">
        <v>2042</v>
      </c>
      <c r="Z26" s="93">
        <v>201</v>
      </c>
      <c r="AA26" s="93">
        <v>371</v>
      </c>
      <c r="AB26" s="3">
        <v>1</v>
      </c>
      <c r="AC26" s="3">
        <v>643</v>
      </c>
      <c r="AD26" s="3">
        <v>137</v>
      </c>
      <c r="AE26" s="8">
        <v>45</v>
      </c>
      <c r="AF26" s="8">
        <v>71</v>
      </c>
      <c r="AG26" s="8">
        <v>19</v>
      </c>
      <c r="AH26" s="99">
        <v>119</v>
      </c>
      <c r="AI26" s="99">
        <v>2059</v>
      </c>
      <c r="AJ26" s="98">
        <v>129</v>
      </c>
      <c r="AK26" s="93">
        <v>0</v>
      </c>
      <c r="AL26" s="100">
        <v>458</v>
      </c>
      <c r="AM26" s="97">
        <v>0</v>
      </c>
      <c r="AN26" s="117">
        <v>1221</v>
      </c>
    </row>
    <row r="27" spans="1:40" x14ac:dyDescent="0.3">
      <c r="A27" s="91">
        <v>43284</v>
      </c>
      <c r="B27" s="1">
        <v>121</v>
      </c>
      <c r="C27" s="1">
        <v>19</v>
      </c>
      <c r="D27" s="1">
        <v>170</v>
      </c>
      <c r="E27" s="1">
        <v>4</v>
      </c>
      <c r="F27" s="1">
        <v>13</v>
      </c>
      <c r="G27" s="1">
        <v>133</v>
      </c>
      <c r="H27" s="1">
        <v>1</v>
      </c>
      <c r="I27" s="1">
        <v>19</v>
      </c>
      <c r="J27" s="1">
        <v>16</v>
      </c>
      <c r="K27" s="92">
        <v>30.359387515829518</v>
      </c>
      <c r="L27" s="1">
        <v>16</v>
      </c>
      <c r="M27" s="1">
        <v>341</v>
      </c>
      <c r="N27" s="1">
        <v>42</v>
      </c>
      <c r="O27" s="1">
        <v>22</v>
      </c>
      <c r="P27" s="1">
        <v>452</v>
      </c>
      <c r="Q27" s="1">
        <v>511</v>
      </c>
      <c r="R27" s="1">
        <v>103</v>
      </c>
      <c r="S27" s="1">
        <v>0</v>
      </c>
      <c r="T27" s="1">
        <v>152</v>
      </c>
      <c r="U27" s="1">
        <v>2356</v>
      </c>
      <c r="V27" s="1">
        <v>12</v>
      </c>
      <c r="W27" s="93">
        <v>85</v>
      </c>
      <c r="X27" s="93">
        <v>87</v>
      </c>
      <c r="Y27" s="93">
        <v>77</v>
      </c>
      <c r="Z27" s="93">
        <v>1187</v>
      </c>
      <c r="AA27" s="93">
        <v>973</v>
      </c>
      <c r="AB27" s="3">
        <v>714</v>
      </c>
      <c r="AC27" s="3">
        <v>663</v>
      </c>
      <c r="AD27" s="3">
        <v>24</v>
      </c>
      <c r="AE27" s="8">
        <v>3</v>
      </c>
      <c r="AF27" s="8">
        <v>7</v>
      </c>
      <c r="AG27" s="8">
        <v>38</v>
      </c>
      <c r="AH27" s="99">
        <v>144</v>
      </c>
      <c r="AI27" s="99">
        <v>1530</v>
      </c>
      <c r="AJ27" s="98">
        <v>156</v>
      </c>
      <c r="AK27" s="93">
        <v>2</v>
      </c>
      <c r="AL27" s="100">
        <v>59</v>
      </c>
      <c r="AM27" s="97">
        <v>1518</v>
      </c>
      <c r="AN27" s="117">
        <v>13</v>
      </c>
    </row>
    <row r="28" spans="1:40" x14ac:dyDescent="0.3">
      <c r="A28" s="91">
        <v>43285</v>
      </c>
      <c r="B28" s="1">
        <v>33</v>
      </c>
      <c r="C28" s="1">
        <v>54</v>
      </c>
      <c r="D28" s="1">
        <v>73</v>
      </c>
      <c r="E28" s="1">
        <v>31</v>
      </c>
      <c r="F28" s="1">
        <v>16</v>
      </c>
      <c r="G28" s="1">
        <v>22</v>
      </c>
      <c r="H28" s="1">
        <v>1</v>
      </c>
      <c r="I28" s="1">
        <v>1</v>
      </c>
      <c r="J28" s="1">
        <v>80</v>
      </c>
      <c r="K28" s="92">
        <v>28.892456522527961</v>
      </c>
      <c r="L28" s="1">
        <v>258</v>
      </c>
      <c r="M28" s="1">
        <v>614</v>
      </c>
      <c r="N28" s="1">
        <v>293</v>
      </c>
      <c r="O28" s="1">
        <v>14</v>
      </c>
      <c r="P28" s="1">
        <v>307</v>
      </c>
      <c r="Q28" s="1">
        <v>411</v>
      </c>
      <c r="R28" s="1">
        <v>308</v>
      </c>
      <c r="S28" s="1">
        <v>0</v>
      </c>
      <c r="T28" s="1">
        <v>458</v>
      </c>
      <c r="U28" s="1">
        <v>1300</v>
      </c>
      <c r="V28" s="1">
        <v>14</v>
      </c>
      <c r="W28" s="93">
        <v>97</v>
      </c>
      <c r="X28" s="93">
        <v>78</v>
      </c>
      <c r="Y28" s="93">
        <v>58</v>
      </c>
      <c r="Z28" s="93">
        <v>1084</v>
      </c>
      <c r="AA28" s="93">
        <v>469</v>
      </c>
      <c r="AB28" s="3">
        <v>3245</v>
      </c>
      <c r="AC28" s="3">
        <v>130</v>
      </c>
      <c r="AD28" s="3">
        <v>18</v>
      </c>
      <c r="AE28" s="8">
        <v>29</v>
      </c>
      <c r="AF28" s="8">
        <v>596</v>
      </c>
      <c r="AG28" s="8">
        <v>6</v>
      </c>
      <c r="AH28" s="99">
        <v>259</v>
      </c>
      <c r="AI28" s="99">
        <v>701</v>
      </c>
      <c r="AJ28" s="98">
        <v>473</v>
      </c>
      <c r="AK28" s="93">
        <v>2</v>
      </c>
      <c r="AL28" s="100">
        <v>188</v>
      </c>
      <c r="AM28" s="97">
        <v>162</v>
      </c>
      <c r="AN28" s="117">
        <v>1480</v>
      </c>
    </row>
    <row r="29" spans="1:40" x14ac:dyDescent="0.3">
      <c r="A29" s="91">
        <v>43286</v>
      </c>
      <c r="B29" s="1">
        <v>61</v>
      </c>
      <c r="C29" s="1">
        <v>191</v>
      </c>
      <c r="D29" s="1">
        <v>217</v>
      </c>
      <c r="E29" s="1">
        <v>5</v>
      </c>
      <c r="F29" s="1">
        <v>3</v>
      </c>
      <c r="G29" s="1">
        <v>26</v>
      </c>
      <c r="H29" s="1">
        <v>31</v>
      </c>
      <c r="I29" s="1">
        <v>4</v>
      </c>
      <c r="J29" s="1">
        <v>182</v>
      </c>
      <c r="K29" s="92">
        <v>33.225648995846328</v>
      </c>
      <c r="L29" s="1">
        <v>410</v>
      </c>
      <c r="M29" s="1">
        <v>1026</v>
      </c>
      <c r="N29" s="1">
        <v>108</v>
      </c>
      <c r="O29" s="1">
        <v>25</v>
      </c>
      <c r="P29" s="1">
        <v>602</v>
      </c>
      <c r="Q29" s="1">
        <v>717</v>
      </c>
      <c r="R29" s="1">
        <v>508</v>
      </c>
      <c r="S29" s="1">
        <v>5</v>
      </c>
      <c r="T29" s="1">
        <v>554</v>
      </c>
      <c r="U29" s="1">
        <v>240</v>
      </c>
      <c r="V29" s="1">
        <v>22</v>
      </c>
      <c r="W29" s="93">
        <v>31</v>
      </c>
      <c r="X29" s="93">
        <v>280</v>
      </c>
      <c r="Y29" s="93">
        <v>41</v>
      </c>
      <c r="Z29" s="93">
        <v>1461</v>
      </c>
      <c r="AA29" s="93">
        <v>274</v>
      </c>
      <c r="AB29" s="3">
        <v>2800</v>
      </c>
      <c r="AC29" s="3">
        <v>1791</v>
      </c>
      <c r="AD29" s="3">
        <v>227</v>
      </c>
      <c r="AE29" s="8">
        <v>23</v>
      </c>
      <c r="AF29" s="8">
        <v>976</v>
      </c>
      <c r="AG29" s="8">
        <v>22</v>
      </c>
      <c r="AH29" s="99">
        <v>356</v>
      </c>
      <c r="AI29" s="99">
        <v>138</v>
      </c>
      <c r="AJ29" s="98">
        <v>246</v>
      </c>
      <c r="AK29" s="93">
        <v>6</v>
      </c>
      <c r="AL29" s="100">
        <v>7</v>
      </c>
      <c r="AM29" s="97">
        <v>267</v>
      </c>
      <c r="AN29" s="117">
        <v>1335</v>
      </c>
    </row>
    <row r="30" spans="1:40" x14ac:dyDescent="0.3">
      <c r="A30" s="91">
        <v>43287</v>
      </c>
      <c r="B30" s="1">
        <v>129</v>
      </c>
      <c r="C30" s="1">
        <v>768</v>
      </c>
      <c r="D30" s="1">
        <v>404</v>
      </c>
      <c r="E30" s="1">
        <v>15</v>
      </c>
      <c r="F30" s="1">
        <v>2</v>
      </c>
      <c r="G30" s="1">
        <v>34</v>
      </c>
      <c r="H30" s="1">
        <v>20</v>
      </c>
      <c r="I30" s="1">
        <v>20</v>
      </c>
      <c r="J30" s="1">
        <v>645</v>
      </c>
      <c r="K30" s="92">
        <v>41.222788927102805</v>
      </c>
      <c r="L30" s="1">
        <v>327</v>
      </c>
      <c r="M30" s="1">
        <v>691</v>
      </c>
      <c r="N30" s="1">
        <v>234</v>
      </c>
      <c r="O30" s="1">
        <v>17</v>
      </c>
      <c r="P30" s="1">
        <v>1408</v>
      </c>
      <c r="Q30" s="1">
        <v>207</v>
      </c>
      <c r="R30" s="1">
        <v>591</v>
      </c>
      <c r="S30" s="1">
        <v>29</v>
      </c>
      <c r="T30" s="1">
        <v>315</v>
      </c>
      <c r="U30" s="1">
        <v>242</v>
      </c>
      <c r="V30" s="1">
        <v>13</v>
      </c>
      <c r="W30" s="93">
        <v>41</v>
      </c>
      <c r="X30" s="93">
        <v>316</v>
      </c>
      <c r="Y30" s="93">
        <v>46</v>
      </c>
      <c r="Z30" s="93">
        <v>1048</v>
      </c>
      <c r="AA30" s="93">
        <v>86</v>
      </c>
      <c r="AB30" s="3">
        <v>307</v>
      </c>
      <c r="AC30" s="3">
        <v>519</v>
      </c>
      <c r="AD30" s="3">
        <v>99</v>
      </c>
      <c r="AE30" s="8">
        <v>412</v>
      </c>
      <c r="AF30" s="8">
        <v>673</v>
      </c>
      <c r="AG30" s="8">
        <v>1</v>
      </c>
      <c r="AH30" s="99">
        <v>38</v>
      </c>
      <c r="AI30" s="99">
        <v>1026</v>
      </c>
      <c r="AJ30" s="98">
        <v>439</v>
      </c>
      <c r="AK30" s="93">
        <v>516</v>
      </c>
      <c r="AL30" s="100">
        <v>563</v>
      </c>
      <c r="AM30" s="97">
        <v>977</v>
      </c>
      <c r="AN30" s="117">
        <v>2473</v>
      </c>
    </row>
    <row r="31" spans="1:40" x14ac:dyDescent="0.3">
      <c r="A31" s="91">
        <v>43288</v>
      </c>
      <c r="B31" s="1">
        <v>366</v>
      </c>
      <c r="C31" s="1">
        <v>361</v>
      </c>
      <c r="D31" s="1">
        <v>1289</v>
      </c>
      <c r="E31" s="1">
        <v>7</v>
      </c>
      <c r="F31" s="1">
        <v>12</v>
      </c>
      <c r="G31" s="1">
        <v>71</v>
      </c>
      <c r="H31" s="1">
        <v>3</v>
      </c>
      <c r="I31" s="1">
        <v>473</v>
      </c>
      <c r="J31" s="1">
        <v>256</v>
      </c>
      <c r="K31" s="92">
        <v>52.086190338374074</v>
      </c>
      <c r="L31" s="1">
        <v>52</v>
      </c>
      <c r="M31" s="1">
        <v>921</v>
      </c>
      <c r="N31" s="1">
        <v>485</v>
      </c>
      <c r="O31" s="1">
        <v>10</v>
      </c>
      <c r="P31" s="1">
        <v>246</v>
      </c>
      <c r="Q31" s="1">
        <v>218</v>
      </c>
      <c r="R31" s="1">
        <v>565</v>
      </c>
      <c r="S31" s="1">
        <v>1165</v>
      </c>
      <c r="T31" s="1">
        <v>1072</v>
      </c>
      <c r="U31" s="1">
        <v>133</v>
      </c>
      <c r="V31" s="1">
        <v>4</v>
      </c>
      <c r="W31" s="93">
        <v>123</v>
      </c>
      <c r="X31" s="93">
        <v>80</v>
      </c>
      <c r="Y31" s="93">
        <v>911</v>
      </c>
      <c r="Z31" s="93">
        <v>269</v>
      </c>
      <c r="AA31" s="93">
        <v>150</v>
      </c>
      <c r="AB31" s="3">
        <v>633</v>
      </c>
      <c r="AC31" s="3">
        <v>702</v>
      </c>
      <c r="AD31" s="3">
        <v>138</v>
      </c>
      <c r="AE31" s="8">
        <v>332</v>
      </c>
      <c r="AF31" s="8">
        <v>300</v>
      </c>
      <c r="AG31" s="8">
        <v>34</v>
      </c>
      <c r="AH31" s="99">
        <v>122</v>
      </c>
      <c r="AI31" s="99">
        <v>279</v>
      </c>
      <c r="AJ31" s="98">
        <v>120</v>
      </c>
      <c r="AK31" s="93">
        <v>398</v>
      </c>
      <c r="AL31" s="100">
        <v>1150</v>
      </c>
      <c r="AM31" s="97">
        <v>392</v>
      </c>
      <c r="AN31" s="117">
        <v>10</v>
      </c>
    </row>
    <row r="32" spans="1:40" x14ac:dyDescent="0.3">
      <c r="A32" s="91">
        <v>43289</v>
      </c>
      <c r="B32" s="1">
        <v>549</v>
      </c>
      <c r="C32" s="1">
        <v>712</v>
      </c>
      <c r="D32" s="1">
        <v>1135</v>
      </c>
      <c r="E32" s="1">
        <v>20</v>
      </c>
      <c r="F32" s="1">
        <v>36</v>
      </c>
      <c r="G32" s="1">
        <v>463</v>
      </c>
      <c r="H32" s="1">
        <v>5</v>
      </c>
      <c r="I32" s="1">
        <v>452</v>
      </c>
      <c r="J32" s="1">
        <v>63</v>
      </c>
      <c r="K32" s="92">
        <v>59.691247331339703</v>
      </c>
      <c r="L32" s="1">
        <v>971</v>
      </c>
      <c r="M32" s="1">
        <v>1430</v>
      </c>
      <c r="N32" s="1">
        <v>713</v>
      </c>
      <c r="O32" s="1">
        <v>16</v>
      </c>
      <c r="P32" s="1">
        <v>511</v>
      </c>
      <c r="Q32" s="1">
        <v>1080</v>
      </c>
      <c r="R32" s="1">
        <v>348</v>
      </c>
      <c r="S32" s="1">
        <v>129</v>
      </c>
      <c r="T32" s="1">
        <v>1</v>
      </c>
      <c r="U32" s="1">
        <v>196</v>
      </c>
      <c r="V32" s="1">
        <v>51</v>
      </c>
      <c r="W32" s="93">
        <v>96</v>
      </c>
      <c r="X32" s="93">
        <v>1057</v>
      </c>
      <c r="Y32" s="93">
        <v>1981</v>
      </c>
      <c r="Z32" s="93">
        <v>87</v>
      </c>
      <c r="AA32" s="93">
        <v>218</v>
      </c>
      <c r="AB32" s="3">
        <v>157</v>
      </c>
      <c r="AC32" s="3">
        <v>1260</v>
      </c>
      <c r="AD32" s="3">
        <v>200</v>
      </c>
      <c r="AE32" s="8">
        <v>366</v>
      </c>
      <c r="AF32" s="8">
        <v>212</v>
      </c>
      <c r="AG32" s="8">
        <v>2</v>
      </c>
      <c r="AH32" s="99">
        <v>771</v>
      </c>
      <c r="AI32" s="99">
        <v>917</v>
      </c>
      <c r="AJ32" s="98">
        <v>1408</v>
      </c>
      <c r="AK32" s="93">
        <v>175</v>
      </c>
      <c r="AL32" s="100">
        <v>678</v>
      </c>
      <c r="AM32" s="97">
        <v>59</v>
      </c>
      <c r="AN32" s="117">
        <v>3005</v>
      </c>
    </row>
    <row r="33" spans="1:40" x14ac:dyDescent="0.3">
      <c r="A33" s="91">
        <v>43290</v>
      </c>
      <c r="B33" s="1">
        <v>426</v>
      </c>
      <c r="C33" s="1">
        <v>116</v>
      </c>
      <c r="D33" s="1">
        <v>1814</v>
      </c>
      <c r="E33" s="1">
        <v>7</v>
      </c>
      <c r="F33" s="1">
        <v>50</v>
      </c>
      <c r="G33" s="1">
        <v>251</v>
      </c>
      <c r="H33" s="1">
        <v>539</v>
      </c>
      <c r="I33" s="1">
        <v>76</v>
      </c>
      <c r="J33" s="1">
        <v>144</v>
      </c>
      <c r="K33" s="92">
        <v>56.392342609079037</v>
      </c>
      <c r="L33" s="1">
        <v>455</v>
      </c>
      <c r="M33" s="1">
        <v>162</v>
      </c>
      <c r="N33" s="1">
        <v>573</v>
      </c>
      <c r="O33" s="1">
        <v>37</v>
      </c>
      <c r="P33" s="1">
        <v>390</v>
      </c>
      <c r="Q33" s="1">
        <v>34</v>
      </c>
      <c r="R33" s="1">
        <v>301</v>
      </c>
      <c r="S33" s="1">
        <v>53</v>
      </c>
      <c r="T33" s="1">
        <v>234</v>
      </c>
      <c r="U33" s="1">
        <v>2680</v>
      </c>
      <c r="V33" s="1">
        <v>58</v>
      </c>
      <c r="W33" s="93">
        <v>50</v>
      </c>
      <c r="X33" s="93">
        <v>1735</v>
      </c>
      <c r="Y33" s="93">
        <v>153</v>
      </c>
      <c r="Z33" s="93">
        <v>580</v>
      </c>
      <c r="AA33" s="93">
        <v>293</v>
      </c>
      <c r="AB33" s="3">
        <v>425</v>
      </c>
      <c r="AC33" s="3">
        <v>1562</v>
      </c>
      <c r="AD33" s="3">
        <v>77</v>
      </c>
      <c r="AE33" s="8">
        <v>1355</v>
      </c>
      <c r="AF33" s="8">
        <v>183</v>
      </c>
      <c r="AG33" s="8">
        <v>134</v>
      </c>
      <c r="AH33" s="99">
        <v>498</v>
      </c>
      <c r="AI33" s="99">
        <v>744</v>
      </c>
      <c r="AJ33" s="98">
        <v>772</v>
      </c>
      <c r="AK33" s="93">
        <v>255</v>
      </c>
      <c r="AL33" s="100">
        <v>282</v>
      </c>
      <c r="AM33" s="97">
        <v>857</v>
      </c>
      <c r="AN33" s="117">
        <v>546</v>
      </c>
    </row>
    <row r="34" spans="1:40" x14ac:dyDescent="0.3">
      <c r="A34" s="91">
        <v>43291</v>
      </c>
      <c r="B34" s="1">
        <v>361</v>
      </c>
      <c r="C34" s="1">
        <v>508</v>
      </c>
      <c r="D34" s="1">
        <v>666</v>
      </c>
      <c r="E34" s="1">
        <v>1</v>
      </c>
      <c r="F34" s="1">
        <v>7</v>
      </c>
      <c r="G34" s="1">
        <v>116</v>
      </c>
      <c r="H34" s="1">
        <v>353</v>
      </c>
      <c r="I34" s="1">
        <v>998</v>
      </c>
      <c r="J34" s="1">
        <v>211</v>
      </c>
      <c r="K34" s="92">
        <v>68.634794355090406</v>
      </c>
      <c r="L34" s="1">
        <v>898</v>
      </c>
      <c r="M34" s="1">
        <v>1059</v>
      </c>
      <c r="N34" s="1">
        <v>630</v>
      </c>
      <c r="O34" s="1">
        <v>235</v>
      </c>
      <c r="P34" s="1">
        <v>61</v>
      </c>
      <c r="Q34" s="1">
        <v>328</v>
      </c>
      <c r="R34" s="1">
        <v>475</v>
      </c>
      <c r="S34" s="1">
        <v>772</v>
      </c>
      <c r="T34" s="1">
        <v>1307</v>
      </c>
      <c r="U34" s="1">
        <v>1167</v>
      </c>
      <c r="V34" s="1">
        <v>41</v>
      </c>
      <c r="W34" s="93">
        <v>67</v>
      </c>
      <c r="X34" s="93">
        <v>768</v>
      </c>
      <c r="Y34" s="93">
        <v>625</v>
      </c>
      <c r="Z34" s="93">
        <v>1209</v>
      </c>
      <c r="AA34" s="93">
        <v>1451</v>
      </c>
      <c r="AB34" s="3">
        <v>229</v>
      </c>
      <c r="AC34" s="3">
        <v>1978</v>
      </c>
      <c r="AD34" s="3">
        <v>11</v>
      </c>
      <c r="AE34" s="8">
        <v>415</v>
      </c>
      <c r="AF34" s="8">
        <v>123</v>
      </c>
      <c r="AG34" s="8">
        <v>119</v>
      </c>
      <c r="AH34" s="99">
        <v>904</v>
      </c>
      <c r="AI34" s="99">
        <v>1146</v>
      </c>
      <c r="AJ34" s="98">
        <v>152</v>
      </c>
      <c r="AK34" s="93">
        <v>157</v>
      </c>
      <c r="AL34" s="100">
        <v>580</v>
      </c>
      <c r="AM34" s="97">
        <v>684</v>
      </c>
      <c r="AN34" s="117">
        <v>1258</v>
      </c>
    </row>
    <row r="35" spans="1:40" x14ac:dyDescent="0.3">
      <c r="A35" s="91">
        <v>43292</v>
      </c>
      <c r="B35" s="1">
        <v>592</v>
      </c>
      <c r="C35" s="1">
        <v>994</v>
      </c>
      <c r="D35" s="1">
        <v>684</v>
      </c>
      <c r="E35" s="1">
        <v>1</v>
      </c>
      <c r="F35" s="1">
        <v>97</v>
      </c>
      <c r="G35" s="1">
        <v>205</v>
      </c>
      <c r="H35" s="1">
        <v>58</v>
      </c>
      <c r="I35" s="1">
        <v>134</v>
      </c>
      <c r="J35" s="1">
        <v>250</v>
      </c>
      <c r="K35" s="92">
        <v>60.434852904036475</v>
      </c>
      <c r="L35" s="1">
        <v>605</v>
      </c>
      <c r="M35" s="1">
        <v>702</v>
      </c>
      <c r="N35" s="1">
        <v>223</v>
      </c>
      <c r="O35" s="1">
        <v>87</v>
      </c>
      <c r="P35" s="1">
        <v>1312</v>
      </c>
      <c r="Q35" s="1">
        <v>406</v>
      </c>
      <c r="R35" s="1">
        <v>507</v>
      </c>
      <c r="S35" s="1">
        <v>7</v>
      </c>
      <c r="T35" s="1">
        <v>417</v>
      </c>
      <c r="U35" s="1">
        <v>1659</v>
      </c>
      <c r="V35" s="1">
        <v>65</v>
      </c>
      <c r="W35" s="93">
        <v>56</v>
      </c>
      <c r="X35" s="93">
        <v>204</v>
      </c>
      <c r="Y35" s="93">
        <v>1063</v>
      </c>
      <c r="Z35" s="93">
        <v>3878</v>
      </c>
      <c r="AA35" s="93">
        <v>497</v>
      </c>
      <c r="AB35" s="3">
        <v>536</v>
      </c>
      <c r="AC35" s="3">
        <v>447</v>
      </c>
      <c r="AD35" s="3">
        <v>45</v>
      </c>
      <c r="AE35" s="8">
        <v>197</v>
      </c>
      <c r="AF35" s="8">
        <v>290</v>
      </c>
      <c r="AG35" s="8">
        <v>267</v>
      </c>
      <c r="AH35" s="99">
        <v>2015</v>
      </c>
      <c r="AI35" s="99">
        <v>792</v>
      </c>
      <c r="AJ35" s="98">
        <v>48</v>
      </c>
      <c r="AK35" s="93">
        <v>301</v>
      </c>
      <c r="AL35" s="100">
        <v>1361</v>
      </c>
      <c r="AM35" s="97">
        <v>1137</v>
      </c>
      <c r="AN35" s="117">
        <v>3697</v>
      </c>
    </row>
    <row r="36" spans="1:40" x14ac:dyDescent="0.3">
      <c r="A36" s="91">
        <v>43293</v>
      </c>
      <c r="B36" s="1">
        <v>715</v>
      </c>
      <c r="C36" s="1">
        <v>308</v>
      </c>
      <c r="D36" s="1">
        <v>1229</v>
      </c>
      <c r="E36" s="1">
        <v>3</v>
      </c>
      <c r="F36" s="1">
        <v>12</v>
      </c>
      <c r="G36" s="1">
        <v>530</v>
      </c>
      <c r="H36" s="1">
        <v>17</v>
      </c>
      <c r="I36" s="1">
        <v>8</v>
      </c>
      <c r="J36" s="1">
        <v>359</v>
      </c>
      <c r="K36" s="92">
        <v>70.8182907184448</v>
      </c>
      <c r="L36" s="1">
        <v>231</v>
      </c>
      <c r="M36" s="1">
        <v>1083</v>
      </c>
      <c r="N36" s="1">
        <v>1085</v>
      </c>
      <c r="O36" s="1">
        <v>44</v>
      </c>
      <c r="P36" s="1">
        <v>1734</v>
      </c>
      <c r="Q36" s="1">
        <v>847</v>
      </c>
      <c r="R36" s="1">
        <v>24</v>
      </c>
      <c r="S36" s="1">
        <v>313</v>
      </c>
      <c r="T36" s="1">
        <v>1254</v>
      </c>
      <c r="U36" s="1">
        <v>680</v>
      </c>
      <c r="V36" s="1">
        <v>53</v>
      </c>
      <c r="W36" s="93">
        <v>50</v>
      </c>
      <c r="X36" s="93">
        <v>124</v>
      </c>
      <c r="Y36" s="93">
        <v>1443</v>
      </c>
      <c r="Z36" s="93">
        <v>1939</v>
      </c>
      <c r="AA36" s="93">
        <v>2027</v>
      </c>
      <c r="AB36" s="3">
        <v>2256</v>
      </c>
      <c r="AC36" s="3">
        <v>2429</v>
      </c>
      <c r="AD36" s="3">
        <v>27</v>
      </c>
      <c r="AE36" s="8">
        <v>583</v>
      </c>
      <c r="AF36" s="8">
        <v>467</v>
      </c>
      <c r="AG36" s="8">
        <v>213</v>
      </c>
      <c r="AH36" s="99">
        <v>923</v>
      </c>
      <c r="AI36" s="99">
        <v>266</v>
      </c>
      <c r="AJ36" s="98">
        <v>443</v>
      </c>
      <c r="AK36" s="93">
        <v>52</v>
      </c>
      <c r="AL36" s="100">
        <v>6</v>
      </c>
      <c r="AM36" s="97">
        <v>495</v>
      </c>
      <c r="AN36" s="117">
        <v>130</v>
      </c>
    </row>
    <row r="37" spans="1:40" x14ac:dyDescent="0.3">
      <c r="A37" s="91">
        <v>43294</v>
      </c>
      <c r="B37" s="1">
        <v>751</v>
      </c>
      <c r="C37" s="1">
        <v>298</v>
      </c>
      <c r="D37" s="1">
        <v>803</v>
      </c>
      <c r="E37" s="1">
        <v>0</v>
      </c>
      <c r="F37" s="1">
        <v>0</v>
      </c>
      <c r="G37" s="1">
        <v>433</v>
      </c>
      <c r="H37" s="1">
        <v>92</v>
      </c>
      <c r="I37" s="1">
        <v>1</v>
      </c>
      <c r="J37" s="1">
        <v>143</v>
      </c>
      <c r="K37" s="92">
        <v>65.369689886175152</v>
      </c>
      <c r="L37" s="1">
        <v>1847</v>
      </c>
      <c r="M37" s="1">
        <v>295</v>
      </c>
      <c r="N37" s="1">
        <v>1093</v>
      </c>
      <c r="O37" s="1">
        <v>18</v>
      </c>
      <c r="P37" s="1">
        <v>268</v>
      </c>
      <c r="Q37" s="1">
        <v>657</v>
      </c>
      <c r="R37" s="1">
        <v>1598</v>
      </c>
      <c r="S37" s="1">
        <v>537</v>
      </c>
      <c r="T37" s="1">
        <v>683</v>
      </c>
      <c r="U37" s="1">
        <v>153</v>
      </c>
      <c r="V37" s="1">
        <v>84</v>
      </c>
      <c r="W37" s="93">
        <v>105</v>
      </c>
      <c r="X37" s="93">
        <v>839</v>
      </c>
      <c r="Y37" s="93">
        <v>1723</v>
      </c>
      <c r="Z37" s="93">
        <v>409</v>
      </c>
      <c r="AA37" s="93">
        <v>502</v>
      </c>
      <c r="AB37" s="3">
        <v>1828</v>
      </c>
      <c r="AC37" s="3">
        <v>990</v>
      </c>
      <c r="AD37" s="3">
        <v>65</v>
      </c>
      <c r="AE37" s="8">
        <v>264</v>
      </c>
      <c r="AF37" s="8">
        <v>351</v>
      </c>
      <c r="AG37" s="8">
        <v>136</v>
      </c>
      <c r="AH37" s="99">
        <v>660</v>
      </c>
      <c r="AI37" s="99">
        <v>346</v>
      </c>
      <c r="AJ37" s="98">
        <v>388</v>
      </c>
      <c r="AK37" s="93">
        <v>243</v>
      </c>
      <c r="AL37" s="100">
        <v>930</v>
      </c>
      <c r="AM37" s="97">
        <v>853</v>
      </c>
      <c r="AN37" s="117">
        <v>2517</v>
      </c>
    </row>
    <row r="38" spans="1:40" x14ac:dyDescent="0.3">
      <c r="A38" s="91">
        <v>43295</v>
      </c>
      <c r="B38" s="1">
        <v>798</v>
      </c>
      <c r="C38" s="1">
        <v>351</v>
      </c>
      <c r="D38" s="1">
        <v>736</v>
      </c>
      <c r="E38" s="1">
        <v>4</v>
      </c>
      <c r="F38" s="1">
        <v>0</v>
      </c>
      <c r="G38" s="1">
        <v>456</v>
      </c>
      <c r="H38" s="1">
        <v>14</v>
      </c>
      <c r="I38" s="1">
        <v>115</v>
      </c>
      <c r="J38" s="1">
        <v>26</v>
      </c>
      <c r="K38" s="92">
        <v>50.267736710828629</v>
      </c>
      <c r="L38" s="1">
        <v>1321</v>
      </c>
      <c r="M38" s="1">
        <v>1019</v>
      </c>
      <c r="N38" s="1">
        <v>437</v>
      </c>
      <c r="O38" s="1">
        <v>20</v>
      </c>
      <c r="P38" s="1">
        <v>347</v>
      </c>
      <c r="Q38" s="1">
        <v>1173</v>
      </c>
      <c r="R38" s="1">
        <v>44</v>
      </c>
      <c r="S38" s="1">
        <v>320</v>
      </c>
      <c r="T38" s="1">
        <v>215</v>
      </c>
      <c r="U38" s="1">
        <v>40</v>
      </c>
      <c r="V38" s="1">
        <v>69</v>
      </c>
      <c r="W38" s="93">
        <v>61</v>
      </c>
      <c r="X38" s="93">
        <v>276</v>
      </c>
      <c r="Y38" s="93">
        <v>889</v>
      </c>
      <c r="Z38" s="93">
        <v>3981</v>
      </c>
      <c r="AA38" s="93">
        <v>363</v>
      </c>
      <c r="AB38" s="3">
        <v>919</v>
      </c>
      <c r="AC38" s="3">
        <v>751</v>
      </c>
      <c r="AD38" s="3">
        <v>40</v>
      </c>
      <c r="AE38" s="8">
        <v>4</v>
      </c>
      <c r="AF38" s="8">
        <v>171</v>
      </c>
      <c r="AG38" s="8">
        <v>400</v>
      </c>
      <c r="AH38" s="99">
        <v>1523</v>
      </c>
      <c r="AI38" s="99">
        <v>189</v>
      </c>
      <c r="AJ38" s="98">
        <v>598</v>
      </c>
      <c r="AK38" s="93">
        <v>312</v>
      </c>
      <c r="AL38" s="100">
        <v>422</v>
      </c>
      <c r="AM38" s="97">
        <v>372</v>
      </c>
      <c r="AN38" s="117">
        <v>1861</v>
      </c>
    </row>
    <row r="39" spans="1:40" x14ac:dyDescent="0.3">
      <c r="A39" s="91">
        <v>43296</v>
      </c>
      <c r="B39" s="1">
        <v>970</v>
      </c>
      <c r="C39" s="1">
        <v>665</v>
      </c>
      <c r="D39" s="1">
        <v>315</v>
      </c>
      <c r="E39" s="1">
        <v>0</v>
      </c>
      <c r="F39" s="1">
        <v>2</v>
      </c>
      <c r="G39" s="1">
        <v>131</v>
      </c>
      <c r="H39" s="1">
        <v>72</v>
      </c>
      <c r="I39" s="1">
        <v>78</v>
      </c>
      <c r="J39" s="1">
        <v>8</v>
      </c>
      <c r="K39" s="92">
        <v>48.483083336490672</v>
      </c>
      <c r="L39" s="1">
        <v>209</v>
      </c>
      <c r="M39" s="1">
        <v>1763</v>
      </c>
      <c r="N39" s="1">
        <v>296</v>
      </c>
      <c r="O39" s="1">
        <v>1</v>
      </c>
      <c r="P39" s="1">
        <v>425</v>
      </c>
      <c r="Q39" s="1">
        <v>1290</v>
      </c>
      <c r="R39" s="1">
        <v>13</v>
      </c>
      <c r="S39" s="1">
        <v>102</v>
      </c>
      <c r="T39" s="1">
        <v>513</v>
      </c>
      <c r="U39" s="1">
        <v>319</v>
      </c>
      <c r="V39" s="1">
        <v>38</v>
      </c>
      <c r="W39" s="93">
        <v>74</v>
      </c>
      <c r="X39" s="93">
        <v>437</v>
      </c>
      <c r="Y39" s="93">
        <v>747</v>
      </c>
      <c r="Z39" s="93">
        <v>183</v>
      </c>
      <c r="AA39" s="93">
        <v>1067</v>
      </c>
      <c r="AB39" s="3">
        <v>1076</v>
      </c>
      <c r="AC39" s="3">
        <v>495</v>
      </c>
      <c r="AD39" s="3">
        <v>14</v>
      </c>
      <c r="AE39" s="8">
        <v>368</v>
      </c>
      <c r="AF39" s="8">
        <v>322</v>
      </c>
      <c r="AG39" s="8">
        <v>210</v>
      </c>
      <c r="AH39" s="99">
        <v>500</v>
      </c>
      <c r="AI39" s="99">
        <v>1491</v>
      </c>
      <c r="AJ39" s="98">
        <v>160</v>
      </c>
      <c r="AK39" s="93">
        <v>86</v>
      </c>
      <c r="AL39" s="100">
        <v>2</v>
      </c>
      <c r="AM39" s="97">
        <v>551</v>
      </c>
      <c r="AN39" s="117">
        <v>1901</v>
      </c>
    </row>
    <row r="40" spans="1:40" x14ac:dyDescent="0.3">
      <c r="A40" s="91">
        <v>43297</v>
      </c>
      <c r="B40" s="1">
        <v>680</v>
      </c>
      <c r="C40" s="1">
        <v>845</v>
      </c>
      <c r="D40" s="1">
        <v>645</v>
      </c>
      <c r="E40" s="1">
        <v>1</v>
      </c>
      <c r="F40" s="1">
        <v>0</v>
      </c>
      <c r="G40" s="1">
        <v>97</v>
      </c>
      <c r="H40" s="1">
        <v>466</v>
      </c>
      <c r="I40" s="1">
        <v>102</v>
      </c>
      <c r="J40" s="1">
        <v>176</v>
      </c>
      <c r="K40" s="92">
        <v>52.119990591806207</v>
      </c>
      <c r="L40" s="1">
        <v>207</v>
      </c>
      <c r="M40" s="1">
        <v>2019</v>
      </c>
      <c r="N40" s="1">
        <v>790</v>
      </c>
      <c r="O40" s="1">
        <v>32</v>
      </c>
      <c r="P40" s="1">
        <v>338</v>
      </c>
      <c r="Q40" s="1">
        <v>128</v>
      </c>
      <c r="R40" s="1">
        <v>548</v>
      </c>
      <c r="S40" s="1">
        <v>366</v>
      </c>
      <c r="T40" s="1">
        <v>32</v>
      </c>
      <c r="U40" s="1">
        <v>238</v>
      </c>
      <c r="V40" s="1">
        <v>36</v>
      </c>
      <c r="W40" s="93">
        <v>186</v>
      </c>
      <c r="X40" s="93">
        <v>581</v>
      </c>
      <c r="Y40" s="93">
        <v>1598</v>
      </c>
      <c r="Z40" s="93">
        <v>148</v>
      </c>
      <c r="AA40" s="93">
        <v>89</v>
      </c>
      <c r="AB40" s="3">
        <v>2889</v>
      </c>
      <c r="AC40" s="3">
        <v>641</v>
      </c>
      <c r="AD40" s="3">
        <v>24</v>
      </c>
      <c r="AE40" s="8">
        <v>35</v>
      </c>
      <c r="AF40" s="8">
        <v>183</v>
      </c>
      <c r="AG40" s="8">
        <v>1179</v>
      </c>
      <c r="AH40" s="99">
        <v>489</v>
      </c>
      <c r="AI40" s="99">
        <v>1692</v>
      </c>
      <c r="AJ40" s="98">
        <v>480</v>
      </c>
      <c r="AK40" s="93">
        <v>19</v>
      </c>
      <c r="AL40" s="100">
        <v>453</v>
      </c>
      <c r="AM40" s="97">
        <v>2239</v>
      </c>
      <c r="AN40" s="117">
        <v>4062</v>
      </c>
    </row>
    <row r="41" spans="1:40" x14ac:dyDescent="0.3">
      <c r="A41" s="91">
        <v>43298</v>
      </c>
      <c r="B41" s="1">
        <v>705</v>
      </c>
      <c r="C41" s="1">
        <v>634</v>
      </c>
      <c r="D41" s="1">
        <v>519</v>
      </c>
      <c r="E41" s="1">
        <v>18</v>
      </c>
      <c r="F41" s="1">
        <v>7</v>
      </c>
      <c r="G41" s="1">
        <v>419</v>
      </c>
      <c r="H41" s="1">
        <v>174</v>
      </c>
      <c r="I41" s="1">
        <v>320</v>
      </c>
      <c r="J41" s="1">
        <v>63</v>
      </c>
      <c r="K41" s="92">
        <v>74.725600000262844</v>
      </c>
      <c r="L41" s="1">
        <v>241</v>
      </c>
      <c r="M41" s="1">
        <v>1110</v>
      </c>
      <c r="N41" s="1">
        <v>1565</v>
      </c>
      <c r="O41" s="1">
        <v>26</v>
      </c>
      <c r="P41" s="1">
        <v>489</v>
      </c>
      <c r="Q41" s="1">
        <v>1372</v>
      </c>
      <c r="R41" s="1">
        <v>871</v>
      </c>
      <c r="S41" s="1">
        <v>68</v>
      </c>
      <c r="T41" s="1">
        <v>288</v>
      </c>
      <c r="U41" s="1">
        <v>2165</v>
      </c>
      <c r="V41" s="1">
        <v>62</v>
      </c>
      <c r="W41" s="93">
        <v>34</v>
      </c>
      <c r="X41" s="93">
        <v>959</v>
      </c>
      <c r="Y41" s="93">
        <v>126</v>
      </c>
      <c r="Z41" s="93">
        <v>700</v>
      </c>
      <c r="AA41" s="93">
        <v>638</v>
      </c>
      <c r="AB41" s="3">
        <v>2674</v>
      </c>
      <c r="AC41" s="3">
        <v>801</v>
      </c>
      <c r="AD41" s="3">
        <v>45</v>
      </c>
      <c r="AE41" s="8">
        <v>320</v>
      </c>
      <c r="AF41" s="8">
        <v>206</v>
      </c>
      <c r="AG41" s="8">
        <v>365</v>
      </c>
      <c r="AH41" s="99">
        <v>825</v>
      </c>
      <c r="AI41" s="99">
        <v>410</v>
      </c>
      <c r="AJ41" s="98">
        <v>428</v>
      </c>
      <c r="AK41" s="93">
        <v>80</v>
      </c>
      <c r="AL41" s="100">
        <v>272</v>
      </c>
      <c r="AM41" s="97">
        <v>1893</v>
      </c>
      <c r="AN41" s="117">
        <v>420</v>
      </c>
    </row>
    <row r="42" spans="1:40" x14ac:dyDescent="0.3">
      <c r="A42" s="91">
        <v>43299</v>
      </c>
      <c r="B42" s="1">
        <v>367</v>
      </c>
      <c r="C42" s="1">
        <v>642</v>
      </c>
      <c r="D42" s="1">
        <v>398</v>
      </c>
      <c r="E42" s="1">
        <v>15</v>
      </c>
      <c r="F42" s="1">
        <v>218</v>
      </c>
      <c r="G42" s="1">
        <v>223</v>
      </c>
      <c r="H42" s="1">
        <v>271</v>
      </c>
      <c r="I42" s="1">
        <v>149</v>
      </c>
      <c r="J42" s="1">
        <v>31</v>
      </c>
      <c r="K42" s="92">
        <v>58.41359775668964</v>
      </c>
      <c r="L42" s="1">
        <v>174</v>
      </c>
      <c r="M42" s="1">
        <v>1830</v>
      </c>
      <c r="N42" s="1">
        <v>682</v>
      </c>
      <c r="O42" s="1">
        <v>293</v>
      </c>
      <c r="P42" s="1">
        <v>309</v>
      </c>
      <c r="Q42" s="1">
        <v>444</v>
      </c>
      <c r="R42" s="1">
        <v>1109</v>
      </c>
      <c r="S42" s="1">
        <v>112</v>
      </c>
      <c r="T42" s="1">
        <v>706</v>
      </c>
      <c r="U42" s="1">
        <v>668</v>
      </c>
      <c r="V42" s="1">
        <v>52</v>
      </c>
      <c r="W42" s="93">
        <v>123</v>
      </c>
      <c r="X42" s="93">
        <v>1196</v>
      </c>
      <c r="Y42" s="93">
        <v>1670</v>
      </c>
      <c r="Z42" s="93">
        <v>510</v>
      </c>
      <c r="AA42" s="93">
        <v>2741</v>
      </c>
      <c r="AB42" s="3">
        <v>3837</v>
      </c>
      <c r="AC42" s="3">
        <v>455</v>
      </c>
      <c r="AD42" s="3">
        <v>116</v>
      </c>
      <c r="AE42" s="8">
        <v>772</v>
      </c>
      <c r="AF42" s="8">
        <v>332</v>
      </c>
      <c r="AG42" s="8">
        <v>304</v>
      </c>
      <c r="AH42" s="99">
        <v>1184</v>
      </c>
      <c r="AI42" s="99">
        <v>1051</v>
      </c>
      <c r="AJ42" s="98">
        <v>973</v>
      </c>
      <c r="AK42" s="93">
        <v>326</v>
      </c>
      <c r="AL42" s="100">
        <v>531</v>
      </c>
      <c r="AM42" s="97">
        <v>1692</v>
      </c>
      <c r="AN42" s="117">
        <v>626</v>
      </c>
    </row>
    <row r="43" spans="1:40" x14ac:dyDescent="0.3">
      <c r="A43" s="91">
        <v>43300</v>
      </c>
      <c r="B43" s="1">
        <v>621</v>
      </c>
      <c r="C43" s="1">
        <v>648</v>
      </c>
      <c r="D43" s="1">
        <v>652</v>
      </c>
      <c r="E43" s="1">
        <v>5</v>
      </c>
      <c r="F43" s="1">
        <v>96</v>
      </c>
      <c r="G43" s="1">
        <v>204</v>
      </c>
      <c r="H43" s="1">
        <v>94</v>
      </c>
      <c r="I43" s="1">
        <v>224</v>
      </c>
      <c r="J43" s="1">
        <v>54</v>
      </c>
      <c r="K43" s="92">
        <v>59.373524950485717</v>
      </c>
      <c r="L43" s="1">
        <v>920</v>
      </c>
      <c r="M43" s="1">
        <v>805</v>
      </c>
      <c r="N43" s="1">
        <v>866</v>
      </c>
      <c r="O43" s="1">
        <v>370</v>
      </c>
      <c r="P43" s="1">
        <v>210</v>
      </c>
      <c r="Q43" s="1">
        <v>717</v>
      </c>
      <c r="R43" s="1">
        <v>20</v>
      </c>
      <c r="S43" s="1">
        <v>1039</v>
      </c>
      <c r="T43" s="1">
        <v>701</v>
      </c>
      <c r="U43" s="1">
        <v>537</v>
      </c>
      <c r="V43" s="1">
        <v>65</v>
      </c>
      <c r="W43" s="93">
        <v>41</v>
      </c>
      <c r="X43" s="93">
        <v>520</v>
      </c>
      <c r="Y43" s="93">
        <v>288</v>
      </c>
      <c r="Z43" s="93">
        <v>1336</v>
      </c>
      <c r="AA43" s="93">
        <v>525</v>
      </c>
      <c r="AB43" s="3">
        <v>7529</v>
      </c>
      <c r="AC43" s="3">
        <v>88</v>
      </c>
      <c r="AD43" s="3">
        <v>1159</v>
      </c>
      <c r="AE43" s="8">
        <v>23</v>
      </c>
      <c r="AF43" s="8">
        <v>409</v>
      </c>
      <c r="AG43" s="8">
        <v>98</v>
      </c>
      <c r="AH43" s="99">
        <v>1026</v>
      </c>
      <c r="AI43" s="99">
        <v>535</v>
      </c>
      <c r="AJ43" s="98">
        <v>223</v>
      </c>
      <c r="AK43" s="93">
        <v>118</v>
      </c>
      <c r="AL43" s="100">
        <v>117</v>
      </c>
      <c r="AM43" s="97">
        <v>899</v>
      </c>
      <c r="AN43" s="117">
        <v>1090</v>
      </c>
    </row>
    <row r="44" spans="1:40" x14ac:dyDescent="0.3">
      <c r="A44" s="91">
        <v>43301</v>
      </c>
      <c r="B44" s="1">
        <v>608</v>
      </c>
      <c r="C44" s="1">
        <v>423</v>
      </c>
      <c r="D44" s="1">
        <v>777</v>
      </c>
      <c r="E44" s="1">
        <v>2</v>
      </c>
      <c r="F44" s="1">
        <v>220</v>
      </c>
      <c r="G44" s="1">
        <v>215</v>
      </c>
      <c r="H44" s="1">
        <v>424</v>
      </c>
      <c r="I44" s="1">
        <v>460</v>
      </c>
      <c r="J44" s="1">
        <v>507</v>
      </c>
      <c r="K44" s="92">
        <v>72.623224244937219</v>
      </c>
      <c r="L44" s="1">
        <v>964</v>
      </c>
      <c r="M44" s="1">
        <v>1734</v>
      </c>
      <c r="N44" s="1">
        <v>1360</v>
      </c>
      <c r="O44" s="1">
        <v>634</v>
      </c>
      <c r="P44" s="1">
        <v>262</v>
      </c>
      <c r="Q44" s="1">
        <v>1483</v>
      </c>
      <c r="R44" s="1">
        <v>450</v>
      </c>
      <c r="S44" s="1">
        <v>24</v>
      </c>
      <c r="T44" s="1">
        <v>156</v>
      </c>
      <c r="U44" s="1">
        <v>40</v>
      </c>
      <c r="V44" s="1">
        <v>111</v>
      </c>
      <c r="W44" s="93">
        <v>47</v>
      </c>
      <c r="X44" s="93">
        <v>2316</v>
      </c>
      <c r="Y44" s="93">
        <v>3641</v>
      </c>
      <c r="Z44" s="93">
        <v>183</v>
      </c>
      <c r="AA44" s="93">
        <v>175</v>
      </c>
      <c r="AB44" s="3">
        <v>5259</v>
      </c>
      <c r="AC44" s="3">
        <v>394</v>
      </c>
      <c r="AD44" s="3">
        <v>1200</v>
      </c>
      <c r="AE44" s="8">
        <v>150</v>
      </c>
      <c r="AF44" s="8">
        <v>581</v>
      </c>
      <c r="AG44" s="8">
        <v>484</v>
      </c>
      <c r="AH44" s="99">
        <v>1002</v>
      </c>
      <c r="AI44" s="99">
        <v>1153</v>
      </c>
      <c r="AJ44" s="98">
        <v>379</v>
      </c>
      <c r="AK44" s="93">
        <v>295</v>
      </c>
      <c r="AL44" s="100">
        <v>933</v>
      </c>
      <c r="AM44" s="97">
        <v>685</v>
      </c>
      <c r="AN44" s="117">
        <v>213</v>
      </c>
    </row>
    <row r="45" spans="1:40" x14ac:dyDescent="0.3">
      <c r="A45" s="91">
        <v>43302</v>
      </c>
      <c r="B45" s="1">
        <v>356</v>
      </c>
      <c r="C45" s="1">
        <v>1197</v>
      </c>
      <c r="D45" s="1">
        <v>1841</v>
      </c>
      <c r="E45" s="1">
        <v>1</v>
      </c>
      <c r="F45" s="1">
        <v>1</v>
      </c>
      <c r="G45" s="1">
        <v>85</v>
      </c>
      <c r="H45" s="1">
        <v>90</v>
      </c>
      <c r="I45" s="1">
        <v>214</v>
      </c>
      <c r="J45" s="1">
        <v>457</v>
      </c>
      <c r="K45" s="92">
        <v>109.31677922977529</v>
      </c>
      <c r="L45" s="1">
        <v>740</v>
      </c>
      <c r="M45" s="1">
        <v>3743</v>
      </c>
      <c r="N45" s="1">
        <v>2041</v>
      </c>
      <c r="O45" s="1">
        <v>758</v>
      </c>
      <c r="P45" s="1">
        <v>976</v>
      </c>
      <c r="Q45" s="1">
        <v>752</v>
      </c>
      <c r="R45" s="1">
        <v>1075</v>
      </c>
      <c r="S45" s="1">
        <v>55</v>
      </c>
      <c r="T45" s="1">
        <v>80</v>
      </c>
      <c r="U45" s="1">
        <v>1709</v>
      </c>
      <c r="V45" s="1">
        <v>74</v>
      </c>
      <c r="W45" s="93">
        <v>121</v>
      </c>
      <c r="X45" s="93">
        <v>594</v>
      </c>
      <c r="Y45" s="93">
        <v>1425</v>
      </c>
      <c r="Z45" s="93">
        <v>224</v>
      </c>
      <c r="AA45" s="93">
        <v>209</v>
      </c>
      <c r="AB45" s="3">
        <v>4093</v>
      </c>
      <c r="AC45" s="3">
        <v>1416</v>
      </c>
      <c r="AD45" s="3">
        <v>84</v>
      </c>
      <c r="AE45" s="8">
        <v>255</v>
      </c>
      <c r="AF45" s="8">
        <v>628</v>
      </c>
      <c r="AG45" s="8">
        <v>1031</v>
      </c>
      <c r="AH45" s="99">
        <v>2010</v>
      </c>
      <c r="AI45" s="99">
        <v>1171</v>
      </c>
      <c r="AJ45" s="98">
        <v>329</v>
      </c>
      <c r="AK45" s="93">
        <v>323</v>
      </c>
      <c r="AL45" s="100">
        <v>77</v>
      </c>
      <c r="AM45" s="97">
        <v>1385</v>
      </c>
      <c r="AN45" s="117">
        <v>1217</v>
      </c>
    </row>
    <row r="46" spans="1:40" x14ac:dyDescent="0.3">
      <c r="A46" s="91">
        <v>43303</v>
      </c>
      <c r="B46" s="1">
        <v>409</v>
      </c>
      <c r="C46" s="1">
        <v>677</v>
      </c>
      <c r="D46" s="1">
        <v>799</v>
      </c>
      <c r="E46" s="1">
        <v>4</v>
      </c>
      <c r="F46" s="1">
        <v>30</v>
      </c>
      <c r="G46" s="1">
        <v>1002</v>
      </c>
      <c r="H46" s="1">
        <v>147</v>
      </c>
      <c r="I46" s="1">
        <v>233</v>
      </c>
      <c r="J46" s="1">
        <v>291</v>
      </c>
      <c r="K46" s="92">
        <v>103.74649748563283</v>
      </c>
      <c r="L46" s="1">
        <v>883</v>
      </c>
      <c r="M46" s="1">
        <v>1469</v>
      </c>
      <c r="N46" s="1">
        <v>2484</v>
      </c>
      <c r="O46" s="1">
        <v>377</v>
      </c>
      <c r="P46" s="1">
        <v>186</v>
      </c>
      <c r="Q46" s="1">
        <v>3051</v>
      </c>
      <c r="R46" s="1">
        <v>1267</v>
      </c>
      <c r="S46" s="1">
        <v>859</v>
      </c>
      <c r="T46" s="1">
        <v>721</v>
      </c>
      <c r="U46" s="1">
        <v>458</v>
      </c>
      <c r="V46" s="1">
        <v>40</v>
      </c>
      <c r="W46" s="93">
        <v>367</v>
      </c>
      <c r="X46" s="93">
        <v>790</v>
      </c>
      <c r="Y46" s="93">
        <v>613</v>
      </c>
      <c r="Z46" s="93">
        <v>94</v>
      </c>
      <c r="AA46" s="93">
        <v>198</v>
      </c>
      <c r="AB46" s="3">
        <v>2422</v>
      </c>
      <c r="AC46" s="3">
        <v>1564</v>
      </c>
      <c r="AD46" s="3">
        <v>463</v>
      </c>
      <c r="AE46" s="8">
        <v>330</v>
      </c>
      <c r="AF46" s="8">
        <v>882</v>
      </c>
      <c r="AG46" s="8">
        <v>384</v>
      </c>
      <c r="AH46" s="99">
        <v>1740</v>
      </c>
      <c r="AI46" s="99">
        <v>798</v>
      </c>
      <c r="AJ46" s="98">
        <v>516</v>
      </c>
      <c r="AK46" s="93">
        <v>366</v>
      </c>
      <c r="AL46" s="100">
        <v>13</v>
      </c>
      <c r="AM46" s="97">
        <v>266</v>
      </c>
      <c r="AN46" s="117">
        <v>94</v>
      </c>
    </row>
    <row r="47" spans="1:40" x14ac:dyDescent="0.3">
      <c r="A47" s="91">
        <v>43304</v>
      </c>
      <c r="B47" s="1">
        <v>756</v>
      </c>
      <c r="C47" s="1">
        <v>1203</v>
      </c>
      <c r="D47" s="1">
        <v>727</v>
      </c>
      <c r="E47" s="1">
        <v>1</v>
      </c>
      <c r="F47" s="1">
        <v>113</v>
      </c>
      <c r="G47" s="1">
        <v>324</v>
      </c>
      <c r="H47" s="1">
        <v>261</v>
      </c>
      <c r="I47" s="1">
        <v>395</v>
      </c>
      <c r="J47" s="1">
        <v>55</v>
      </c>
      <c r="K47" s="1">
        <v>14</v>
      </c>
      <c r="L47" s="1">
        <v>2210</v>
      </c>
      <c r="M47" s="1">
        <v>3841</v>
      </c>
      <c r="N47" s="1">
        <v>1233</v>
      </c>
      <c r="O47" s="1">
        <v>460</v>
      </c>
      <c r="P47" s="1">
        <v>187</v>
      </c>
      <c r="Q47" s="1">
        <v>1187</v>
      </c>
      <c r="R47" s="1">
        <v>1065</v>
      </c>
      <c r="S47" s="1">
        <v>534</v>
      </c>
      <c r="T47" s="1">
        <v>782</v>
      </c>
      <c r="U47" s="1">
        <v>603</v>
      </c>
      <c r="V47" s="1">
        <v>53</v>
      </c>
      <c r="W47" s="93">
        <v>41</v>
      </c>
      <c r="X47" s="93">
        <v>225</v>
      </c>
      <c r="Y47" s="93">
        <v>1695</v>
      </c>
      <c r="Z47" s="93">
        <v>116</v>
      </c>
      <c r="AA47" s="93">
        <v>571</v>
      </c>
      <c r="AB47" s="3">
        <v>1956</v>
      </c>
      <c r="AC47" s="3">
        <v>2657</v>
      </c>
      <c r="AD47" s="3">
        <v>10</v>
      </c>
      <c r="AE47" s="8">
        <v>308</v>
      </c>
      <c r="AF47" s="8">
        <v>11</v>
      </c>
      <c r="AG47" s="8">
        <v>646</v>
      </c>
      <c r="AH47" s="99">
        <v>589</v>
      </c>
      <c r="AI47" s="99">
        <v>643</v>
      </c>
      <c r="AJ47" s="98">
        <v>282</v>
      </c>
      <c r="AK47" s="93">
        <v>543</v>
      </c>
      <c r="AL47" s="100">
        <v>462</v>
      </c>
      <c r="AM47" s="97">
        <v>47</v>
      </c>
      <c r="AN47" s="117">
        <v>7699</v>
      </c>
    </row>
    <row r="48" spans="1:40" x14ac:dyDescent="0.3">
      <c r="A48" s="91">
        <v>43305</v>
      </c>
      <c r="B48" s="1">
        <v>727</v>
      </c>
      <c r="C48" s="1">
        <v>1003</v>
      </c>
      <c r="D48" s="1">
        <v>435</v>
      </c>
      <c r="E48" s="1">
        <v>0</v>
      </c>
      <c r="F48" s="1">
        <v>44</v>
      </c>
      <c r="G48" s="1">
        <v>92</v>
      </c>
      <c r="H48" s="1">
        <v>202</v>
      </c>
      <c r="I48" s="1">
        <v>199</v>
      </c>
      <c r="J48" s="1">
        <v>130</v>
      </c>
      <c r="K48" s="1">
        <v>124</v>
      </c>
      <c r="L48" s="1">
        <v>1908</v>
      </c>
      <c r="M48" s="1">
        <v>1493</v>
      </c>
      <c r="N48" s="1">
        <v>735</v>
      </c>
      <c r="O48" s="1">
        <v>286</v>
      </c>
      <c r="P48" s="1">
        <v>708</v>
      </c>
      <c r="Q48" s="1">
        <v>317</v>
      </c>
      <c r="R48" s="1">
        <v>1136</v>
      </c>
      <c r="S48" s="1">
        <v>938</v>
      </c>
      <c r="T48" s="1">
        <v>174</v>
      </c>
      <c r="U48" s="1">
        <v>581</v>
      </c>
      <c r="V48" s="1">
        <v>242</v>
      </c>
      <c r="W48" s="93">
        <v>31</v>
      </c>
      <c r="X48" s="93">
        <v>683</v>
      </c>
      <c r="Y48" s="93">
        <v>881</v>
      </c>
      <c r="Z48" s="93">
        <v>1443</v>
      </c>
      <c r="AA48" s="93">
        <v>654</v>
      </c>
      <c r="AB48" s="3">
        <v>6318</v>
      </c>
      <c r="AC48" s="3">
        <v>1480</v>
      </c>
      <c r="AD48" s="3">
        <v>51</v>
      </c>
      <c r="AE48" s="8">
        <v>168</v>
      </c>
      <c r="AF48" s="8">
        <v>0</v>
      </c>
      <c r="AG48" s="8">
        <v>963</v>
      </c>
      <c r="AH48" s="99">
        <v>954</v>
      </c>
      <c r="AI48" s="99">
        <v>2498</v>
      </c>
      <c r="AJ48" s="98">
        <v>541</v>
      </c>
      <c r="AK48" s="93">
        <v>361</v>
      </c>
      <c r="AL48" s="100">
        <v>1817</v>
      </c>
      <c r="AM48" s="97">
        <v>419</v>
      </c>
      <c r="AN48" s="117">
        <v>1769</v>
      </c>
    </row>
    <row r="49" spans="1:40" x14ac:dyDescent="0.3">
      <c r="A49" s="91">
        <v>43306</v>
      </c>
      <c r="B49" s="1">
        <v>530</v>
      </c>
      <c r="C49" s="1">
        <v>497</v>
      </c>
      <c r="D49" s="1">
        <v>251</v>
      </c>
      <c r="E49" s="1">
        <v>1</v>
      </c>
      <c r="F49" s="1">
        <v>92</v>
      </c>
      <c r="G49" s="1">
        <v>242</v>
      </c>
      <c r="H49" s="1">
        <v>518</v>
      </c>
      <c r="I49" s="1">
        <v>492</v>
      </c>
      <c r="J49" s="1">
        <v>65</v>
      </c>
      <c r="K49" s="1">
        <v>54</v>
      </c>
      <c r="L49" s="1">
        <v>568</v>
      </c>
      <c r="M49" s="1">
        <v>1865</v>
      </c>
      <c r="N49" s="1">
        <v>1335</v>
      </c>
      <c r="O49" s="1">
        <v>429</v>
      </c>
      <c r="P49" s="1">
        <v>311</v>
      </c>
      <c r="Q49" s="1">
        <v>724</v>
      </c>
      <c r="R49" s="1">
        <v>1631</v>
      </c>
      <c r="S49" s="1">
        <v>1088</v>
      </c>
      <c r="T49" s="1">
        <v>305</v>
      </c>
      <c r="U49" s="1">
        <v>52</v>
      </c>
      <c r="V49" s="1">
        <v>110</v>
      </c>
      <c r="W49" s="93">
        <v>47</v>
      </c>
      <c r="X49" s="93">
        <v>106</v>
      </c>
      <c r="Y49" s="93">
        <v>1071</v>
      </c>
      <c r="Z49" s="93">
        <v>2666</v>
      </c>
      <c r="AA49" s="93">
        <v>388</v>
      </c>
      <c r="AB49" s="3">
        <v>2893</v>
      </c>
      <c r="AC49" s="3">
        <v>1411</v>
      </c>
      <c r="AD49" s="3">
        <v>84</v>
      </c>
      <c r="AE49" s="8">
        <v>65</v>
      </c>
      <c r="AF49" s="8">
        <v>1133</v>
      </c>
      <c r="AG49" s="8">
        <v>1639</v>
      </c>
      <c r="AH49" s="99">
        <v>1450</v>
      </c>
      <c r="AI49" s="99">
        <v>1097</v>
      </c>
      <c r="AJ49" s="98">
        <v>220</v>
      </c>
      <c r="AK49" s="93">
        <v>178</v>
      </c>
      <c r="AL49" s="100">
        <v>541</v>
      </c>
      <c r="AM49" s="97">
        <v>1278</v>
      </c>
      <c r="AN49" s="117">
        <v>34</v>
      </c>
    </row>
    <row r="50" spans="1:40" x14ac:dyDescent="0.3">
      <c r="A50" s="91">
        <v>43307</v>
      </c>
      <c r="B50" s="1">
        <v>668</v>
      </c>
      <c r="C50" s="1">
        <v>633</v>
      </c>
      <c r="D50" s="1">
        <v>667</v>
      </c>
      <c r="E50" s="1">
        <v>0</v>
      </c>
      <c r="F50" s="1">
        <v>27</v>
      </c>
      <c r="G50" s="1">
        <v>592</v>
      </c>
      <c r="H50" s="1">
        <v>92</v>
      </c>
      <c r="I50" s="1">
        <v>557</v>
      </c>
      <c r="J50" s="1">
        <v>467</v>
      </c>
      <c r="K50" s="1">
        <v>50</v>
      </c>
      <c r="L50" s="1">
        <v>602</v>
      </c>
      <c r="M50" s="1">
        <v>7041</v>
      </c>
      <c r="N50" s="1">
        <v>1037</v>
      </c>
      <c r="O50" s="1">
        <v>417</v>
      </c>
      <c r="P50" s="1">
        <v>491</v>
      </c>
      <c r="Q50" s="1">
        <v>1002</v>
      </c>
      <c r="R50" s="1">
        <v>276</v>
      </c>
      <c r="S50" s="1">
        <v>614</v>
      </c>
      <c r="T50" s="1">
        <v>853</v>
      </c>
      <c r="U50" s="1">
        <v>68</v>
      </c>
      <c r="V50" s="1">
        <v>34</v>
      </c>
      <c r="W50" s="93">
        <v>37</v>
      </c>
      <c r="X50" s="93">
        <v>646</v>
      </c>
      <c r="Y50" s="93">
        <v>748</v>
      </c>
      <c r="Z50" s="93">
        <v>1591</v>
      </c>
      <c r="AA50" s="93">
        <v>106</v>
      </c>
      <c r="AB50" s="3">
        <v>4457</v>
      </c>
      <c r="AC50" s="3">
        <v>702</v>
      </c>
      <c r="AD50" s="3">
        <v>532</v>
      </c>
      <c r="AE50" s="8">
        <v>9</v>
      </c>
      <c r="AF50" s="8">
        <v>187</v>
      </c>
      <c r="AG50" s="8">
        <v>401</v>
      </c>
      <c r="AH50" s="99">
        <v>1659</v>
      </c>
      <c r="AI50" s="99">
        <v>310</v>
      </c>
      <c r="AJ50" s="98">
        <v>60</v>
      </c>
      <c r="AK50" s="93">
        <v>102</v>
      </c>
      <c r="AL50" s="100">
        <v>413</v>
      </c>
      <c r="AM50" s="97">
        <v>1739</v>
      </c>
      <c r="AN50" s="117">
        <v>1161</v>
      </c>
    </row>
    <row r="51" spans="1:40" x14ac:dyDescent="0.3">
      <c r="A51" s="91">
        <v>43308</v>
      </c>
      <c r="B51" s="1">
        <v>915</v>
      </c>
      <c r="C51" s="1">
        <v>736</v>
      </c>
      <c r="D51" s="1">
        <v>272</v>
      </c>
      <c r="E51" s="1">
        <v>1</v>
      </c>
      <c r="F51" s="1">
        <v>37</v>
      </c>
      <c r="G51" s="1">
        <v>622</v>
      </c>
      <c r="H51" s="1">
        <v>89</v>
      </c>
      <c r="I51" s="1">
        <v>321</v>
      </c>
      <c r="J51" s="1">
        <v>254</v>
      </c>
      <c r="K51" s="1">
        <v>38</v>
      </c>
      <c r="L51" s="1">
        <v>264</v>
      </c>
      <c r="M51" s="1">
        <v>1016</v>
      </c>
      <c r="N51" s="1">
        <v>639</v>
      </c>
      <c r="O51" s="1">
        <v>374</v>
      </c>
      <c r="P51" s="1">
        <v>760</v>
      </c>
      <c r="Q51" s="1">
        <v>249</v>
      </c>
      <c r="R51" s="1">
        <v>78</v>
      </c>
      <c r="S51" s="1">
        <v>139</v>
      </c>
      <c r="T51" s="1">
        <v>1085</v>
      </c>
      <c r="U51" s="1">
        <v>53</v>
      </c>
      <c r="V51" s="1">
        <v>87</v>
      </c>
      <c r="W51" s="93">
        <v>80</v>
      </c>
      <c r="X51" s="93">
        <v>522</v>
      </c>
      <c r="Y51" s="93">
        <v>1140</v>
      </c>
      <c r="Z51" s="93">
        <v>1235</v>
      </c>
      <c r="AA51" s="93">
        <v>4194</v>
      </c>
      <c r="AB51" s="3">
        <v>1504</v>
      </c>
      <c r="AC51" s="3">
        <v>801</v>
      </c>
      <c r="AD51" s="3">
        <v>390</v>
      </c>
      <c r="AE51" s="8">
        <v>151</v>
      </c>
      <c r="AF51" s="8">
        <v>189</v>
      </c>
      <c r="AG51" s="8">
        <v>315</v>
      </c>
      <c r="AH51" s="99">
        <v>518</v>
      </c>
      <c r="AI51" s="99">
        <v>715</v>
      </c>
      <c r="AJ51" s="98">
        <v>351</v>
      </c>
      <c r="AK51" s="93">
        <v>192</v>
      </c>
      <c r="AL51" s="100">
        <v>138</v>
      </c>
      <c r="AM51" s="97">
        <v>350</v>
      </c>
      <c r="AN51" s="117">
        <v>499</v>
      </c>
    </row>
    <row r="52" spans="1:40" x14ac:dyDescent="0.3">
      <c r="A52" s="91">
        <v>43309</v>
      </c>
      <c r="B52" s="1">
        <v>634</v>
      </c>
      <c r="C52" s="1">
        <v>319</v>
      </c>
      <c r="D52" s="1">
        <v>385</v>
      </c>
      <c r="E52" s="1">
        <v>15</v>
      </c>
      <c r="F52" s="1">
        <v>49</v>
      </c>
      <c r="G52" s="1">
        <v>339</v>
      </c>
      <c r="H52" s="1">
        <v>68</v>
      </c>
      <c r="I52" s="1">
        <v>334</v>
      </c>
      <c r="J52" s="1">
        <v>159</v>
      </c>
      <c r="K52" s="1">
        <v>44</v>
      </c>
      <c r="L52" s="1">
        <v>54</v>
      </c>
      <c r="M52" s="1">
        <v>1233</v>
      </c>
      <c r="N52" s="1">
        <v>432</v>
      </c>
      <c r="O52" s="1">
        <v>351</v>
      </c>
      <c r="P52" s="1">
        <v>118</v>
      </c>
      <c r="Q52" s="1">
        <v>1100</v>
      </c>
      <c r="R52" s="1">
        <v>387</v>
      </c>
      <c r="S52" s="1">
        <v>861</v>
      </c>
      <c r="T52" s="1">
        <v>599</v>
      </c>
      <c r="U52" s="1">
        <v>1057</v>
      </c>
      <c r="V52" s="1">
        <v>56</v>
      </c>
      <c r="W52" s="93">
        <v>15</v>
      </c>
      <c r="X52" s="93">
        <v>602</v>
      </c>
      <c r="Y52" s="93">
        <v>2557</v>
      </c>
      <c r="Z52" s="93">
        <v>6155</v>
      </c>
      <c r="AA52" s="93">
        <v>1019</v>
      </c>
      <c r="AB52" s="3">
        <v>331</v>
      </c>
      <c r="AC52" s="3">
        <v>2195</v>
      </c>
      <c r="AD52" s="3">
        <v>238</v>
      </c>
      <c r="AE52" s="8">
        <v>294</v>
      </c>
      <c r="AF52" s="8">
        <v>928</v>
      </c>
      <c r="AG52" s="8">
        <v>1245</v>
      </c>
      <c r="AH52" s="99">
        <v>1541</v>
      </c>
      <c r="AI52" s="99">
        <v>1158</v>
      </c>
      <c r="AJ52" s="98">
        <v>267</v>
      </c>
      <c r="AK52" s="92">
        <v>380.50540556431184</v>
      </c>
      <c r="AL52" s="100">
        <v>194</v>
      </c>
      <c r="AM52" s="97">
        <v>1286</v>
      </c>
      <c r="AN52" s="117">
        <v>2216</v>
      </c>
    </row>
    <row r="53" spans="1:40" x14ac:dyDescent="0.3">
      <c r="A53" s="91">
        <v>43310</v>
      </c>
      <c r="B53" s="1">
        <v>737</v>
      </c>
      <c r="C53" s="1">
        <v>357</v>
      </c>
      <c r="D53" s="1">
        <v>101</v>
      </c>
      <c r="E53" s="1">
        <v>42</v>
      </c>
      <c r="F53" s="1">
        <v>68</v>
      </c>
      <c r="G53" s="1">
        <v>155</v>
      </c>
      <c r="H53" s="1">
        <v>143</v>
      </c>
      <c r="I53" s="1">
        <v>261</v>
      </c>
      <c r="J53" s="1">
        <v>290</v>
      </c>
      <c r="K53" s="1">
        <v>5</v>
      </c>
      <c r="L53" s="1">
        <v>598</v>
      </c>
      <c r="M53" s="1">
        <v>5502</v>
      </c>
      <c r="N53" s="1">
        <v>1706</v>
      </c>
      <c r="O53" s="1">
        <v>227</v>
      </c>
      <c r="P53" s="1">
        <v>679</v>
      </c>
      <c r="Q53" s="1">
        <v>1319</v>
      </c>
      <c r="R53" s="1">
        <v>174</v>
      </c>
      <c r="S53" s="1">
        <v>112</v>
      </c>
      <c r="T53" s="1">
        <v>1001</v>
      </c>
      <c r="U53" s="1">
        <v>1509</v>
      </c>
      <c r="V53" s="1">
        <v>307</v>
      </c>
      <c r="W53" s="93">
        <v>36</v>
      </c>
      <c r="X53" s="93">
        <v>1262</v>
      </c>
      <c r="Y53" s="93">
        <v>1077</v>
      </c>
      <c r="Z53" s="93">
        <v>4165</v>
      </c>
      <c r="AA53" s="93">
        <v>948</v>
      </c>
      <c r="AB53" s="3">
        <v>1783</v>
      </c>
      <c r="AC53" s="3">
        <v>1039</v>
      </c>
      <c r="AD53" s="3">
        <v>112</v>
      </c>
      <c r="AE53" s="8">
        <v>384</v>
      </c>
      <c r="AF53" s="8">
        <v>570</v>
      </c>
      <c r="AG53" s="8">
        <v>580</v>
      </c>
      <c r="AH53" s="99">
        <v>1797</v>
      </c>
      <c r="AI53" s="99">
        <v>1817</v>
      </c>
      <c r="AJ53" s="98">
        <v>553</v>
      </c>
      <c r="AK53" s="92">
        <v>440.47156572640699</v>
      </c>
      <c r="AL53" s="100">
        <v>48</v>
      </c>
      <c r="AM53" s="97">
        <v>161</v>
      </c>
      <c r="AN53" s="117">
        <v>3902</v>
      </c>
    </row>
    <row r="54" spans="1:40" x14ac:dyDescent="0.3">
      <c r="A54" s="91">
        <v>43311</v>
      </c>
      <c r="B54" s="1">
        <v>378</v>
      </c>
      <c r="C54" s="1">
        <v>363</v>
      </c>
      <c r="D54" s="1">
        <v>212</v>
      </c>
      <c r="E54" s="1">
        <v>46</v>
      </c>
      <c r="F54" s="1">
        <v>48</v>
      </c>
      <c r="G54" s="1">
        <v>47</v>
      </c>
      <c r="H54" s="1">
        <v>192</v>
      </c>
      <c r="I54" s="1">
        <v>155</v>
      </c>
      <c r="J54" s="1">
        <v>40</v>
      </c>
      <c r="K54" s="1">
        <v>24</v>
      </c>
      <c r="L54" s="1">
        <v>739</v>
      </c>
      <c r="M54" s="1">
        <v>1941</v>
      </c>
      <c r="N54" s="1">
        <v>2040</v>
      </c>
      <c r="O54" s="1">
        <v>127</v>
      </c>
      <c r="P54" s="1">
        <v>614</v>
      </c>
      <c r="Q54" s="1">
        <v>1685</v>
      </c>
      <c r="R54" s="1">
        <v>2610</v>
      </c>
      <c r="S54" s="1">
        <v>254</v>
      </c>
      <c r="T54" s="1">
        <v>126</v>
      </c>
      <c r="U54" s="1">
        <v>2583</v>
      </c>
      <c r="V54" s="1">
        <v>41</v>
      </c>
      <c r="W54" s="93">
        <v>50</v>
      </c>
      <c r="X54" s="93">
        <v>547</v>
      </c>
      <c r="Y54" s="93">
        <v>365</v>
      </c>
      <c r="Z54" s="93">
        <v>1195</v>
      </c>
      <c r="AA54" s="93">
        <v>560</v>
      </c>
      <c r="AB54" s="3">
        <v>2878</v>
      </c>
      <c r="AC54" s="3">
        <v>3756</v>
      </c>
      <c r="AD54" s="3">
        <v>86</v>
      </c>
      <c r="AE54" s="8">
        <v>332</v>
      </c>
      <c r="AF54" s="8">
        <v>120</v>
      </c>
      <c r="AG54" s="8">
        <v>627</v>
      </c>
      <c r="AH54" s="99">
        <v>1107</v>
      </c>
      <c r="AI54" s="99">
        <v>944</v>
      </c>
      <c r="AJ54" s="98">
        <v>329</v>
      </c>
      <c r="AK54" s="93">
        <v>10</v>
      </c>
      <c r="AL54" s="100">
        <v>354</v>
      </c>
      <c r="AM54" s="97">
        <v>2426</v>
      </c>
      <c r="AN54" s="117">
        <v>328</v>
      </c>
    </row>
    <row r="55" spans="1:40" x14ac:dyDescent="0.3">
      <c r="A55" s="91">
        <v>43312</v>
      </c>
      <c r="B55" s="1">
        <v>405</v>
      </c>
      <c r="C55" s="1">
        <v>404</v>
      </c>
      <c r="D55" s="1">
        <v>264</v>
      </c>
      <c r="E55" s="1">
        <v>2</v>
      </c>
      <c r="F55" s="1">
        <v>34</v>
      </c>
      <c r="G55" s="1">
        <v>332</v>
      </c>
      <c r="H55" s="1">
        <v>173</v>
      </c>
      <c r="I55" s="1">
        <v>129</v>
      </c>
      <c r="J55" s="1">
        <v>636</v>
      </c>
      <c r="K55" s="1">
        <v>33</v>
      </c>
      <c r="L55" s="1">
        <v>703</v>
      </c>
      <c r="M55" s="1">
        <v>406</v>
      </c>
      <c r="N55" s="1">
        <v>1114</v>
      </c>
      <c r="O55" s="1">
        <v>169</v>
      </c>
      <c r="P55" s="1">
        <v>157</v>
      </c>
      <c r="Q55" s="1">
        <v>956</v>
      </c>
      <c r="R55" s="1">
        <v>684</v>
      </c>
      <c r="S55" s="1">
        <v>1135</v>
      </c>
      <c r="T55" s="1">
        <v>592</v>
      </c>
      <c r="U55" s="1">
        <v>753</v>
      </c>
      <c r="V55" s="1">
        <v>29</v>
      </c>
      <c r="W55" s="93">
        <v>26</v>
      </c>
      <c r="X55" s="93">
        <v>216</v>
      </c>
      <c r="Y55" s="93">
        <v>2631</v>
      </c>
      <c r="Z55" s="93">
        <v>431</v>
      </c>
      <c r="AA55" s="93">
        <v>2034</v>
      </c>
      <c r="AB55" s="3">
        <v>2833</v>
      </c>
      <c r="AC55" s="3">
        <v>1146</v>
      </c>
      <c r="AD55" s="3">
        <v>220</v>
      </c>
      <c r="AE55" s="8">
        <v>182</v>
      </c>
      <c r="AF55" s="8">
        <v>164</v>
      </c>
      <c r="AG55" s="8">
        <v>358</v>
      </c>
      <c r="AH55" s="99">
        <v>426</v>
      </c>
      <c r="AI55" s="99">
        <v>572</v>
      </c>
      <c r="AJ55" s="98">
        <v>364</v>
      </c>
      <c r="AK55" s="93">
        <v>105</v>
      </c>
      <c r="AL55" s="101">
        <v>162</v>
      </c>
      <c r="AM55" s="114">
        <v>834</v>
      </c>
      <c r="AN55" s="118">
        <v>3980</v>
      </c>
    </row>
    <row r="56" spans="1:40" x14ac:dyDescent="0.3">
      <c r="A56" s="91">
        <v>43313</v>
      </c>
      <c r="B56" s="1">
        <v>225</v>
      </c>
      <c r="C56" s="1">
        <v>303</v>
      </c>
      <c r="D56" s="1">
        <v>151</v>
      </c>
      <c r="E56" s="1">
        <v>1</v>
      </c>
      <c r="F56" s="1">
        <v>47</v>
      </c>
      <c r="G56" s="1">
        <v>119</v>
      </c>
      <c r="H56" s="1">
        <v>228</v>
      </c>
      <c r="I56" s="1">
        <v>48</v>
      </c>
      <c r="J56" s="1">
        <v>255</v>
      </c>
      <c r="K56" s="1">
        <v>114</v>
      </c>
      <c r="L56" s="1">
        <v>982</v>
      </c>
      <c r="M56" s="1">
        <v>1134</v>
      </c>
      <c r="N56" s="1">
        <v>341</v>
      </c>
      <c r="O56" s="1">
        <v>337</v>
      </c>
      <c r="P56" s="1">
        <v>542</v>
      </c>
      <c r="Q56" s="1">
        <v>669</v>
      </c>
      <c r="R56" s="1">
        <v>1582</v>
      </c>
      <c r="S56" s="1">
        <v>457</v>
      </c>
      <c r="T56" s="1">
        <v>680</v>
      </c>
      <c r="U56" s="1">
        <v>2523</v>
      </c>
      <c r="V56" s="1">
        <v>28</v>
      </c>
      <c r="W56" s="93">
        <v>18</v>
      </c>
      <c r="X56" s="93">
        <v>416</v>
      </c>
      <c r="Y56" s="93">
        <v>1786</v>
      </c>
      <c r="Z56" s="93">
        <v>2260</v>
      </c>
      <c r="AA56" s="93">
        <v>372</v>
      </c>
      <c r="AB56" s="3">
        <v>1841</v>
      </c>
      <c r="AC56" s="3">
        <v>1085</v>
      </c>
      <c r="AD56" s="3">
        <v>100</v>
      </c>
      <c r="AE56" s="8">
        <v>38</v>
      </c>
      <c r="AF56" s="8">
        <v>261</v>
      </c>
      <c r="AG56" s="8">
        <v>225</v>
      </c>
      <c r="AH56" s="99">
        <v>720</v>
      </c>
      <c r="AI56" s="99">
        <v>1063</v>
      </c>
      <c r="AJ56" s="98">
        <v>211</v>
      </c>
      <c r="AK56" s="93">
        <v>389</v>
      </c>
      <c r="AL56" s="101">
        <v>138</v>
      </c>
      <c r="AM56" s="114">
        <v>911</v>
      </c>
      <c r="AN56" s="118">
        <v>2494</v>
      </c>
    </row>
    <row r="57" spans="1:40" x14ac:dyDescent="0.3">
      <c r="A57" s="91">
        <v>43314</v>
      </c>
      <c r="B57" s="1">
        <v>365</v>
      </c>
      <c r="C57" s="1">
        <v>263</v>
      </c>
      <c r="D57" s="1">
        <v>317</v>
      </c>
      <c r="E57" s="1">
        <v>0</v>
      </c>
      <c r="F57" s="1">
        <v>101</v>
      </c>
      <c r="G57" s="1">
        <v>29</v>
      </c>
      <c r="H57" s="1">
        <v>104</v>
      </c>
      <c r="I57" s="1">
        <v>176</v>
      </c>
      <c r="J57" s="1">
        <v>758</v>
      </c>
      <c r="K57" s="1">
        <v>136</v>
      </c>
      <c r="L57" s="1">
        <v>186</v>
      </c>
      <c r="M57" s="1">
        <v>1906</v>
      </c>
      <c r="N57" s="1">
        <v>1432</v>
      </c>
      <c r="O57" s="1">
        <v>855</v>
      </c>
      <c r="P57" s="1">
        <v>894</v>
      </c>
      <c r="Q57" s="1">
        <v>643</v>
      </c>
      <c r="R57" s="1">
        <v>514</v>
      </c>
      <c r="S57" s="1">
        <v>324</v>
      </c>
      <c r="T57" s="1">
        <v>100</v>
      </c>
      <c r="U57" s="1">
        <v>2321</v>
      </c>
      <c r="V57" s="1">
        <v>18</v>
      </c>
      <c r="W57" s="93">
        <v>16</v>
      </c>
      <c r="X57" s="93">
        <v>161</v>
      </c>
      <c r="Y57" s="93">
        <v>1275</v>
      </c>
      <c r="Z57" s="93">
        <v>1006</v>
      </c>
      <c r="AA57" s="93">
        <v>335</v>
      </c>
      <c r="AB57" s="3">
        <v>3273</v>
      </c>
      <c r="AC57" s="3">
        <v>1979</v>
      </c>
      <c r="AD57" s="3">
        <v>54</v>
      </c>
      <c r="AE57" s="8">
        <v>588</v>
      </c>
      <c r="AF57" s="8">
        <v>109</v>
      </c>
      <c r="AG57" s="8">
        <v>123</v>
      </c>
      <c r="AH57" s="99">
        <v>1278</v>
      </c>
      <c r="AI57" s="99">
        <v>874</v>
      </c>
      <c r="AJ57" s="98">
        <v>72</v>
      </c>
      <c r="AK57" s="93">
        <v>377</v>
      </c>
      <c r="AL57" s="101">
        <v>33</v>
      </c>
      <c r="AM57" s="114">
        <v>1178</v>
      </c>
      <c r="AN57" s="118">
        <v>0</v>
      </c>
    </row>
    <row r="58" spans="1:40" x14ac:dyDescent="0.3">
      <c r="A58" s="91">
        <v>43315</v>
      </c>
      <c r="B58" s="1">
        <v>1574</v>
      </c>
      <c r="C58" s="1">
        <v>153</v>
      </c>
      <c r="D58" s="1">
        <v>113</v>
      </c>
      <c r="E58" s="1">
        <v>2</v>
      </c>
      <c r="F58" s="1">
        <v>168</v>
      </c>
      <c r="G58" s="1">
        <v>353</v>
      </c>
      <c r="H58" s="1">
        <v>321</v>
      </c>
      <c r="I58" s="1">
        <v>183</v>
      </c>
      <c r="J58" s="1">
        <v>356</v>
      </c>
      <c r="K58" s="1">
        <v>81</v>
      </c>
      <c r="L58" s="1">
        <v>1516</v>
      </c>
      <c r="M58" s="1">
        <v>689</v>
      </c>
      <c r="N58" s="1">
        <v>214</v>
      </c>
      <c r="O58" s="1">
        <v>75</v>
      </c>
      <c r="P58" s="1">
        <v>558</v>
      </c>
      <c r="Q58" s="1">
        <v>1090</v>
      </c>
      <c r="R58" s="1">
        <v>574</v>
      </c>
      <c r="S58" s="1">
        <v>796</v>
      </c>
      <c r="T58" s="1">
        <v>909</v>
      </c>
      <c r="U58" s="1">
        <v>3364</v>
      </c>
      <c r="V58" s="1">
        <v>48</v>
      </c>
      <c r="W58" s="93">
        <v>33</v>
      </c>
      <c r="X58" s="93">
        <v>656</v>
      </c>
      <c r="Y58" s="93">
        <v>1307</v>
      </c>
      <c r="Z58" s="93">
        <v>2090</v>
      </c>
      <c r="AA58" s="93">
        <v>1121</v>
      </c>
      <c r="AB58" s="3">
        <v>732</v>
      </c>
      <c r="AC58" s="3">
        <v>1950</v>
      </c>
      <c r="AD58" s="3">
        <v>6</v>
      </c>
      <c r="AE58" s="8">
        <v>54</v>
      </c>
      <c r="AF58" s="8">
        <v>128</v>
      </c>
      <c r="AG58" s="8">
        <v>384</v>
      </c>
      <c r="AH58" s="99">
        <v>760</v>
      </c>
      <c r="AI58" s="99">
        <v>798</v>
      </c>
      <c r="AJ58" s="98">
        <v>218</v>
      </c>
      <c r="AK58" s="93">
        <v>346</v>
      </c>
      <c r="AL58" s="101">
        <v>257</v>
      </c>
      <c r="AM58" s="114">
        <v>2920</v>
      </c>
      <c r="AN58" s="118">
        <v>39</v>
      </c>
    </row>
    <row r="59" spans="1:40" x14ac:dyDescent="0.3">
      <c r="A59" s="91">
        <v>43316</v>
      </c>
      <c r="B59" s="1">
        <v>294</v>
      </c>
      <c r="C59" s="1">
        <v>110</v>
      </c>
      <c r="D59" s="1">
        <v>165</v>
      </c>
      <c r="E59" s="1">
        <v>1</v>
      </c>
      <c r="F59" s="1">
        <v>32</v>
      </c>
      <c r="G59" s="1">
        <v>20</v>
      </c>
      <c r="H59" s="1">
        <v>339</v>
      </c>
      <c r="I59" s="1">
        <v>37</v>
      </c>
      <c r="J59" s="1">
        <v>913</v>
      </c>
      <c r="K59" s="1">
        <v>73</v>
      </c>
      <c r="L59" s="1">
        <v>569</v>
      </c>
      <c r="M59" s="1">
        <v>3065</v>
      </c>
      <c r="N59" s="1">
        <v>2932</v>
      </c>
      <c r="O59" s="1">
        <v>151</v>
      </c>
      <c r="P59" s="1">
        <v>561</v>
      </c>
      <c r="Q59" s="1">
        <v>399</v>
      </c>
      <c r="R59" s="1">
        <v>653</v>
      </c>
      <c r="S59" s="1">
        <v>156</v>
      </c>
      <c r="T59" s="1">
        <v>405</v>
      </c>
      <c r="U59" s="1">
        <v>1212</v>
      </c>
      <c r="V59" s="1">
        <v>36</v>
      </c>
      <c r="W59" s="93">
        <v>27</v>
      </c>
      <c r="X59" s="93">
        <v>222</v>
      </c>
      <c r="Y59" s="93">
        <v>4573</v>
      </c>
      <c r="Z59" s="93">
        <v>578</v>
      </c>
      <c r="AA59" s="93">
        <v>1491</v>
      </c>
      <c r="AB59" s="3">
        <v>836</v>
      </c>
      <c r="AC59" s="3">
        <v>706</v>
      </c>
      <c r="AD59" s="3">
        <v>113</v>
      </c>
      <c r="AE59" s="8">
        <v>289</v>
      </c>
      <c r="AF59" s="8">
        <v>265</v>
      </c>
      <c r="AG59" s="8">
        <v>346</v>
      </c>
      <c r="AH59" s="99">
        <v>1666</v>
      </c>
      <c r="AI59" s="99">
        <v>403</v>
      </c>
      <c r="AJ59" s="98">
        <v>327</v>
      </c>
      <c r="AK59" s="93">
        <v>390</v>
      </c>
      <c r="AL59" s="100">
        <v>134</v>
      </c>
      <c r="AM59" s="97">
        <v>949</v>
      </c>
      <c r="AN59" s="117">
        <v>177</v>
      </c>
    </row>
    <row r="60" spans="1:40" x14ac:dyDescent="0.3">
      <c r="A60" s="91">
        <v>43317</v>
      </c>
      <c r="B60" s="1">
        <v>18</v>
      </c>
      <c r="C60" s="1">
        <v>68</v>
      </c>
      <c r="D60" s="1">
        <v>179</v>
      </c>
      <c r="E60" s="1">
        <v>1</v>
      </c>
      <c r="F60" s="1">
        <v>45</v>
      </c>
      <c r="G60" s="1">
        <v>509</v>
      </c>
      <c r="H60" s="1">
        <v>387</v>
      </c>
      <c r="I60" s="1">
        <v>213</v>
      </c>
      <c r="J60" s="1">
        <v>891</v>
      </c>
      <c r="K60" s="1">
        <v>63</v>
      </c>
      <c r="L60" s="1">
        <v>252</v>
      </c>
      <c r="M60" s="1">
        <v>1312</v>
      </c>
      <c r="N60" s="1">
        <v>306</v>
      </c>
      <c r="O60" s="1">
        <v>60</v>
      </c>
      <c r="P60" s="1">
        <v>235</v>
      </c>
      <c r="Q60" s="1">
        <v>1014</v>
      </c>
      <c r="R60" s="1">
        <v>1167</v>
      </c>
      <c r="S60" s="1">
        <v>672</v>
      </c>
      <c r="T60" s="1">
        <v>203</v>
      </c>
      <c r="U60" s="1">
        <v>2580</v>
      </c>
      <c r="V60" s="1">
        <v>49</v>
      </c>
      <c r="W60" s="93">
        <v>7</v>
      </c>
      <c r="X60" s="93">
        <v>203</v>
      </c>
      <c r="Y60" s="93">
        <v>1164</v>
      </c>
      <c r="Z60" s="93">
        <v>3129</v>
      </c>
      <c r="AA60" s="93">
        <v>1395</v>
      </c>
      <c r="AB60" s="3">
        <v>208</v>
      </c>
      <c r="AC60" s="3">
        <v>1986</v>
      </c>
      <c r="AD60" s="3">
        <v>34</v>
      </c>
      <c r="AE60" s="8">
        <v>119</v>
      </c>
      <c r="AF60" s="8">
        <v>158</v>
      </c>
      <c r="AG60" s="8">
        <v>237</v>
      </c>
      <c r="AH60" s="99">
        <v>187</v>
      </c>
      <c r="AI60" s="99">
        <v>1432</v>
      </c>
      <c r="AJ60" s="98">
        <v>333</v>
      </c>
      <c r="AK60" s="93">
        <v>389</v>
      </c>
      <c r="AL60" s="100">
        <v>396</v>
      </c>
      <c r="AM60" s="97">
        <v>513</v>
      </c>
      <c r="AN60" s="117">
        <v>103</v>
      </c>
    </row>
    <row r="61" spans="1:40" x14ac:dyDescent="0.3">
      <c r="A61" s="91">
        <v>43318</v>
      </c>
      <c r="B61" s="1">
        <v>293</v>
      </c>
      <c r="C61" s="1">
        <v>84</v>
      </c>
      <c r="D61" s="1">
        <v>213</v>
      </c>
      <c r="E61" s="1">
        <v>4</v>
      </c>
      <c r="F61" s="1">
        <v>64</v>
      </c>
      <c r="G61" s="1">
        <v>292</v>
      </c>
      <c r="H61" s="1">
        <v>151</v>
      </c>
      <c r="I61" s="1">
        <v>223</v>
      </c>
      <c r="J61" s="1">
        <v>239</v>
      </c>
      <c r="K61" s="1">
        <v>58</v>
      </c>
      <c r="L61" s="1">
        <v>468</v>
      </c>
      <c r="M61" s="1">
        <v>2320</v>
      </c>
      <c r="N61" s="1">
        <v>505</v>
      </c>
      <c r="O61" s="1">
        <v>597</v>
      </c>
      <c r="P61" s="1">
        <v>265</v>
      </c>
      <c r="Q61" s="1">
        <v>401</v>
      </c>
      <c r="R61" s="1">
        <v>260</v>
      </c>
      <c r="S61" s="1">
        <v>252</v>
      </c>
      <c r="T61" s="1">
        <v>130</v>
      </c>
      <c r="U61" s="1">
        <v>1769</v>
      </c>
      <c r="V61" s="1">
        <v>60</v>
      </c>
      <c r="W61" s="93">
        <v>71</v>
      </c>
      <c r="X61" s="93">
        <v>182</v>
      </c>
      <c r="Y61" s="93">
        <v>1836</v>
      </c>
      <c r="Z61" s="93">
        <v>3092</v>
      </c>
      <c r="AA61" s="93">
        <v>780</v>
      </c>
      <c r="AB61" s="3">
        <v>1890</v>
      </c>
      <c r="AC61" s="3">
        <v>2012</v>
      </c>
      <c r="AD61" s="3">
        <v>144</v>
      </c>
      <c r="AE61" s="8">
        <v>94</v>
      </c>
      <c r="AF61" s="8">
        <v>989</v>
      </c>
      <c r="AG61" s="8">
        <v>489</v>
      </c>
      <c r="AH61" s="99">
        <v>942</v>
      </c>
      <c r="AI61" s="99">
        <v>780</v>
      </c>
      <c r="AJ61" s="98">
        <v>119</v>
      </c>
      <c r="AK61" s="93">
        <v>276</v>
      </c>
      <c r="AL61" s="100">
        <v>251</v>
      </c>
      <c r="AM61" s="97">
        <v>806</v>
      </c>
      <c r="AN61" s="117">
        <v>66</v>
      </c>
    </row>
    <row r="62" spans="1:40" x14ac:dyDescent="0.3">
      <c r="A62" s="91">
        <v>43319</v>
      </c>
      <c r="B62" s="1">
        <v>182</v>
      </c>
      <c r="C62" s="1">
        <v>99</v>
      </c>
      <c r="D62" s="1">
        <v>307</v>
      </c>
      <c r="E62" s="1">
        <v>7</v>
      </c>
      <c r="F62" s="1">
        <v>165</v>
      </c>
      <c r="G62" s="1">
        <v>191</v>
      </c>
      <c r="H62" s="1">
        <v>158</v>
      </c>
      <c r="I62" s="1">
        <v>118</v>
      </c>
      <c r="J62" s="1">
        <v>733</v>
      </c>
      <c r="K62" s="1">
        <v>5</v>
      </c>
      <c r="L62" s="1">
        <v>365</v>
      </c>
      <c r="M62" s="1">
        <v>1479</v>
      </c>
      <c r="N62" s="1">
        <v>840</v>
      </c>
      <c r="O62" s="1">
        <v>116</v>
      </c>
      <c r="P62" s="1">
        <v>157</v>
      </c>
      <c r="Q62" s="1">
        <v>542</v>
      </c>
      <c r="R62" s="1">
        <v>146</v>
      </c>
      <c r="S62" s="1">
        <v>110</v>
      </c>
      <c r="T62" s="1">
        <v>189</v>
      </c>
      <c r="U62" s="1">
        <v>513</v>
      </c>
      <c r="V62" s="1">
        <v>47</v>
      </c>
      <c r="W62" s="93">
        <v>11</v>
      </c>
      <c r="X62" s="93">
        <v>229</v>
      </c>
      <c r="Y62" s="93">
        <v>947</v>
      </c>
      <c r="Z62" s="93">
        <v>788</v>
      </c>
      <c r="AA62" s="93">
        <v>979</v>
      </c>
      <c r="AB62" s="3">
        <v>507</v>
      </c>
      <c r="AC62" s="3">
        <v>903</v>
      </c>
      <c r="AD62" s="3">
        <v>289</v>
      </c>
      <c r="AE62" s="8">
        <v>148</v>
      </c>
      <c r="AF62" s="8">
        <v>41</v>
      </c>
      <c r="AG62" s="8">
        <v>235</v>
      </c>
      <c r="AH62" s="99">
        <v>601</v>
      </c>
      <c r="AI62" s="99">
        <v>564</v>
      </c>
      <c r="AJ62" s="98">
        <v>259</v>
      </c>
      <c r="AK62" s="93">
        <v>102</v>
      </c>
      <c r="AL62" s="100">
        <v>944</v>
      </c>
      <c r="AM62" s="97">
        <v>1034</v>
      </c>
      <c r="AN62" s="117">
        <v>3134</v>
      </c>
    </row>
    <row r="63" spans="1:40" x14ac:dyDescent="0.3">
      <c r="A63" s="91">
        <v>43320</v>
      </c>
      <c r="B63" s="1">
        <v>256</v>
      </c>
      <c r="C63" s="1">
        <v>153</v>
      </c>
      <c r="D63" s="1">
        <v>121</v>
      </c>
      <c r="E63" s="1">
        <v>3</v>
      </c>
      <c r="F63" s="1">
        <v>15</v>
      </c>
      <c r="G63" s="1">
        <v>85</v>
      </c>
      <c r="H63" s="1">
        <v>252</v>
      </c>
      <c r="I63" s="1">
        <v>67</v>
      </c>
      <c r="J63" s="1">
        <v>224</v>
      </c>
      <c r="K63" s="1">
        <v>6</v>
      </c>
      <c r="L63" s="1">
        <v>443</v>
      </c>
      <c r="M63" s="1">
        <v>519</v>
      </c>
      <c r="N63" s="1">
        <v>721</v>
      </c>
      <c r="O63" s="1">
        <v>93</v>
      </c>
      <c r="P63" s="1">
        <v>306</v>
      </c>
      <c r="Q63" s="1">
        <v>929</v>
      </c>
      <c r="R63" s="1">
        <v>642</v>
      </c>
      <c r="S63" s="1">
        <v>802</v>
      </c>
      <c r="T63" s="1">
        <v>484</v>
      </c>
      <c r="U63" s="1">
        <v>978</v>
      </c>
      <c r="V63" s="1">
        <v>16</v>
      </c>
      <c r="W63" s="93">
        <v>46</v>
      </c>
      <c r="X63" s="93">
        <v>406</v>
      </c>
      <c r="Y63" s="93">
        <v>2338</v>
      </c>
      <c r="Z63" s="93">
        <v>3323</v>
      </c>
      <c r="AA63" s="93">
        <v>2838</v>
      </c>
      <c r="AB63" s="3">
        <v>1042</v>
      </c>
      <c r="AC63" s="3">
        <v>613</v>
      </c>
      <c r="AD63" s="3">
        <v>312</v>
      </c>
      <c r="AE63" s="8">
        <v>790</v>
      </c>
      <c r="AF63" s="8">
        <v>64</v>
      </c>
      <c r="AG63" s="8">
        <v>716</v>
      </c>
      <c r="AH63" s="99">
        <v>306</v>
      </c>
      <c r="AI63" s="99">
        <v>418</v>
      </c>
      <c r="AJ63" s="98">
        <v>112</v>
      </c>
      <c r="AK63" s="93">
        <v>361</v>
      </c>
      <c r="AL63" s="100">
        <v>288</v>
      </c>
      <c r="AM63" s="97">
        <v>1725</v>
      </c>
      <c r="AN63" s="117">
        <v>37</v>
      </c>
    </row>
    <row r="64" spans="1:40" x14ac:dyDescent="0.3">
      <c r="A64" s="91">
        <v>43321</v>
      </c>
      <c r="B64" s="1">
        <v>158</v>
      </c>
      <c r="C64" s="1">
        <v>92</v>
      </c>
      <c r="D64" s="1">
        <v>130</v>
      </c>
      <c r="E64" s="1">
        <v>0</v>
      </c>
      <c r="F64" s="1">
        <v>41</v>
      </c>
      <c r="G64" s="1">
        <v>272</v>
      </c>
      <c r="H64" s="1">
        <v>160</v>
      </c>
      <c r="I64" s="1">
        <v>252</v>
      </c>
      <c r="J64" s="1">
        <v>54</v>
      </c>
      <c r="K64" s="1">
        <v>4</v>
      </c>
      <c r="L64" s="1">
        <v>437</v>
      </c>
      <c r="M64" s="1">
        <v>222</v>
      </c>
      <c r="N64" s="1">
        <v>861</v>
      </c>
      <c r="O64" s="1">
        <v>25</v>
      </c>
      <c r="P64" s="1">
        <v>523</v>
      </c>
      <c r="Q64" s="1">
        <v>107</v>
      </c>
      <c r="R64" s="1">
        <v>1014</v>
      </c>
      <c r="S64" s="1">
        <v>336</v>
      </c>
      <c r="T64" s="1">
        <v>151</v>
      </c>
      <c r="U64" s="1">
        <v>884</v>
      </c>
      <c r="V64" s="1">
        <v>12</v>
      </c>
      <c r="W64" s="93">
        <v>4</v>
      </c>
      <c r="X64" s="93">
        <v>137</v>
      </c>
      <c r="Y64" s="93">
        <v>547</v>
      </c>
      <c r="Z64" s="93">
        <v>184</v>
      </c>
      <c r="AA64" s="93">
        <v>2210</v>
      </c>
      <c r="AB64" s="3">
        <v>1536</v>
      </c>
      <c r="AC64" s="3">
        <v>1934</v>
      </c>
      <c r="AD64" s="3">
        <v>144</v>
      </c>
      <c r="AE64" s="8">
        <v>7</v>
      </c>
      <c r="AF64" s="8">
        <v>122</v>
      </c>
      <c r="AG64" s="8">
        <v>210</v>
      </c>
      <c r="AH64" s="99">
        <v>636</v>
      </c>
      <c r="AI64" s="99">
        <v>387</v>
      </c>
      <c r="AJ64" s="98">
        <v>26</v>
      </c>
      <c r="AK64" s="93">
        <v>340</v>
      </c>
      <c r="AL64" s="100">
        <v>636</v>
      </c>
      <c r="AM64" s="97">
        <v>755</v>
      </c>
      <c r="AN64" s="117">
        <v>3951</v>
      </c>
    </row>
    <row r="65" spans="1:40" x14ac:dyDescent="0.3">
      <c r="A65" s="91">
        <v>43322</v>
      </c>
      <c r="B65" s="1">
        <v>581</v>
      </c>
      <c r="C65" s="1">
        <v>42</v>
      </c>
      <c r="D65" s="1">
        <v>83</v>
      </c>
      <c r="E65" s="1">
        <v>9</v>
      </c>
      <c r="F65" s="1">
        <v>156</v>
      </c>
      <c r="G65" s="1">
        <v>76</v>
      </c>
      <c r="H65" s="1">
        <v>470</v>
      </c>
      <c r="I65" s="1">
        <v>71</v>
      </c>
      <c r="J65" s="1">
        <v>479</v>
      </c>
      <c r="K65" s="1">
        <v>37</v>
      </c>
      <c r="L65" s="1">
        <v>1800</v>
      </c>
      <c r="M65" s="1">
        <v>877</v>
      </c>
      <c r="N65" s="1">
        <v>487</v>
      </c>
      <c r="O65" s="1">
        <v>14</v>
      </c>
      <c r="P65" s="1">
        <v>207</v>
      </c>
      <c r="Q65" s="1">
        <v>351</v>
      </c>
      <c r="R65" s="1">
        <v>628</v>
      </c>
      <c r="S65" s="1">
        <v>95</v>
      </c>
      <c r="T65" s="1">
        <v>531</v>
      </c>
      <c r="U65" s="1">
        <v>652</v>
      </c>
      <c r="V65" s="1">
        <v>22</v>
      </c>
      <c r="W65" s="93">
        <v>12</v>
      </c>
      <c r="X65" s="93">
        <v>364</v>
      </c>
      <c r="Y65" s="93">
        <v>1063</v>
      </c>
      <c r="Z65" s="93">
        <v>406</v>
      </c>
      <c r="AA65" s="93">
        <v>3048</v>
      </c>
      <c r="AB65" s="3">
        <v>950</v>
      </c>
      <c r="AC65" s="3">
        <v>732</v>
      </c>
      <c r="AD65" s="3">
        <v>93</v>
      </c>
      <c r="AE65" s="8">
        <v>1</v>
      </c>
      <c r="AF65" s="8">
        <v>197</v>
      </c>
      <c r="AG65" s="8">
        <v>90</v>
      </c>
      <c r="AH65" s="99">
        <v>88</v>
      </c>
      <c r="AI65" s="99">
        <v>541</v>
      </c>
      <c r="AJ65" s="95">
        <v>289.25229675209778</v>
      </c>
      <c r="AK65" s="93">
        <v>210</v>
      </c>
      <c r="AL65" s="100">
        <v>581</v>
      </c>
      <c r="AM65" s="97">
        <v>855</v>
      </c>
      <c r="AN65" s="117">
        <v>669</v>
      </c>
    </row>
    <row r="66" spans="1:40" x14ac:dyDescent="0.3">
      <c r="A66" s="91">
        <v>43323</v>
      </c>
      <c r="B66" s="1">
        <v>595</v>
      </c>
      <c r="C66" s="1">
        <v>79</v>
      </c>
      <c r="D66" s="1">
        <v>31</v>
      </c>
      <c r="E66" s="1">
        <v>42</v>
      </c>
      <c r="F66" s="1">
        <v>48</v>
      </c>
      <c r="G66" s="1">
        <v>133</v>
      </c>
      <c r="H66" s="1">
        <v>291</v>
      </c>
      <c r="I66" s="1">
        <v>19</v>
      </c>
      <c r="J66" s="1">
        <v>346</v>
      </c>
      <c r="K66" s="1">
        <v>42</v>
      </c>
      <c r="L66" s="1">
        <v>43</v>
      </c>
      <c r="M66" s="1">
        <v>851</v>
      </c>
      <c r="N66" s="1">
        <v>340</v>
      </c>
      <c r="O66" s="1">
        <v>15</v>
      </c>
      <c r="P66" s="1">
        <v>184</v>
      </c>
      <c r="Q66" s="1">
        <v>222</v>
      </c>
      <c r="R66" s="1">
        <v>634</v>
      </c>
      <c r="S66" s="1">
        <v>68</v>
      </c>
      <c r="T66" s="1">
        <v>226</v>
      </c>
      <c r="U66" s="1">
        <v>1091</v>
      </c>
      <c r="V66" s="1">
        <v>4</v>
      </c>
      <c r="W66" s="93">
        <v>5</v>
      </c>
      <c r="X66" s="93">
        <v>103</v>
      </c>
      <c r="Y66" s="93">
        <v>1567</v>
      </c>
      <c r="Z66" s="93">
        <v>3439</v>
      </c>
      <c r="AA66" s="93">
        <v>1881</v>
      </c>
      <c r="AB66" s="3">
        <v>377</v>
      </c>
      <c r="AC66" s="3">
        <v>1246</v>
      </c>
      <c r="AD66" s="3">
        <v>99</v>
      </c>
      <c r="AE66" s="8">
        <v>48</v>
      </c>
      <c r="AF66" s="8">
        <v>147</v>
      </c>
      <c r="AG66" s="8">
        <v>641</v>
      </c>
      <c r="AH66" s="99">
        <v>109</v>
      </c>
      <c r="AI66" s="99">
        <v>240</v>
      </c>
      <c r="AJ66" s="95">
        <v>288.36100620115394</v>
      </c>
      <c r="AK66" s="93">
        <v>198</v>
      </c>
      <c r="AL66" s="100">
        <v>457</v>
      </c>
      <c r="AM66" s="97">
        <v>754</v>
      </c>
      <c r="AN66" s="117">
        <v>239</v>
      </c>
    </row>
    <row r="67" spans="1:40" x14ac:dyDescent="0.3">
      <c r="A67" s="91">
        <v>43324</v>
      </c>
      <c r="B67" s="1">
        <v>343</v>
      </c>
      <c r="C67" s="1">
        <v>55</v>
      </c>
      <c r="D67" s="1">
        <v>24</v>
      </c>
      <c r="E67" s="1">
        <v>18</v>
      </c>
      <c r="F67" s="1">
        <v>32</v>
      </c>
      <c r="G67" s="1">
        <v>155</v>
      </c>
      <c r="H67" s="1">
        <v>80</v>
      </c>
      <c r="I67" s="1">
        <v>54</v>
      </c>
      <c r="J67" s="1">
        <v>428</v>
      </c>
      <c r="K67" s="1">
        <v>34</v>
      </c>
      <c r="L67" s="1">
        <v>203</v>
      </c>
      <c r="M67" s="1">
        <v>445</v>
      </c>
      <c r="N67" s="1">
        <v>418</v>
      </c>
      <c r="O67" s="1">
        <v>26</v>
      </c>
      <c r="P67" s="1">
        <v>509</v>
      </c>
      <c r="Q67" s="1">
        <v>806</v>
      </c>
      <c r="R67" s="1">
        <v>231</v>
      </c>
      <c r="S67" s="1">
        <v>409</v>
      </c>
      <c r="T67" s="1">
        <v>84</v>
      </c>
      <c r="U67" s="1">
        <v>563</v>
      </c>
      <c r="V67" s="1">
        <v>18</v>
      </c>
      <c r="W67" s="93">
        <v>12</v>
      </c>
      <c r="X67" s="93">
        <v>93</v>
      </c>
      <c r="Y67" s="93">
        <v>829</v>
      </c>
      <c r="Z67" s="93">
        <v>1189</v>
      </c>
      <c r="AA67" s="93">
        <v>2378</v>
      </c>
      <c r="AB67" s="3">
        <v>486</v>
      </c>
      <c r="AC67" s="3">
        <v>83</v>
      </c>
      <c r="AD67" s="3">
        <v>444</v>
      </c>
      <c r="AE67" s="8">
        <v>61</v>
      </c>
      <c r="AF67" s="8">
        <v>37</v>
      </c>
      <c r="AG67" s="8">
        <v>285</v>
      </c>
      <c r="AH67" s="99">
        <v>30</v>
      </c>
      <c r="AI67" s="99">
        <v>412</v>
      </c>
      <c r="AJ67" s="95">
        <v>213.79600057316071</v>
      </c>
      <c r="AK67" s="93">
        <v>231</v>
      </c>
      <c r="AL67" s="100">
        <v>408</v>
      </c>
      <c r="AM67" s="97">
        <v>800</v>
      </c>
      <c r="AN67" s="117">
        <v>346</v>
      </c>
    </row>
    <row r="68" spans="1:40" x14ac:dyDescent="0.3">
      <c r="A68" s="91">
        <v>43325</v>
      </c>
      <c r="B68" s="1">
        <v>186</v>
      </c>
      <c r="C68" s="1">
        <v>28</v>
      </c>
      <c r="D68" s="1">
        <v>25</v>
      </c>
      <c r="E68" s="1">
        <v>8</v>
      </c>
      <c r="F68" s="1">
        <v>7</v>
      </c>
      <c r="G68" s="1">
        <v>82</v>
      </c>
      <c r="H68" s="1">
        <v>278</v>
      </c>
      <c r="I68" s="1">
        <v>107</v>
      </c>
      <c r="J68" s="1">
        <v>264</v>
      </c>
      <c r="K68" s="1">
        <v>46</v>
      </c>
      <c r="L68" s="1">
        <v>301</v>
      </c>
      <c r="M68" s="1">
        <v>910</v>
      </c>
      <c r="N68" s="1">
        <v>424</v>
      </c>
      <c r="O68" s="1">
        <v>29</v>
      </c>
      <c r="P68" s="1">
        <v>310</v>
      </c>
      <c r="Q68" s="1">
        <v>215</v>
      </c>
      <c r="R68" s="1">
        <v>541</v>
      </c>
      <c r="S68" s="1">
        <v>199</v>
      </c>
      <c r="T68" s="1">
        <v>427</v>
      </c>
      <c r="U68" s="1">
        <v>245</v>
      </c>
      <c r="V68" s="1">
        <v>7</v>
      </c>
      <c r="W68" s="93">
        <v>7</v>
      </c>
      <c r="X68" s="92">
        <v>226.97155645615175</v>
      </c>
      <c r="Y68" s="93">
        <v>2416</v>
      </c>
      <c r="Z68" s="93">
        <v>1305</v>
      </c>
      <c r="AA68" s="93">
        <v>840</v>
      </c>
      <c r="AB68" s="3">
        <v>1030</v>
      </c>
      <c r="AC68" s="3">
        <v>1300</v>
      </c>
      <c r="AD68" s="3">
        <v>63</v>
      </c>
      <c r="AE68" s="8">
        <v>101</v>
      </c>
      <c r="AF68" s="8">
        <v>47</v>
      </c>
      <c r="AG68" s="8">
        <v>55</v>
      </c>
      <c r="AH68" s="99">
        <v>401</v>
      </c>
      <c r="AI68" s="99">
        <v>420</v>
      </c>
      <c r="AJ68" s="98">
        <v>344</v>
      </c>
      <c r="AK68" s="93">
        <v>465</v>
      </c>
      <c r="AL68" s="100">
        <v>144</v>
      </c>
      <c r="AM68" s="97">
        <v>1710</v>
      </c>
      <c r="AN68" s="117">
        <v>0</v>
      </c>
    </row>
    <row r="69" spans="1:40" x14ac:dyDescent="0.3">
      <c r="A69" s="91">
        <v>43326</v>
      </c>
      <c r="B69" s="1">
        <v>0</v>
      </c>
      <c r="C69" s="1">
        <v>5</v>
      </c>
      <c r="D69" s="1">
        <v>61</v>
      </c>
      <c r="E69" s="1">
        <v>2</v>
      </c>
      <c r="F69" s="1">
        <v>3</v>
      </c>
      <c r="G69" s="1">
        <v>82</v>
      </c>
      <c r="H69" s="1">
        <v>294</v>
      </c>
      <c r="I69" s="1">
        <v>21</v>
      </c>
      <c r="J69" s="1">
        <v>229</v>
      </c>
      <c r="K69" s="1">
        <v>96</v>
      </c>
      <c r="L69" s="1">
        <v>148</v>
      </c>
      <c r="M69" s="1">
        <v>661</v>
      </c>
      <c r="N69" s="1">
        <v>568</v>
      </c>
      <c r="O69" s="1">
        <v>20</v>
      </c>
      <c r="P69" s="1">
        <v>378</v>
      </c>
      <c r="Q69" s="1">
        <v>48</v>
      </c>
      <c r="R69" s="1">
        <v>420</v>
      </c>
      <c r="S69" s="1">
        <v>120</v>
      </c>
      <c r="T69" s="1">
        <v>118</v>
      </c>
      <c r="U69" s="1">
        <v>1926</v>
      </c>
      <c r="V69" s="1">
        <v>8</v>
      </c>
      <c r="W69" s="93">
        <v>1</v>
      </c>
      <c r="X69" s="92">
        <v>254.47585829296594</v>
      </c>
      <c r="Y69" s="93">
        <v>1080</v>
      </c>
      <c r="Z69" s="93">
        <v>289</v>
      </c>
      <c r="AA69" s="93">
        <v>1633</v>
      </c>
      <c r="AB69" s="3">
        <v>655</v>
      </c>
      <c r="AC69" s="3">
        <v>1027</v>
      </c>
      <c r="AD69" s="3">
        <v>433</v>
      </c>
      <c r="AE69" s="8">
        <v>95</v>
      </c>
      <c r="AF69" s="8">
        <v>47</v>
      </c>
      <c r="AG69" s="8">
        <v>831</v>
      </c>
      <c r="AH69" s="99">
        <v>131</v>
      </c>
      <c r="AI69" s="99">
        <v>149</v>
      </c>
      <c r="AJ69" s="98">
        <v>95</v>
      </c>
      <c r="AK69" s="93">
        <v>69</v>
      </c>
      <c r="AL69" s="100">
        <v>131</v>
      </c>
      <c r="AM69" s="97">
        <v>525</v>
      </c>
      <c r="AN69" s="117">
        <v>1220</v>
      </c>
    </row>
    <row r="70" spans="1:40" x14ac:dyDescent="0.3">
      <c r="A70" s="91">
        <v>43327</v>
      </c>
      <c r="B70" s="1">
        <v>0</v>
      </c>
      <c r="C70" s="1">
        <v>56</v>
      </c>
      <c r="D70" s="1">
        <v>36</v>
      </c>
      <c r="E70" s="1">
        <v>25</v>
      </c>
      <c r="F70" s="1">
        <v>49</v>
      </c>
      <c r="G70" s="1">
        <v>35</v>
      </c>
      <c r="H70" s="1">
        <v>520</v>
      </c>
      <c r="I70" s="1">
        <v>137</v>
      </c>
      <c r="J70" s="1">
        <v>229</v>
      </c>
      <c r="K70" s="1">
        <v>57</v>
      </c>
      <c r="L70" s="1">
        <v>91</v>
      </c>
      <c r="M70" s="1">
        <v>287</v>
      </c>
      <c r="N70" s="1">
        <v>609</v>
      </c>
      <c r="O70" s="1">
        <v>32</v>
      </c>
      <c r="P70" s="1">
        <v>314</v>
      </c>
      <c r="Q70" s="1">
        <v>33</v>
      </c>
      <c r="R70" s="1">
        <v>424</v>
      </c>
      <c r="S70" s="1">
        <v>167</v>
      </c>
      <c r="T70" s="1">
        <v>394</v>
      </c>
      <c r="U70" s="1">
        <v>568</v>
      </c>
      <c r="V70" s="1">
        <v>206</v>
      </c>
      <c r="W70" s="93">
        <v>7</v>
      </c>
      <c r="X70" s="93">
        <v>50</v>
      </c>
      <c r="Y70" s="93">
        <v>1579</v>
      </c>
      <c r="Z70" s="93">
        <v>247</v>
      </c>
      <c r="AA70" s="93">
        <v>1131</v>
      </c>
      <c r="AB70" s="3">
        <v>943</v>
      </c>
      <c r="AC70" s="3">
        <v>437</v>
      </c>
      <c r="AD70" s="3">
        <v>114</v>
      </c>
      <c r="AE70" s="8">
        <v>424</v>
      </c>
      <c r="AF70" s="8">
        <v>19</v>
      </c>
      <c r="AG70" s="8">
        <v>851</v>
      </c>
      <c r="AH70" s="99">
        <v>313</v>
      </c>
      <c r="AI70" s="99">
        <v>274</v>
      </c>
      <c r="AJ70" s="98">
        <v>49</v>
      </c>
      <c r="AK70" s="93">
        <v>200</v>
      </c>
      <c r="AL70" s="100">
        <v>644</v>
      </c>
      <c r="AM70" s="97">
        <v>1025</v>
      </c>
      <c r="AN70" s="117">
        <v>30</v>
      </c>
    </row>
    <row r="71" spans="1:40" x14ac:dyDescent="0.3">
      <c r="A71" s="91">
        <v>43328</v>
      </c>
      <c r="B71" s="1">
        <v>125</v>
      </c>
      <c r="C71" s="1">
        <v>47</v>
      </c>
      <c r="D71" s="1">
        <v>102</v>
      </c>
      <c r="E71" s="1">
        <v>2</v>
      </c>
      <c r="F71" s="1">
        <v>8</v>
      </c>
      <c r="G71" s="1">
        <v>28</v>
      </c>
      <c r="H71" s="1">
        <v>169</v>
      </c>
      <c r="I71" s="1">
        <v>93</v>
      </c>
      <c r="J71" s="1">
        <v>318</v>
      </c>
      <c r="K71" s="1">
        <v>116</v>
      </c>
      <c r="L71" s="1">
        <v>593</v>
      </c>
      <c r="M71" s="1">
        <v>569</v>
      </c>
      <c r="N71" s="1">
        <v>652</v>
      </c>
      <c r="O71" s="1">
        <v>569</v>
      </c>
      <c r="P71" s="1">
        <v>63</v>
      </c>
      <c r="Q71" s="1">
        <v>831</v>
      </c>
      <c r="R71" s="1">
        <v>366</v>
      </c>
      <c r="S71" s="1">
        <v>46</v>
      </c>
      <c r="T71" s="1">
        <v>679</v>
      </c>
      <c r="U71" s="1">
        <v>1269</v>
      </c>
      <c r="V71" s="1">
        <v>23</v>
      </c>
      <c r="W71" s="93">
        <v>2</v>
      </c>
      <c r="X71" s="93">
        <v>144</v>
      </c>
      <c r="Y71" s="93">
        <v>2848</v>
      </c>
      <c r="Z71" s="93">
        <v>686</v>
      </c>
      <c r="AA71" s="93">
        <v>1667</v>
      </c>
      <c r="AB71" s="3">
        <v>1488</v>
      </c>
      <c r="AC71" s="3">
        <v>530</v>
      </c>
      <c r="AD71" s="3">
        <v>151</v>
      </c>
      <c r="AE71" s="8">
        <v>10</v>
      </c>
      <c r="AF71" s="8">
        <v>391</v>
      </c>
      <c r="AG71" s="8">
        <v>1173</v>
      </c>
      <c r="AH71" s="99">
        <v>327</v>
      </c>
      <c r="AI71" s="99">
        <v>219</v>
      </c>
      <c r="AJ71" s="98">
        <v>112</v>
      </c>
      <c r="AK71" s="93">
        <v>236</v>
      </c>
      <c r="AL71" s="100">
        <v>132</v>
      </c>
      <c r="AM71" s="97">
        <v>610</v>
      </c>
      <c r="AN71" s="117">
        <v>816</v>
      </c>
    </row>
    <row r="72" spans="1:40" x14ac:dyDescent="0.3">
      <c r="A72" s="91">
        <v>43329</v>
      </c>
      <c r="B72" s="1">
        <v>146</v>
      </c>
      <c r="C72" s="1">
        <v>81</v>
      </c>
      <c r="D72" s="1">
        <v>54</v>
      </c>
      <c r="E72" s="1">
        <v>2</v>
      </c>
      <c r="F72" s="1">
        <v>6</v>
      </c>
      <c r="G72" s="1">
        <v>125</v>
      </c>
      <c r="H72" s="1">
        <v>451</v>
      </c>
      <c r="I72" s="1">
        <v>65</v>
      </c>
      <c r="J72" s="1">
        <v>132</v>
      </c>
      <c r="K72" s="1">
        <v>61</v>
      </c>
      <c r="L72" s="1">
        <v>56</v>
      </c>
      <c r="M72" s="1">
        <v>806</v>
      </c>
      <c r="N72" s="1">
        <v>274</v>
      </c>
      <c r="O72" s="1">
        <v>72</v>
      </c>
      <c r="P72" s="1">
        <v>147</v>
      </c>
      <c r="Q72" s="1">
        <v>314</v>
      </c>
      <c r="R72" s="1">
        <v>264</v>
      </c>
      <c r="S72" s="1">
        <v>46</v>
      </c>
      <c r="T72" s="1">
        <v>604</v>
      </c>
      <c r="U72" s="1">
        <v>601</v>
      </c>
      <c r="V72" s="1">
        <v>29</v>
      </c>
      <c r="W72" s="93">
        <v>47</v>
      </c>
      <c r="X72" s="93">
        <v>94</v>
      </c>
      <c r="Y72" s="93">
        <v>960</v>
      </c>
      <c r="Z72" s="93">
        <v>411</v>
      </c>
      <c r="AA72" s="93">
        <v>767</v>
      </c>
      <c r="AB72" s="3">
        <v>614</v>
      </c>
      <c r="AC72" s="3">
        <v>1261</v>
      </c>
      <c r="AD72" s="3">
        <v>145</v>
      </c>
      <c r="AE72" s="8">
        <v>275</v>
      </c>
      <c r="AF72" s="8">
        <v>5</v>
      </c>
      <c r="AG72" s="8">
        <v>834</v>
      </c>
      <c r="AH72" s="99">
        <v>104</v>
      </c>
      <c r="AI72" s="99">
        <v>263</v>
      </c>
      <c r="AJ72" s="98">
        <v>13</v>
      </c>
      <c r="AK72" s="93">
        <v>297</v>
      </c>
      <c r="AL72" s="100">
        <v>100</v>
      </c>
      <c r="AM72" s="97">
        <v>1232</v>
      </c>
      <c r="AN72" s="117">
        <v>304</v>
      </c>
    </row>
    <row r="73" spans="1:40" x14ac:dyDescent="0.3">
      <c r="A73" s="91">
        <v>43330</v>
      </c>
      <c r="B73" s="1">
        <v>83</v>
      </c>
      <c r="C73" s="1">
        <v>50</v>
      </c>
      <c r="D73" s="1">
        <v>31</v>
      </c>
      <c r="E73" s="1">
        <v>0</v>
      </c>
      <c r="F73" s="1">
        <v>6</v>
      </c>
      <c r="G73" s="1">
        <v>149</v>
      </c>
      <c r="H73" s="1">
        <v>320</v>
      </c>
      <c r="I73" s="1">
        <v>140</v>
      </c>
      <c r="J73" s="1">
        <v>41</v>
      </c>
      <c r="K73" s="1">
        <v>0</v>
      </c>
      <c r="L73" s="92">
        <v>299.28482143396354</v>
      </c>
      <c r="M73" s="1">
        <v>426</v>
      </c>
      <c r="N73" s="1">
        <v>280</v>
      </c>
      <c r="O73" s="1">
        <v>182</v>
      </c>
      <c r="P73" s="1">
        <v>206</v>
      </c>
      <c r="Q73" s="1">
        <v>335</v>
      </c>
      <c r="R73" s="1">
        <v>142</v>
      </c>
      <c r="S73" s="1">
        <v>374</v>
      </c>
      <c r="T73" s="1">
        <v>785</v>
      </c>
      <c r="U73" s="1">
        <v>742</v>
      </c>
      <c r="V73" s="1">
        <v>12</v>
      </c>
      <c r="W73" s="93">
        <v>246</v>
      </c>
      <c r="X73" s="93">
        <v>82</v>
      </c>
      <c r="Y73" s="93">
        <v>825</v>
      </c>
      <c r="Z73" s="93">
        <v>741</v>
      </c>
      <c r="AA73" s="93">
        <v>1173</v>
      </c>
      <c r="AB73" s="3">
        <v>1962</v>
      </c>
      <c r="AC73" s="3">
        <v>833</v>
      </c>
      <c r="AD73" s="3">
        <v>51</v>
      </c>
      <c r="AE73" s="8">
        <v>257</v>
      </c>
      <c r="AF73" s="8">
        <v>1084</v>
      </c>
      <c r="AG73" s="8">
        <v>733</v>
      </c>
      <c r="AH73" s="99">
        <v>280</v>
      </c>
      <c r="AI73" s="99">
        <v>113</v>
      </c>
      <c r="AJ73" s="98">
        <v>16</v>
      </c>
      <c r="AK73" s="93">
        <v>448</v>
      </c>
      <c r="AL73" s="100">
        <v>88</v>
      </c>
      <c r="AM73" s="97">
        <v>945</v>
      </c>
      <c r="AN73" s="117">
        <v>395</v>
      </c>
    </row>
    <row r="74" spans="1:40" x14ac:dyDescent="0.3">
      <c r="A74" s="91">
        <v>43331</v>
      </c>
      <c r="B74" s="1">
        <v>63</v>
      </c>
      <c r="C74" s="1">
        <v>45</v>
      </c>
      <c r="D74" s="1">
        <v>56</v>
      </c>
      <c r="E74" s="1">
        <v>2</v>
      </c>
      <c r="F74" s="1">
        <v>5</v>
      </c>
      <c r="G74" s="1">
        <v>17</v>
      </c>
      <c r="H74" s="1">
        <v>167</v>
      </c>
      <c r="I74" s="1">
        <v>35</v>
      </c>
      <c r="J74" s="1">
        <v>6</v>
      </c>
      <c r="K74" s="1">
        <v>13</v>
      </c>
      <c r="L74" s="92">
        <v>300.12159167099162</v>
      </c>
      <c r="M74" s="1">
        <v>941</v>
      </c>
      <c r="N74" s="1">
        <v>1121</v>
      </c>
      <c r="O74" s="1">
        <v>81</v>
      </c>
      <c r="P74" s="1">
        <v>167</v>
      </c>
      <c r="Q74" s="1">
        <v>111</v>
      </c>
      <c r="R74" s="1">
        <v>286</v>
      </c>
      <c r="S74" s="1">
        <v>330</v>
      </c>
      <c r="T74" s="1">
        <v>489</v>
      </c>
      <c r="U74" s="1">
        <v>369</v>
      </c>
      <c r="V74" s="1">
        <v>27</v>
      </c>
      <c r="W74" s="93">
        <v>37</v>
      </c>
      <c r="X74" s="93">
        <v>81</v>
      </c>
      <c r="Y74" s="93">
        <v>112</v>
      </c>
      <c r="Z74" s="93">
        <v>581</v>
      </c>
      <c r="AA74" s="93">
        <v>1143</v>
      </c>
      <c r="AB74" s="3">
        <v>1646</v>
      </c>
      <c r="AC74" s="3">
        <v>537</v>
      </c>
      <c r="AD74" s="3">
        <v>70</v>
      </c>
      <c r="AE74" s="8">
        <v>180</v>
      </c>
      <c r="AF74" s="8">
        <v>388</v>
      </c>
      <c r="AG74" s="8">
        <v>149</v>
      </c>
      <c r="AH74" s="99">
        <v>533</v>
      </c>
      <c r="AI74" s="99">
        <v>332</v>
      </c>
      <c r="AJ74" s="98">
        <v>51</v>
      </c>
      <c r="AK74" s="93">
        <v>294</v>
      </c>
      <c r="AL74" s="100">
        <v>223</v>
      </c>
      <c r="AM74" s="97">
        <v>124</v>
      </c>
      <c r="AN74" s="117">
        <v>323</v>
      </c>
    </row>
    <row r="75" spans="1:40" x14ac:dyDescent="0.3">
      <c r="A75" s="91">
        <v>43332</v>
      </c>
      <c r="B75" s="1">
        <v>53</v>
      </c>
      <c r="C75" s="1">
        <v>24</v>
      </c>
      <c r="D75" s="1">
        <v>58</v>
      </c>
      <c r="E75" s="1">
        <v>0</v>
      </c>
      <c r="F75" s="1">
        <v>7</v>
      </c>
      <c r="G75" s="1">
        <v>129</v>
      </c>
      <c r="H75" s="1">
        <v>184</v>
      </c>
      <c r="I75" s="1">
        <v>90</v>
      </c>
      <c r="J75" s="92">
        <v>94.511533825045063</v>
      </c>
      <c r="K75" s="1">
        <v>37</v>
      </c>
      <c r="L75" s="92">
        <v>209.36769064640794</v>
      </c>
      <c r="M75" s="1">
        <v>108</v>
      </c>
      <c r="N75" s="1">
        <v>494</v>
      </c>
      <c r="O75" s="1">
        <v>33</v>
      </c>
      <c r="P75" s="1">
        <v>119</v>
      </c>
      <c r="Q75" s="1">
        <v>127</v>
      </c>
      <c r="R75" s="1">
        <v>229</v>
      </c>
      <c r="S75" s="1">
        <v>234</v>
      </c>
      <c r="T75" s="1">
        <v>440</v>
      </c>
      <c r="U75" s="1">
        <v>542</v>
      </c>
      <c r="V75" s="1">
        <v>46</v>
      </c>
      <c r="W75" s="93">
        <v>96</v>
      </c>
      <c r="X75" s="93">
        <v>152</v>
      </c>
      <c r="Y75" s="93">
        <v>1218</v>
      </c>
      <c r="Z75" s="93">
        <v>843</v>
      </c>
      <c r="AA75" s="93">
        <v>863</v>
      </c>
      <c r="AB75" s="3">
        <v>668</v>
      </c>
      <c r="AC75" s="3">
        <v>771</v>
      </c>
      <c r="AD75" s="3">
        <v>204</v>
      </c>
      <c r="AE75" s="8">
        <v>87</v>
      </c>
      <c r="AF75" s="8">
        <v>82</v>
      </c>
      <c r="AG75" s="94">
        <v>199.52528477495045</v>
      </c>
      <c r="AH75" s="99">
        <v>202</v>
      </c>
      <c r="AI75" s="99">
        <v>125</v>
      </c>
      <c r="AJ75" s="98">
        <v>60</v>
      </c>
      <c r="AK75" s="93">
        <v>57</v>
      </c>
      <c r="AL75" s="100">
        <v>211</v>
      </c>
      <c r="AM75" s="97">
        <v>240</v>
      </c>
      <c r="AN75" s="117">
        <v>346</v>
      </c>
    </row>
    <row r="76" spans="1:40" x14ac:dyDescent="0.3">
      <c r="A76" s="91">
        <v>43333</v>
      </c>
      <c r="B76" s="1">
        <v>44</v>
      </c>
      <c r="C76" s="1">
        <v>29</v>
      </c>
      <c r="D76" s="1">
        <v>60</v>
      </c>
      <c r="E76" s="1">
        <v>0</v>
      </c>
      <c r="F76" s="1">
        <v>9</v>
      </c>
      <c r="G76" s="1">
        <v>68</v>
      </c>
      <c r="H76" s="1">
        <v>177</v>
      </c>
      <c r="I76" s="1">
        <v>129</v>
      </c>
      <c r="J76" s="92">
        <v>119.66694207147461</v>
      </c>
      <c r="K76" s="1">
        <v>12</v>
      </c>
      <c r="L76" s="92">
        <v>265.09347900967612</v>
      </c>
      <c r="M76" s="1">
        <v>237</v>
      </c>
      <c r="N76" s="1">
        <v>393</v>
      </c>
      <c r="O76" s="1">
        <v>77</v>
      </c>
      <c r="P76" s="1">
        <v>61</v>
      </c>
      <c r="Q76" s="1">
        <v>1192</v>
      </c>
      <c r="R76" s="1">
        <v>199</v>
      </c>
      <c r="S76" s="1">
        <v>317</v>
      </c>
      <c r="T76" s="1">
        <v>625</v>
      </c>
      <c r="U76" s="1">
        <v>53</v>
      </c>
      <c r="V76" s="1">
        <v>14</v>
      </c>
      <c r="W76" s="93">
        <v>10</v>
      </c>
      <c r="X76" s="93">
        <v>87</v>
      </c>
      <c r="Y76" s="93">
        <v>440</v>
      </c>
      <c r="Z76" s="93">
        <v>880</v>
      </c>
      <c r="AA76" s="93">
        <v>1564</v>
      </c>
      <c r="AB76" s="3">
        <v>664</v>
      </c>
      <c r="AC76" s="3">
        <v>560</v>
      </c>
      <c r="AD76" s="3">
        <v>25</v>
      </c>
      <c r="AE76" s="8">
        <v>23</v>
      </c>
      <c r="AF76" s="8">
        <v>29</v>
      </c>
      <c r="AG76" s="94">
        <v>202.45166294194823</v>
      </c>
      <c r="AH76" s="99">
        <v>185</v>
      </c>
      <c r="AI76" s="99">
        <v>188</v>
      </c>
      <c r="AJ76" s="98">
        <v>43</v>
      </c>
      <c r="AK76" s="93">
        <v>206</v>
      </c>
      <c r="AL76" s="100">
        <v>76</v>
      </c>
      <c r="AM76" s="97">
        <v>889</v>
      </c>
      <c r="AN76" s="117">
        <v>734</v>
      </c>
    </row>
    <row r="77" spans="1:40" x14ac:dyDescent="0.3">
      <c r="A77" s="91">
        <v>43334</v>
      </c>
      <c r="B77" s="1">
        <v>44</v>
      </c>
      <c r="C77" s="1">
        <v>63</v>
      </c>
      <c r="D77" s="1">
        <v>29</v>
      </c>
      <c r="E77" s="1">
        <v>0</v>
      </c>
      <c r="F77" s="1">
        <v>6</v>
      </c>
      <c r="G77" s="1">
        <v>41</v>
      </c>
      <c r="H77" s="1">
        <v>168</v>
      </c>
      <c r="I77" s="1">
        <v>58</v>
      </c>
      <c r="J77" s="92">
        <v>88.336433609530019</v>
      </c>
      <c r="K77" s="1">
        <v>38</v>
      </c>
      <c r="L77" s="92">
        <v>195.68823355468328</v>
      </c>
      <c r="M77" s="1">
        <v>303</v>
      </c>
      <c r="N77" s="1">
        <v>342</v>
      </c>
      <c r="O77" s="1">
        <v>11</v>
      </c>
      <c r="P77" s="1">
        <v>564</v>
      </c>
      <c r="Q77" s="1">
        <v>104</v>
      </c>
      <c r="R77" s="1">
        <v>156</v>
      </c>
      <c r="S77" s="1">
        <v>30</v>
      </c>
      <c r="T77" s="1">
        <v>42</v>
      </c>
      <c r="U77" s="1">
        <v>719</v>
      </c>
      <c r="V77" s="1">
        <v>84</v>
      </c>
      <c r="W77" s="93">
        <v>5</v>
      </c>
      <c r="X77" s="93">
        <v>167</v>
      </c>
      <c r="Y77" s="93">
        <v>303</v>
      </c>
      <c r="Z77" s="93">
        <v>516</v>
      </c>
      <c r="AA77" s="93">
        <v>2833</v>
      </c>
      <c r="AB77" s="3">
        <v>624</v>
      </c>
      <c r="AC77" s="3">
        <v>655</v>
      </c>
      <c r="AD77" s="3">
        <v>0</v>
      </c>
      <c r="AE77" s="8">
        <v>34</v>
      </c>
      <c r="AF77" s="8">
        <v>71</v>
      </c>
      <c r="AG77" s="94">
        <v>200.78765884685981</v>
      </c>
      <c r="AH77" s="99">
        <v>116</v>
      </c>
      <c r="AI77" s="99">
        <v>163</v>
      </c>
      <c r="AJ77" s="98">
        <v>167</v>
      </c>
      <c r="AK77" s="93">
        <v>54</v>
      </c>
      <c r="AL77" s="100">
        <v>280</v>
      </c>
      <c r="AM77" s="97">
        <v>1092</v>
      </c>
      <c r="AN77" s="117">
        <v>196</v>
      </c>
    </row>
    <row r="78" spans="1:40" x14ac:dyDescent="0.3">
      <c r="A78" s="91">
        <v>43335</v>
      </c>
      <c r="B78" s="1">
        <v>60</v>
      </c>
      <c r="C78" s="1">
        <v>5</v>
      </c>
      <c r="D78" s="1">
        <v>29</v>
      </c>
      <c r="E78" s="92">
        <v>2.6588266151058053</v>
      </c>
      <c r="F78" s="1">
        <v>5</v>
      </c>
      <c r="G78" s="1">
        <v>65</v>
      </c>
      <c r="H78" s="1">
        <v>49</v>
      </c>
      <c r="I78" s="1">
        <v>35</v>
      </c>
      <c r="J78" s="92">
        <v>83.12526090254886</v>
      </c>
      <c r="K78" s="1">
        <v>22</v>
      </c>
      <c r="L78" s="92">
        <v>184.14412723174496</v>
      </c>
      <c r="M78" s="1">
        <v>298</v>
      </c>
      <c r="N78" s="1">
        <v>399</v>
      </c>
      <c r="O78" s="1">
        <v>55</v>
      </c>
      <c r="P78" s="1">
        <v>22</v>
      </c>
      <c r="Q78" s="1">
        <v>124</v>
      </c>
      <c r="R78" s="1">
        <v>324</v>
      </c>
      <c r="S78" s="1">
        <v>241</v>
      </c>
      <c r="T78" s="1">
        <v>539</v>
      </c>
      <c r="U78" s="1">
        <v>283</v>
      </c>
      <c r="V78" s="1">
        <v>16</v>
      </c>
      <c r="W78" s="93">
        <v>6</v>
      </c>
      <c r="X78" s="93">
        <v>123</v>
      </c>
      <c r="Y78" s="93">
        <v>249</v>
      </c>
      <c r="Z78" s="93">
        <v>706</v>
      </c>
      <c r="AA78" s="93">
        <v>1056</v>
      </c>
      <c r="AB78" s="3">
        <v>704</v>
      </c>
      <c r="AC78" s="3">
        <v>207</v>
      </c>
      <c r="AD78" s="3">
        <v>168</v>
      </c>
      <c r="AE78" s="8">
        <v>33</v>
      </c>
      <c r="AF78" s="8">
        <v>159</v>
      </c>
      <c r="AG78" s="94">
        <v>151.35113288427112</v>
      </c>
      <c r="AH78" s="99">
        <v>151</v>
      </c>
      <c r="AI78" s="99">
        <v>201</v>
      </c>
      <c r="AJ78" s="98">
        <v>59</v>
      </c>
      <c r="AK78" s="92">
        <v>95.540370944437143</v>
      </c>
      <c r="AL78" s="100">
        <v>333</v>
      </c>
      <c r="AM78" s="97">
        <v>389</v>
      </c>
      <c r="AN78" s="117">
        <v>773</v>
      </c>
    </row>
    <row r="79" spans="1:40" x14ac:dyDescent="0.3">
      <c r="A79" s="91">
        <v>43336</v>
      </c>
      <c r="B79" s="1">
        <v>44</v>
      </c>
      <c r="C79" s="1">
        <v>42</v>
      </c>
      <c r="D79" s="1">
        <v>20</v>
      </c>
      <c r="E79" s="92">
        <v>1.9178933274521432</v>
      </c>
      <c r="F79" s="1">
        <v>1</v>
      </c>
      <c r="G79" s="1">
        <v>68</v>
      </c>
      <c r="H79" s="1">
        <v>80</v>
      </c>
      <c r="I79" s="1">
        <v>53</v>
      </c>
      <c r="J79" s="92">
        <v>59.960804635383283</v>
      </c>
      <c r="K79" s="1">
        <v>24</v>
      </c>
      <c r="L79" s="92">
        <v>132.82881662940113</v>
      </c>
      <c r="M79" s="1">
        <v>338</v>
      </c>
      <c r="N79" s="1">
        <v>82</v>
      </c>
      <c r="O79" s="1">
        <v>7</v>
      </c>
      <c r="P79" s="1">
        <v>47</v>
      </c>
      <c r="Q79" s="1">
        <v>446</v>
      </c>
      <c r="R79" s="1">
        <v>209</v>
      </c>
      <c r="S79" s="1">
        <v>24</v>
      </c>
      <c r="T79" s="1">
        <v>227</v>
      </c>
      <c r="U79" s="1">
        <v>131</v>
      </c>
      <c r="V79" s="1">
        <v>2</v>
      </c>
      <c r="W79" s="93">
        <v>2</v>
      </c>
      <c r="X79" s="93">
        <v>40</v>
      </c>
      <c r="Y79" s="93">
        <v>83</v>
      </c>
      <c r="Z79" s="93">
        <v>536</v>
      </c>
      <c r="AA79" s="93">
        <v>648</v>
      </c>
      <c r="AB79" s="3">
        <v>1281</v>
      </c>
      <c r="AC79" s="3">
        <v>320</v>
      </c>
      <c r="AD79" s="3">
        <v>316</v>
      </c>
      <c r="AE79" s="8">
        <v>6</v>
      </c>
      <c r="AF79" s="8">
        <v>102</v>
      </c>
      <c r="AG79" s="94">
        <v>130.0905404210983</v>
      </c>
      <c r="AH79" s="99">
        <v>127</v>
      </c>
      <c r="AI79" s="99">
        <v>146</v>
      </c>
      <c r="AJ79" s="98">
        <v>135</v>
      </c>
      <c r="AK79" s="92">
        <v>82.887030354248566</v>
      </c>
      <c r="AL79" s="100">
        <v>229</v>
      </c>
      <c r="AM79" s="97">
        <v>148</v>
      </c>
      <c r="AN79" s="117">
        <v>411</v>
      </c>
    </row>
    <row r="80" spans="1:40" x14ac:dyDescent="0.3">
      <c r="A80" s="91">
        <v>43337</v>
      </c>
      <c r="B80" s="1">
        <v>25</v>
      </c>
      <c r="C80" s="1">
        <v>31</v>
      </c>
      <c r="D80" s="1">
        <v>21</v>
      </c>
      <c r="E80" s="92">
        <v>1.6910345399402424</v>
      </c>
      <c r="F80" s="1">
        <v>3</v>
      </c>
      <c r="G80" s="1">
        <v>10</v>
      </c>
      <c r="H80" s="1">
        <v>48</v>
      </c>
      <c r="I80" s="1">
        <v>22</v>
      </c>
      <c r="J80" s="92">
        <v>52.86831662099933</v>
      </c>
      <c r="K80" s="1">
        <v>9</v>
      </c>
      <c r="L80" s="92">
        <v>117.11710636070802</v>
      </c>
      <c r="M80" s="1">
        <v>153</v>
      </c>
      <c r="N80" s="1">
        <v>328</v>
      </c>
      <c r="O80" s="1">
        <v>45</v>
      </c>
      <c r="P80" s="1">
        <v>163</v>
      </c>
      <c r="Q80" s="1">
        <v>186</v>
      </c>
      <c r="R80" s="1">
        <v>156</v>
      </c>
      <c r="S80" s="1">
        <v>17</v>
      </c>
      <c r="T80" s="1">
        <v>264</v>
      </c>
      <c r="U80" s="1">
        <v>144</v>
      </c>
      <c r="V80" s="1">
        <v>13</v>
      </c>
      <c r="W80" s="93">
        <v>22</v>
      </c>
      <c r="X80" s="93">
        <v>79</v>
      </c>
      <c r="Y80" s="93">
        <v>292</v>
      </c>
      <c r="Z80" s="93">
        <v>391</v>
      </c>
      <c r="AA80" s="93">
        <v>1145</v>
      </c>
      <c r="AB80" s="3">
        <v>1646</v>
      </c>
      <c r="AC80" s="3">
        <v>242</v>
      </c>
      <c r="AD80" s="3">
        <v>17</v>
      </c>
      <c r="AE80" s="8">
        <v>39</v>
      </c>
      <c r="AF80" s="8">
        <v>53</v>
      </c>
      <c r="AG80" s="8">
        <v>8</v>
      </c>
      <c r="AH80" s="99">
        <v>74</v>
      </c>
      <c r="AI80" s="99">
        <v>113</v>
      </c>
      <c r="AJ80" s="98">
        <v>209</v>
      </c>
      <c r="AK80" s="93">
        <v>73</v>
      </c>
      <c r="AL80" s="100">
        <v>89</v>
      </c>
      <c r="AM80" s="97">
        <v>331</v>
      </c>
      <c r="AN80" s="117">
        <v>37</v>
      </c>
    </row>
    <row r="81" spans="1:40" x14ac:dyDescent="0.3">
      <c r="A81" s="91">
        <v>43338</v>
      </c>
      <c r="B81" s="1">
        <v>16</v>
      </c>
      <c r="C81" s="1">
        <v>44</v>
      </c>
      <c r="D81" s="1">
        <v>13</v>
      </c>
      <c r="E81" s="92">
        <v>2.7181429035841371</v>
      </c>
      <c r="F81" s="1">
        <v>4</v>
      </c>
      <c r="G81" s="1">
        <v>12</v>
      </c>
      <c r="H81" s="1">
        <v>38</v>
      </c>
      <c r="I81" s="1">
        <v>5</v>
      </c>
      <c r="J81" s="92">
        <v>84.979718777882638</v>
      </c>
      <c r="K81" s="1">
        <v>42</v>
      </c>
      <c r="L81" s="92">
        <v>188.25223496257667</v>
      </c>
      <c r="M81" s="1">
        <v>155</v>
      </c>
      <c r="N81" s="1">
        <v>367</v>
      </c>
      <c r="O81" s="1">
        <v>46</v>
      </c>
      <c r="P81" s="1">
        <v>16</v>
      </c>
      <c r="Q81" s="1">
        <v>162</v>
      </c>
      <c r="R81" s="1">
        <v>427</v>
      </c>
      <c r="S81" s="1">
        <v>192</v>
      </c>
      <c r="T81" s="1">
        <v>367</v>
      </c>
      <c r="U81" s="1">
        <v>706</v>
      </c>
      <c r="V81" s="1">
        <v>8</v>
      </c>
      <c r="W81" s="93">
        <v>7</v>
      </c>
      <c r="X81" s="93">
        <v>64</v>
      </c>
      <c r="Y81" s="93">
        <v>210</v>
      </c>
      <c r="Z81" s="93">
        <v>71</v>
      </c>
      <c r="AA81" s="93">
        <v>322</v>
      </c>
      <c r="AB81" s="3">
        <v>515</v>
      </c>
      <c r="AC81" s="3">
        <v>376</v>
      </c>
      <c r="AD81" s="3">
        <v>23</v>
      </c>
      <c r="AE81" s="8">
        <v>88</v>
      </c>
      <c r="AF81" s="8">
        <v>54</v>
      </c>
      <c r="AG81" s="8">
        <v>22</v>
      </c>
      <c r="AH81" s="99">
        <v>105</v>
      </c>
      <c r="AI81" s="99">
        <v>74</v>
      </c>
      <c r="AJ81" s="98">
        <v>12</v>
      </c>
      <c r="AK81" s="93">
        <v>225</v>
      </c>
      <c r="AL81" s="100">
        <v>232</v>
      </c>
      <c r="AM81" s="97">
        <v>226</v>
      </c>
      <c r="AN81" s="117">
        <v>17</v>
      </c>
    </row>
    <row r="82" spans="1:40" x14ac:dyDescent="0.3">
      <c r="A82" s="91">
        <v>43339</v>
      </c>
      <c r="B82" s="1">
        <v>35</v>
      </c>
      <c r="C82" s="1">
        <v>22</v>
      </c>
      <c r="D82" s="1">
        <v>0</v>
      </c>
      <c r="E82" s="92">
        <v>1.5828083293842397</v>
      </c>
      <c r="F82" s="1">
        <v>2</v>
      </c>
      <c r="G82" s="1">
        <v>56</v>
      </c>
      <c r="H82" s="1">
        <v>88</v>
      </c>
      <c r="I82" s="1">
        <v>10</v>
      </c>
      <c r="J82" s="92">
        <v>49.484744357260475</v>
      </c>
      <c r="K82" s="1">
        <v>31</v>
      </c>
      <c r="L82" s="92">
        <v>109.62161155363299</v>
      </c>
      <c r="M82" s="1">
        <v>79</v>
      </c>
      <c r="N82" s="1">
        <v>236</v>
      </c>
      <c r="O82" s="1">
        <v>109</v>
      </c>
      <c r="P82" s="1">
        <v>27</v>
      </c>
      <c r="Q82" s="1">
        <v>228</v>
      </c>
      <c r="R82" s="1">
        <v>197</v>
      </c>
      <c r="S82" s="1">
        <v>110</v>
      </c>
      <c r="T82" s="1">
        <v>245</v>
      </c>
      <c r="U82" s="1">
        <v>46</v>
      </c>
      <c r="V82" s="1">
        <v>7</v>
      </c>
      <c r="W82" s="93">
        <v>74</v>
      </c>
      <c r="X82" s="93">
        <v>81</v>
      </c>
      <c r="Y82" s="93">
        <v>270</v>
      </c>
      <c r="Z82" s="93">
        <v>240</v>
      </c>
      <c r="AA82" s="93">
        <v>266</v>
      </c>
      <c r="AB82" s="3">
        <v>696</v>
      </c>
      <c r="AC82" s="3">
        <v>555</v>
      </c>
      <c r="AD82" s="3">
        <v>73</v>
      </c>
      <c r="AE82" s="8">
        <v>0</v>
      </c>
      <c r="AF82" s="8">
        <v>69</v>
      </c>
      <c r="AG82" s="8">
        <v>111</v>
      </c>
      <c r="AH82" s="99">
        <v>33</v>
      </c>
      <c r="AI82" s="99">
        <v>92</v>
      </c>
      <c r="AJ82" s="98">
        <v>347</v>
      </c>
      <c r="AK82" s="93">
        <v>23</v>
      </c>
      <c r="AL82" s="100">
        <v>78</v>
      </c>
      <c r="AM82" s="97">
        <v>127</v>
      </c>
      <c r="AN82" s="117">
        <v>0</v>
      </c>
    </row>
    <row r="83" spans="1:40" x14ac:dyDescent="0.3">
      <c r="A83" s="91">
        <v>43340</v>
      </c>
      <c r="B83" s="1">
        <v>23</v>
      </c>
      <c r="C83" s="1">
        <v>11</v>
      </c>
      <c r="D83" s="1">
        <v>4</v>
      </c>
      <c r="E83" s="92">
        <v>1.1644724001190079</v>
      </c>
      <c r="F83" s="1">
        <v>3</v>
      </c>
      <c r="G83" s="1">
        <v>20</v>
      </c>
      <c r="H83" s="1">
        <v>78</v>
      </c>
      <c r="I83" s="1">
        <v>27</v>
      </c>
      <c r="J83" s="92">
        <v>36.40593618394206</v>
      </c>
      <c r="K83" s="1">
        <v>26</v>
      </c>
      <c r="L83" s="92">
        <v>80.648641241629292</v>
      </c>
      <c r="M83" s="1">
        <v>81</v>
      </c>
      <c r="N83" s="1">
        <v>261</v>
      </c>
      <c r="O83" s="1">
        <v>107</v>
      </c>
      <c r="P83" s="1">
        <v>64</v>
      </c>
      <c r="Q83" s="1">
        <v>63</v>
      </c>
      <c r="R83" s="1">
        <v>170</v>
      </c>
      <c r="S83" s="1">
        <v>25</v>
      </c>
      <c r="T83" s="1">
        <v>114</v>
      </c>
      <c r="U83" s="1">
        <v>42</v>
      </c>
      <c r="V83" s="92">
        <v>7.7459294436193113</v>
      </c>
      <c r="W83" s="93">
        <v>2</v>
      </c>
      <c r="X83" s="93">
        <v>51</v>
      </c>
      <c r="Y83" s="93">
        <v>544</v>
      </c>
      <c r="Z83" s="93">
        <v>260</v>
      </c>
      <c r="AA83" s="93">
        <v>153</v>
      </c>
      <c r="AB83" s="3">
        <v>546</v>
      </c>
      <c r="AC83" s="3">
        <v>164</v>
      </c>
      <c r="AD83" s="3">
        <v>36</v>
      </c>
      <c r="AE83" s="8">
        <v>40</v>
      </c>
      <c r="AF83" s="8">
        <v>54</v>
      </c>
      <c r="AG83" s="8">
        <v>74</v>
      </c>
      <c r="AH83" s="99">
        <v>64</v>
      </c>
      <c r="AI83" s="99">
        <v>49</v>
      </c>
      <c r="AJ83" s="98">
        <v>128</v>
      </c>
      <c r="AK83" s="93">
        <v>223</v>
      </c>
      <c r="AL83" s="100">
        <v>44</v>
      </c>
      <c r="AM83" s="97">
        <v>252</v>
      </c>
      <c r="AN83" s="117">
        <v>262</v>
      </c>
    </row>
    <row r="84" spans="1:40" x14ac:dyDescent="0.3">
      <c r="A84" s="91">
        <v>43341</v>
      </c>
      <c r="B84" s="1">
        <v>25</v>
      </c>
      <c r="C84" s="1">
        <v>17</v>
      </c>
      <c r="D84" s="1">
        <v>7</v>
      </c>
      <c r="E84" s="92">
        <v>1.3756364908396774</v>
      </c>
      <c r="F84" s="1">
        <v>6</v>
      </c>
      <c r="G84" s="1">
        <v>9</v>
      </c>
      <c r="H84" s="92">
        <v>33.169728511546772</v>
      </c>
      <c r="I84" s="92">
        <v>29.568916946413331</v>
      </c>
      <c r="J84" s="92">
        <v>43.007746935624546</v>
      </c>
      <c r="K84" s="1">
        <v>25</v>
      </c>
      <c r="L84" s="92">
        <v>95.273373432766348</v>
      </c>
      <c r="M84" s="1">
        <v>140</v>
      </c>
      <c r="N84" s="1">
        <v>201</v>
      </c>
      <c r="O84" s="1">
        <v>23</v>
      </c>
      <c r="P84" s="1">
        <v>202</v>
      </c>
      <c r="Q84" s="1">
        <v>80</v>
      </c>
      <c r="R84" s="1">
        <v>229</v>
      </c>
      <c r="S84" s="92">
        <v>57.969927288225463</v>
      </c>
      <c r="T84" s="92">
        <v>87.20960504294321</v>
      </c>
      <c r="U84" s="1">
        <v>150</v>
      </c>
      <c r="V84" s="92">
        <v>9.150567452168664</v>
      </c>
      <c r="W84" s="93">
        <v>1</v>
      </c>
      <c r="X84" s="93">
        <v>47</v>
      </c>
      <c r="Y84" s="93">
        <v>252</v>
      </c>
      <c r="Z84" s="93">
        <v>100</v>
      </c>
      <c r="AA84" s="93">
        <v>142</v>
      </c>
      <c r="AB84" s="3">
        <v>1246</v>
      </c>
      <c r="AC84" s="3">
        <v>53</v>
      </c>
      <c r="AD84" s="3">
        <v>8</v>
      </c>
      <c r="AE84" s="8">
        <v>15</v>
      </c>
      <c r="AF84" s="8">
        <v>59</v>
      </c>
      <c r="AG84" s="8">
        <v>38</v>
      </c>
      <c r="AH84" s="99">
        <v>36</v>
      </c>
      <c r="AI84" s="99">
        <v>101</v>
      </c>
      <c r="AJ84" s="98">
        <v>54</v>
      </c>
      <c r="AK84" s="93">
        <v>207</v>
      </c>
      <c r="AL84" s="100">
        <v>31</v>
      </c>
      <c r="AM84" s="97">
        <v>338</v>
      </c>
      <c r="AN84" s="117">
        <v>288</v>
      </c>
    </row>
    <row r="85" spans="1:40" x14ac:dyDescent="0.3">
      <c r="A85" s="91">
        <v>43342</v>
      </c>
      <c r="B85" s="1">
        <v>32</v>
      </c>
      <c r="C85" s="1">
        <v>23</v>
      </c>
      <c r="D85" s="1">
        <v>7</v>
      </c>
      <c r="E85" s="92">
        <v>1.5435777500445895</v>
      </c>
      <c r="F85" s="1">
        <v>5</v>
      </c>
      <c r="G85" s="1">
        <v>17</v>
      </c>
      <c r="H85" s="92">
        <v>37.219174721216518</v>
      </c>
      <c r="I85" s="92">
        <v>33.178766771111469</v>
      </c>
      <c r="J85" s="92">
        <v>48.258243868521475</v>
      </c>
      <c r="K85" s="1">
        <v>26</v>
      </c>
      <c r="L85" s="92">
        <v>106.90459316962519</v>
      </c>
      <c r="M85" s="1">
        <v>72</v>
      </c>
      <c r="N85" s="1">
        <v>111</v>
      </c>
      <c r="O85" s="1">
        <v>86</v>
      </c>
      <c r="P85" s="1">
        <v>35</v>
      </c>
      <c r="Q85" s="1">
        <v>182</v>
      </c>
      <c r="R85" s="1">
        <v>207</v>
      </c>
      <c r="S85" s="92">
        <v>65.047045879966674</v>
      </c>
      <c r="T85" s="92">
        <v>97.856379087684275</v>
      </c>
      <c r="U85" s="1">
        <v>447</v>
      </c>
      <c r="V85" s="92">
        <v>10.267692413484834</v>
      </c>
      <c r="W85" s="93">
        <v>3</v>
      </c>
      <c r="X85" s="93">
        <v>51</v>
      </c>
      <c r="Y85" s="93">
        <v>967</v>
      </c>
      <c r="Z85" s="93">
        <v>127</v>
      </c>
      <c r="AA85" s="93">
        <v>252</v>
      </c>
      <c r="AB85" s="3">
        <v>626</v>
      </c>
      <c r="AC85" s="3">
        <v>490</v>
      </c>
      <c r="AD85" s="3">
        <v>32</v>
      </c>
      <c r="AE85" s="8">
        <v>6</v>
      </c>
      <c r="AF85" s="8">
        <v>80</v>
      </c>
      <c r="AG85" s="8">
        <v>53</v>
      </c>
      <c r="AH85" s="99">
        <v>57</v>
      </c>
      <c r="AI85" s="99">
        <v>28</v>
      </c>
      <c r="AJ85" s="98">
        <v>221</v>
      </c>
      <c r="AK85" s="95">
        <v>65.101566655227174</v>
      </c>
      <c r="AL85" s="100">
        <v>15</v>
      </c>
      <c r="AM85" s="97">
        <v>253</v>
      </c>
      <c r="AN85" s="117">
        <v>175</v>
      </c>
    </row>
    <row r="86" spans="1:40" x14ac:dyDescent="0.3">
      <c r="A86" s="91">
        <v>43343</v>
      </c>
      <c r="B86" s="1">
        <v>30</v>
      </c>
      <c r="C86" s="1">
        <v>10</v>
      </c>
      <c r="D86" s="1">
        <v>5</v>
      </c>
      <c r="E86" s="92">
        <v>1.003942968629024</v>
      </c>
      <c r="F86" s="1">
        <v>12</v>
      </c>
      <c r="G86" s="1">
        <v>8</v>
      </c>
      <c r="H86" s="92">
        <v>24.207351238679738</v>
      </c>
      <c r="I86" s="92">
        <v>21.579469907931365</v>
      </c>
      <c r="J86" s="92">
        <v>31.387161812087065</v>
      </c>
      <c r="K86" s="1">
        <v>34</v>
      </c>
      <c r="L86" s="92">
        <v>69.530747397525658</v>
      </c>
      <c r="M86" s="1">
        <v>42</v>
      </c>
      <c r="N86" s="1">
        <v>207</v>
      </c>
      <c r="O86" s="1">
        <v>183</v>
      </c>
      <c r="P86" s="1">
        <v>25</v>
      </c>
      <c r="Q86" s="1">
        <v>77</v>
      </c>
      <c r="R86" s="1">
        <v>69</v>
      </c>
      <c r="S86" s="92">
        <v>42.306598640330577</v>
      </c>
      <c r="T86" s="92">
        <v>63.645788958630149</v>
      </c>
      <c r="U86" s="1">
        <v>111</v>
      </c>
      <c r="V86" s="92">
        <v>6.6781071543514576</v>
      </c>
      <c r="W86" s="93">
        <v>2</v>
      </c>
      <c r="X86" s="93">
        <v>29</v>
      </c>
      <c r="Y86" s="93">
        <v>236</v>
      </c>
      <c r="Z86" s="93">
        <v>119</v>
      </c>
      <c r="AA86" s="93">
        <v>400</v>
      </c>
      <c r="AB86" s="92">
        <v>265.56737740259365</v>
      </c>
      <c r="AC86" s="93">
        <v>349</v>
      </c>
      <c r="AD86" s="93">
        <v>17</v>
      </c>
      <c r="AE86" s="8">
        <v>41</v>
      </c>
      <c r="AF86" s="8">
        <v>18</v>
      </c>
      <c r="AG86" s="8">
        <v>96</v>
      </c>
      <c r="AH86" s="99">
        <v>104</v>
      </c>
      <c r="AI86" s="99">
        <v>62</v>
      </c>
      <c r="AJ86" s="98">
        <v>126</v>
      </c>
      <c r="AK86" s="95">
        <v>41.191249557115185</v>
      </c>
      <c r="AL86" s="100">
        <v>105</v>
      </c>
      <c r="AM86" s="97">
        <v>371</v>
      </c>
      <c r="AN86" s="117">
        <v>120</v>
      </c>
    </row>
    <row r="87" spans="1:40" x14ac:dyDescent="0.3">
      <c r="A87" s="91">
        <v>43344</v>
      </c>
      <c r="B87" s="1">
        <v>14</v>
      </c>
      <c r="C87" s="1">
        <v>6</v>
      </c>
      <c r="D87" s="1">
        <v>18</v>
      </c>
      <c r="E87" s="92">
        <v>1.8951020131231866</v>
      </c>
      <c r="F87" s="1">
        <v>4</v>
      </c>
      <c r="G87" s="1">
        <v>25</v>
      </c>
      <c r="H87" s="92">
        <v>45.695225225243064</v>
      </c>
      <c r="I87" s="92">
        <v>40.734681294196314</v>
      </c>
      <c r="J87" s="92">
        <v>59.248259507747889</v>
      </c>
      <c r="K87" s="1">
        <v>27</v>
      </c>
      <c r="L87" s="92">
        <v>131.25034338052004</v>
      </c>
      <c r="M87" s="1">
        <v>70</v>
      </c>
      <c r="N87" s="1">
        <v>176</v>
      </c>
      <c r="O87" s="1">
        <v>82</v>
      </c>
      <c r="P87" s="1">
        <v>98</v>
      </c>
      <c r="Q87" s="1">
        <v>108</v>
      </c>
      <c r="R87" s="92">
        <v>144.66679364652973</v>
      </c>
      <c r="S87" s="92">
        <v>79.860433069423649</v>
      </c>
      <c r="T87" s="92">
        <v>120.14154842587817</v>
      </c>
      <c r="U87" s="1">
        <v>762</v>
      </c>
      <c r="V87" s="92">
        <v>12.605989306456879</v>
      </c>
      <c r="W87" s="93">
        <v>6</v>
      </c>
      <c r="X87" s="93">
        <v>22</v>
      </c>
      <c r="Y87" s="93">
        <v>81</v>
      </c>
      <c r="Z87" s="93">
        <v>486</v>
      </c>
      <c r="AA87" s="93">
        <v>598</v>
      </c>
      <c r="AB87" s="92">
        <v>459.78029612144576</v>
      </c>
      <c r="AC87" s="93">
        <v>304</v>
      </c>
      <c r="AD87" s="93">
        <v>6</v>
      </c>
      <c r="AE87" s="8">
        <v>63</v>
      </c>
      <c r="AF87" s="8">
        <v>37</v>
      </c>
      <c r="AG87" s="8">
        <v>46</v>
      </c>
      <c r="AH87" s="99">
        <v>4</v>
      </c>
      <c r="AI87" s="99">
        <v>103</v>
      </c>
      <c r="AJ87" s="95">
        <v>80.441431173252923</v>
      </c>
      <c r="AK87" s="95">
        <v>60.60157574095691</v>
      </c>
      <c r="AL87" s="100">
        <v>20</v>
      </c>
      <c r="AM87" s="97">
        <v>122</v>
      </c>
      <c r="AN87" s="117">
        <v>126</v>
      </c>
    </row>
    <row r="88" spans="1:40" x14ac:dyDescent="0.3">
      <c r="A88" s="91">
        <v>43345</v>
      </c>
      <c r="B88" s="1">
        <v>15</v>
      </c>
      <c r="C88" s="1">
        <v>20</v>
      </c>
      <c r="D88" s="1">
        <v>6</v>
      </c>
      <c r="E88" s="92">
        <v>1.0888108698792491</v>
      </c>
      <c r="F88" s="1">
        <v>1</v>
      </c>
      <c r="G88" s="1">
        <v>27</v>
      </c>
      <c r="H88" s="92">
        <v>26.253709606287416</v>
      </c>
      <c r="I88" s="92">
        <v>23.403681420345663</v>
      </c>
      <c r="J88" s="92">
        <v>34.040462479988101</v>
      </c>
      <c r="K88" s="1">
        <v>26</v>
      </c>
      <c r="L88" s="92">
        <v>75.408500206598276</v>
      </c>
      <c r="M88" s="1">
        <v>79</v>
      </c>
      <c r="N88" s="1">
        <v>64</v>
      </c>
      <c r="O88" s="1">
        <v>48</v>
      </c>
      <c r="P88" s="92">
        <v>59.758541277161065</v>
      </c>
      <c r="Q88" s="92">
        <v>94.851295372523907</v>
      </c>
      <c r="R88" s="92">
        <v>83.116780174560759</v>
      </c>
      <c r="S88" s="92">
        <v>45.882969358505029</v>
      </c>
      <c r="T88" s="92">
        <v>69.026059254103416</v>
      </c>
      <c r="U88" s="1">
        <v>358</v>
      </c>
      <c r="V88" s="92">
        <v>7.2426381760873468</v>
      </c>
      <c r="W88" s="93">
        <v>16</v>
      </c>
      <c r="X88" s="93">
        <v>21</v>
      </c>
      <c r="Y88" s="93">
        <v>233</v>
      </c>
      <c r="Z88" s="93">
        <v>142</v>
      </c>
      <c r="AA88" s="93">
        <v>200</v>
      </c>
      <c r="AB88" s="92">
        <v>253.67462581109606</v>
      </c>
      <c r="AC88" s="93">
        <v>373</v>
      </c>
      <c r="AD88" s="93">
        <v>22</v>
      </c>
      <c r="AE88" s="8">
        <v>68</v>
      </c>
      <c r="AF88" s="8">
        <v>158</v>
      </c>
      <c r="AG88" s="8">
        <v>13</v>
      </c>
      <c r="AH88" s="99">
        <v>10</v>
      </c>
      <c r="AI88" s="99">
        <v>38</v>
      </c>
      <c r="AJ88" s="95">
        <v>51.424595781580358</v>
      </c>
      <c r="AK88" s="95">
        <v>38.741373576499107</v>
      </c>
      <c r="AL88" s="100">
        <v>31</v>
      </c>
      <c r="AM88" s="97">
        <v>307</v>
      </c>
      <c r="AN88" s="115">
        <v>199.15824050323579</v>
      </c>
    </row>
    <row r="89" spans="1:40" x14ac:dyDescent="0.3">
      <c r="A89" s="91">
        <v>43346</v>
      </c>
      <c r="B89" s="1">
        <v>23</v>
      </c>
      <c r="C89" s="92">
        <v>31.340379811859634</v>
      </c>
      <c r="D89" s="1">
        <v>0</v>
      </c>
      <c r="E89" s="92">
        <v>0.73701260730459683</v>
      </c>
      <c r="F89" s="1">
        <v>1</v>
      </c>
      <c r="G89" s="1">
        <v>25</v>
      </c>
      <c r="H89" s="92">
        <v>17.771052350437195</v>
      </c>
      <c r="I89" s="92">
        <v>15.841877355661124</v>
      </c>
      <c r="J89" s="92">
        <v>23.041880550861148</v>
      </c>
      <c r="K89" s="1">
        <v>7</v>
      </c>
      <c r="L89" s="92">
        <v>51.043773429985393</v>
      </c>
      <c r="M89" s="1">
        <v>21</v>
      </c>
      <c r="N89" s="92">
        <v>73.581167479902248</v>
      </c>
      <c r="O89" s="1">
        <v>3</v>
      </c>
      <c r="P89" s="92">
        <v>40.450366113966062</v>
      </c>
      <c r="Q89" s="92">
        <v>64.204539505216957</v>
      </c>
      <c r="R89" s="92">
        <v>56.261483570747302</v>
      </c>
      <c r="S89" s="92">
        <v>31.058035709750477</v>
      </c>
      <c r="T89" s="92">
        <v>46.72351949297618</v>
      </c>
      <c r="U89" s="1">
        <v>251</v>
      </c>
      <c r="V89" s="92">
        <v>4.9025186967949228</v>
      </c>
      <c r="W89" s="93">
        <v>7</v>
      </c>
      <c r="X89" s="93">
        <v>68</v>
      </c>
      <c r="Y89" s="93">
        <v>175</v>
      </c>
      <c r="Z89" s="93">
        <v>397</v>
      </c>
      <c r="AA89" s="93">
        <v>321</v>
      </c>
      <c r="AB89" s="92">
        <v>250.80150219397359</v>
      </c>
      <c r="AC89" s="93">
        <v>377</v>
      </c>
      <c r="AD89" s="93">
        <v>44</v>
      </c>
      <c r="AE89" s="8">
        <v>12</v>
      </c>
      <c r="AF89" s="8">
        <v>66</v>
      </c>
      <c r="AG89" s="8">
        <v>76</v>
      </c>
      <c r="AH89" s="92">
        <v>109.97264760757267</v>
      </c>
      <c r="AI89" s="92">
        <v>131.9446928794477</v>
      </c>
      <c r="AJ89" s="92">
        <v>53.547164436803975</v>
      </c>
      <c r="AK89" s="92">
        <v>40.340437680217534</v>
      </c>
      <c r="AL89" s="100">
        <v>12</v>
      </c>
      <c r="AM89" s="97">
        <v>244</v>
      </c>
      <c r="AN89" s="115">
        <v>201.2925907804248</v>
      </c>
    </row>
    <row r="90" spans="1:40" x14ac:dyDescent="0.3">
      <c r="A90" s="91">
        <v>43347</v>
      </c>
      <c r="B90" s="1">
        <v>0</v>
      </c>
      <c r="C90" s="92">
        <v>38.483631913661497</v>
      </c>
      <c r="D90" s="92">
        <v>45.942944297005816</v>
      </c>
      <c r="E90" s="92">
        <v>0.90499611254020274</v>
      </c>
      <c r="F90" s="1">
        <v>0</v>
      </c>
      <c r="G90" s="1">
        <v>18</v>
      </c>
      <c r="H90" s="92">
        <v>21.821517208115438</v>
      </c>
      <c r="I90" s="92">
        <v>19.452635246833427</v>
      </c>
      <c r="J90" s="92">
        <v>28.293698258993082</v>
      </c>
      <c r="K90" s="1">
        <v>12</v>
      </c>
      <c r="L90" s="92">
        <v>62.677919028390605</v>
      </c>
      <c r="M90" s="1">
        <v>253</v>
      </c>
      <c r="N90" s="92">
        <v>90.35214576459795</v>
      </c>
      <c r="O90" s="92">
        <v>20.500188809471425</v>
      </c>
      <c r="P90" s="92">
        <v>49.670010690717781</v>
      </c>
      <c r="Q90" s="92">
        <v>78.838351045641602</v>
      </c>
      <c r="R90" s="92">
        <v>69.084875092668256</v>
      </c>
      <c r="S90" s="92">
        <v>38.136934567925671</v>
      </c>
      <c r="T90" s="92">
        <v>57.372971759696881</v>
      </c>
      <c r="U90" s="1">
        <v>57</v>
      </c>
      <c r="V90" s="92">
        <v>6.0199246510174182</v>
      </c>
      <c r="W90" s="93">
        <v>0</v>
      </c>
      <c r="X90" s="93">
        <v>39</v>
      </c>
      <c r="Y90" s="93">
        <v>405</v>
      </c>
      <c r="Z90" s="93">
        <v>683</v>
      </c>
      <c r="AA90" s="93">
        <v>188</v>
      </c>
      <c r="AB90" s="92">
        <v>326.01450910250912</v>
      </c>
      <c r="AC90" s="93">
        <v>287</v>
      </c>
      <c r="AD90" s="93">
        <v>18</v>
      </c>
      <c r="AE90" s="8">
        <v>13</v>
      </c>
      <c r="AF90" s="8">
        <v>24</v>
      </c>
      <c r="AG90" s="8">
        <v>56</v>
      </c>
      <c r="AH90" s="92">
        <v>128.0677814031734</v>
      </c>
      <c r="AI90" s="92">
        <v>153.6551538290546</v>
      </c>
      <c r="AJ90" s="92">
        <v>62.35792896846332</v>
      </c>
      <c r="AK90" s="92">
        <v>46.978139250182238</v>
      </c>
      <c r="AL90" s="100">
        <v>32</v>
      </c>
      <c r="AM90" s="97">
        <v>224</v>
      </c>
      <c r="AN90" s="115">
        <v>231.74194157957334</v>
      </c>
    </row>
    <row r="91" spans="1:40" x14ac:dyDescent="0.3">
      <c r="A91" s="91">
        <v>43348</v>
      </c>
      <c r="B91" s="1">
        <v>4</v>
      </c>
      <c r="C91" s="92">
        <v>24.335237827756725</v>
      </c>
      <c r="D91" s="92">
        <v>29.052155952518607</v>
      </c>
      <c r="E91" s="92">
        <v>0.57227695351807395</v>
      </c>
      <c r="F91" s="1">
        <v>0</v>
      </c>
      <c r="G91" s="1">
        <v>21</v>
      </c>
      <c r="H91" s="92">
        <v>13.798900587484868</v>
      </c>
      <c r="I91" s="92">
        <v>12.300931111968293</v>
      </c>
      <c r="J91" s="92">
        <v>17.891603310834011</v>
      </c>
      <c r="K91" s="1">
        <v>5</v>
      </c>
      <c r="L91" s="92">
        <v>39.634566444423797</v>
      </c>
      <c r="M91" s="1">
        <v>7</v>
      </c>
      <c r="N91" s="92">
        <v>57.134445115848948</v>
      </c>
      <c r="O91" s="92">
        <v>12.963354688342276</v>
      </c>
      <c r="P91" s="92">
        <v>31.408977348542251</v>
      </c>
      <c r="Q91" s="92">
        <v>49.853663161214705</v>
      </c>
      <c r="R91" s="92">
        <v>43.68602395565798</v>
      </c>
      <c r="S91" s="92">
        <v>24.116002741482472</v>
      </c>
      <c r="T91" s="92">
        <v>36.279967436278994</v>
      </c>
      <c r="U91" s="1">
        <v>178</v>
      </c>
      <c r="V91" s="92">
        <v>3.806717058946306</v>
      </c>
      <c r="W91" s="93">
        <v>4</v>
      </c>
      <c r="X91" s="93">
        <v>20</v>
      </c>
      <c r="Y91" s="93">
        <v>354</v>
      </c>
      <c r="Z91" s="93">
        <v>239</v>
      </c>
      <c r="AA91" s="93">
        <v>146</v>
      </c>
      <c r="AB91" s="92">
        <v>196.36615242934113</v>
      </c>
      <c r="AC91" s="93">
        <v>505</v>
      </c>
      <c r="AD91" s="93">
        <v>5</v>
      </c>
      <c r="AE91" s="8">
        <v>17</v>
      </c>
      <c r="AF91" s="8">
        <v>12</v>
      </c>
      <c r="AG91" s="8">
        <v>14</v>
      </c>
      <c r="AH91" s="92">
        <v>90.482494936788299</v>
      </c>
      <c r="AI91" s="92">
        <v>108.56049449785428</v>
      </c>
      <c r="AJ91" s="92">
        <v>44.057146378686632</v>
      </c>
      <c r="AK91" s="92">
        <v>33.191011820870735</v>
      </c>
      <c r="AL91" s="92">
        <v>50.377406245294559</v>
      </c>
      <c r="AM91" s="102">
        <v>256</v>
      </c>
      <c r="AN91" s="115">
        <v>171.69112447772653</v>
      </c>
    </row>
    <row r="92" spans="1:40" x14ac:dyDescent="0.3">
      <c r="A92" s="91">
        <v>43349</v>
      </c>
      <c r="B92" s="1">
        <v>5</v>
      </c>
      <c r="C92" s="92">
        <v>46.293545449085329</v>
      </c>
      <c r="D92" s="92">
        <v>55.266659463167834</v>
      </c>
      <c r="E92" s="92">
        <v>1.0886570883205198</v>
      </c>
      <c r="F92" s="1">
        <v>2</v>
      </c>
      <c r="G92" s="1">
        <v>12</v>
      </c>
      <c r="H92" s="92">
        <v>26.250001582705888</v>
      </c>
      <c r="I92" s="92">
        <v>23.400375929281086</v>
      </c>
      <c r="J92" s="92">
        <v>34.035654670379962</v>
      </c>
      <c r="K92" s="1">
        <v>24</v>
      </c>
      <c r="L92" s="92">
        <v>75.39784965474675</v>
      </c>
      <c r="M92" s="1">
        <v>8</v>
      </c>
      <c r="N92" s="92">
        <v>108.68831652271496</v>
      </c>
      <c r="O92" s="92">
        <v>24.660521244336397</v>
      </c>
      <c r="P92" s="92">
        <v>59.750101095602595</v>
      </c>
      <c r="Q92" s="92">
        <v>94.837898757850994</v>
      </c>
      <c r="R92" s="92">
        <v>83.105040920302585</v>
      </c>
      <c r="S92" s="92">
        <v>45.876488936124822</v>
      </c>
      <c r="T92" s="92">
        <v>69.016310146227113</v>
      </c>
      <c r="U92" s="1">
        <v>358</v>
      </c>
      <c r="V92" s="92">
        <v>7.2416152428440386</v>
      </c>
      <c r="W92" s="93">
        <v>2</v>
      </c>
      <c r="X92" s="93">
        <v>13</v>
      </c>
      <c r="Y92" s="93">
        <v>159</v>
      </c>
      <c r="Z92" s="93">
        <v>95</v>
      </c>
      <c r="AA92" s="93">
        <v>81</v>
      </c>
      <c r="AB92" s="92">
        <v>216.22996998774383</v>
      </c>
      <c r="AC92" s="93">
        <v>236</v>
      </c>
      <c r="AD92" s="93">
        <v>6</v>
      </c>
      <c r="AE92" s="8">
        <v>31</v>
      </c>
      <c r="AF92" s="8">
        <v>80</v>
      </c>
      <c r="AG92" s="94">
        <v>50.430113365437592</v>
      </c>
      <c r="AH92" s="92">
        <v>90.881540532981603</v>
      </c>
      <c r="AI92" s="92">
        <v>109.0392676271546</v>
      </c>
      <c r="AJ92" s="92">
        <v>44.251447056753676</v>
      </c>
      <c r="AK92" s="92">
        <v>33.337390708684218</v>
      </c>
      <c r="AL92" s="92">
        <v>50.599580513337429</v>
      </c>
      <c r="AM92" s="103">
        <v>54</v>
      </c>
      <c r="AN92" s="115">
        <v>159.5642639390874</v>
      </c>
    </row>
    <row r="93" spans="1:40" x14ac:dyDescent="0.3">
      <c r="A93" s="91">
        <v>43350</v>
      </c>
      <c r="B93" s="1">
        <v>0</v>
      </c>
      <c r="C93" s="92">
        <v>3.4156073713052759</v>
      </c>
      <c r="D93" s="92">
        <v>4.0776572115756933</v>
      </c>
      <c r="E93" s="92">
        <v>8.0322756436575493E-2</v>
      </c>
      <c r="F93" s="1">
        <v>0</v>
      </c>
      <c r="G93" s="1">
        <v>11</v>
      </c>
      <c r="H93" s="92">
        <v>1.936764575556531</v>
      </c>
      <c r="I93" s="92">
        <v>1.7265149113134339</v>
      </c>
      <c r="J93" s="92">
        <v>2.5112017636949839</v>
      </c>
      <c r="K93" s="1">
        <v>6</v>
      </c>
      <c r="L93" s="92">
        <v>5.5629666849528761</v>
      </c>
      <c r="M93" s="1">
        <v>3</v>
      </c>
      <c r="N93" s="92">
        <v>8.0191873724313218</v>
      </c>
      <c r="O93" s="92">
        <v>1.8194903269005236</v>
      </c>
      <c r="P93" s="92">
        <v>4.4084522746971091</v>
      </c>
      <c r="Q93" s="92">
        <v>6.9972827299118681</v>
      </c>
      <c r="R93" s="92">
        <v>6.1316148419237608</v>
      </c>
      <c r="S93" s="92">
        <v>3.3848363148743696</v>
      </c>
      <c r="T93" s="92">
        <v>5.0921271073495884</v>
      </c>
      <c r="U93" s="92">
        <v>10.176634805763918</v>
      </c>
      <c r="V93" s="92">
        <v>0.53429725815818863</v>
      </c>
      <c r="W93" s="93">
        <v>0</v>
      </c>
      <c r="X93" s="93">
        <v>26</v>
      </c>
      <c r="Y93" s="93">
        <v>59</v>
      </c>
      <c r="Z93" s="93">
        <v>131</v>
      </c>
      <c r="AA93" s="93">
        <v>290</v>
      </c>
      <c r="AB93" s="92">
        <v>84.536852194147329</v>
      </c>
      <c r="AC93" s="93">
        <v>161</v>
      </c>
      <c r="AD93" s="93">
        <v>6</v>
      </c>
      <c r="AE93" s="8">
        <v>7</v>
      </c>
      <c r="AF93" s="94">
        <v>15.835517550074151</v>
      </c>
      <c r="AG93" s="94">
        <v>20.970732541538482</v>
      </c>
      <c r="AH93" s="92">
        <v>37.79195310726417</v>
      </c>
      <c r="AI93" s="92">
        <v>45.34261704684927</v>
      </c>
      <c r="AJ93" s="92">
        <v>18.401411356796007</v>
      </c>
      <c r="AK93" s="92">
        <v>13.862937390578638</v>
      </c>
      <c r="AL93" s="92">
        <v>21.04120333775187</v>
      </c>
      <c r="AM93" s="102">
        <v>253</v>
      </c>
      <c r="AN93" s="115">
        <v>80.975782746288104</v>
      </c>
    </row>
    <row r="94" spans="1:40" x14ac:dyDescent="0.3">
      <c r="A94" s="91">
        <v>43351</v>
      </c>
      <c r="B94" s="1">
        <v>0</v>
      </c>
      <c r="C94" s="92">
        <v>4.4402895826968676</v>
      </c>
      <c r="D94" s="92">
        <v>5.3009543750484118</v>
      </c>
      <c r="E94" s="92">
        <v>0.10441958336754835</v>
      </c>
      <c r="F94" s="1">
        <v>0</v>
      </c>
      <c r="G94" s="1">
        <v>5</v>
      </c>
      <c r="H94" s="92">
        <v>2.5177939482234941</v>
      </c>
      <c r="I94" s="92">
        <v>2.2444693847074673</v>
      </c>
      <c r="J94" s="92">
        <v>3.2645622928034843</v>
      </c>
      <c r="K94" s="1">
        <v>7</v>
      </c>
      <c r="L94" s="92">
        <v>7.2318566904387485</v>
      </c>
      <c r="M94" s="1">
        <v>14</v>
      </c>
      <c r="N94" s="92">
        <v>10.424943584160719</v>
      </c>
      <c r="O94" s="92">
        <v>2.365337424970682</v>
      </c>
      <c r="P94" s="92">
        <v>5.7309879571062412</v>
      </c>
      <c r="Q94" s="92">
        <v>9.0964675488854247</v>
      </c>
      <c r="R94" s="92">
        <v>7.9710992945008812</v>
      </c>
      <c r="S94" s="92">
        <v>4.4002872093366756</v>
      </c>
      <c r="T94" s="92">
        <v>6.6197652395544582</v>
      </c>
      <c r="U94" s="92">
        <v>13.229625247493072</v>
      </c>
      <c r="V94" s="92">
        <v>0.69458643560961264</v>
      </c>
      <c r="W94" s="93">
        <v>2</v>
      </c>
      <c r="X94" s="92">
        <v>5.5515428208711119</v>
      </c>
      <c r="Y94" s="93">
        <v>129</v>
      </c>
      <c r="Z94" s="93">
        <v>151</v>
      </c>
      <c r="AA94" s="93">
        <v>157</v>
      </c>
      <c r="AB94" s="92">
        <v>79.439864219752295</v>
      </c>
      <c r="AC94" s="93">
        <v>311</v>
      </c>
      <c r="AD94" s="92">
        <v>10.600648339807391</v>
      </c>
      <c r="AE94" s="92">
        <v>13.238994178416865</v>
      </c>
      <c r="AF94" s="92">
        <v>18.071092969698327</v>
      </c>
      <c r="AG94" s="94">
        <v>23.931270714798437</v>
      </c>
      <c r="AH94" s="92">
        <v>43.127223088910299</v>
      </c>
      <c r="AI94" s="92">
        <v>51.743850212329654</v>
      </c>
      <c r="AJ94" s="92">
        <v>20.999226223662035</v>
      </c>
      <c r="AK94" s="92">
        <v>15.820034275822726</v>
      </c>
      <c r="AL94" s="92">
        <v>24.011690208982188</v>
      </c>
      <c r="AM94" s="92">
        <v>58.728526121042449</v>
      </c>
      <c r="AN94" s="115">
        <v>77.819813710774241</v>
      </c>
    </row>
    <row r="95" spans="1:40" x14ac:dyDescent="0.3">
      <c r="A95" s="91">
        <v>43352</v>
      </c>
      <c r="B95" s="1">
        <v>0</v>
      </c>
      <c r="C95" s="92">
        <v>7.3435558483065044</v>
      </c>
      <c r="D95" s="92">
        <v>8.7669630048879252</v>
      </c>
      <c r="E95" s="92">
        <v>0.17269392633864106</v>
      </c>
      <c r="F95" s="1">
        <v>1</v>
      </c>
      <c r="G95" s="1">
        <v>3</v>
      </c>
      <c r="H95" s="92">
        <v>4.1640438374466289</v>
      </c>
      <c r="I95" s="92">
        <v>3.7120070593239598</v>
      </c>
      <c r="J95" s="92">
        <v>5.399083791944328</v>
      </c>
      <c r="K95" s="1">
        <v>3</v>
      </c>
      <c r="L95" s="92">
        <v>11.960378372648922</v>
      </c>
      <c r="M95" s="1">
        <v>36</v>
      </c>
      <c r="N95" s="92">
        <v>17.24125285072763</v>
      </c>
      <c r="O95" s="92">
        <v>3.9119042028361908</v>
      </c>
      <c r="P95" s="92">
        <v>9.478172390598937</v>
      </c>
      <c r="Q95" s="92">
        <v>15.044157869310741</v>
      </c>
      <c r="R95" s="92">
        <v>13.182971910136267</v>
      </c>
      <c r="S95" s="92">
        <v>7.277398076979992</v>
      </c>
      <c r="T95" s="92">
        <v>10.948073280801756</v>
      </c>
      <c r="U95" s="92">
        <v>21.879764832392674</v>
      </c>
      <c r="V95" s="92">
        <v>1.1487391050566698</v>
      </c>
      <c r="W95" s="93">
        <v>1</v>
      </c>
      <c r="X95" s="92">
        <v>9.0686597923859669</v>
      </c>
      <c r="Y95" s="93">
        <v>40</v>
      </c>
      <c r="Z95" s="92">
        <v>31.002940682548562</v>
      </c>
      <c r="AA95" s="93">
        <v>89</v>
      </c>
      <c r="AB95" s="92">
        <v>50.661806931856297</v>
      </c>
      <c r="AC95" s="93">
        <v>257</v>
      </c>
      <c r="AD95" s="92">
        <v>7.4173672693062791</v>
      </c>
      <c r="AE95" s="92">
        <v>9.2634411367847829</v>
      </c>
      <c r="AF95" s="92">
        <v>12.644503332333029</v>
      </c>
      <c r="AG95" s="94">
        <v>16.744921450377017</v>
      </c>
      <c r="AH95" s="92">
        <v>30.176498841414542</v>
      </c>
      <c r="AI95" s="92">
        <v>36.205628931015447</v>
      </c>
      <c r="AJ95" s="92">
        <v>14.69334402779509</v>
      </c>
      <c r="AK95" s="92">
        <v>11.069417685668158</v>
      </c>
      <c r="AL95" s="92">
        <v>16.801191680641537</v>
      </c>
      <c r="AM95" s="92">
        <v>41.092868344263053</v>
      </c>
      <c r="AN95" s="115">
        <v>54.4512108612671</v>
      </c>
    </row>
    <row r="96" spans="1:40" x14ac:dyDescent="0.3">
      <c r="A96" s="91">
        <v>43353</v>
      </c>
      <c r="B96" s="1">
        <v>0</v>
      </c>
      <c r="C96" s="92">
        <v>2.3909251599137309</v>
      </c>
      <c r="D96" s="92">
        <v>2.8543600481030285</v>
      </c>
      <c r="E96" s="92">
        <v>5.6225929505603726E-2</v>
      </c>
      <c r="F96" s="1">
        <v>1</v>
      </c>
      <c r="G96" s="1">
        <v>5</v>
      </c>
      <c r="H96" s="92">
        <v>1.3557352028895926</v>
      </c>
      <c r="I96" s="92">
        <v>1.2085604379194217</v>
      </c>
      <c r="J96" s="92">
        <v>1.7578412345865162</v>
      </c>
      <c r="K96" s="1">
        <v>1</v>
      </c>
      <c r="L96" s="92">
        <v>3.8940766794670711</v>
      </c>
      <c r="M96" s="1">
        <v>7</v>
      </c>
      <c r="N96" s="92">
        <v>5.6134311607019916</v>
      </c>
      <c r="O96" s="92">
        <v>1.2736432288303816</v>
      </c>
      <c r="P96" s="92">
        <v>3.0859165922880121</v>
      </c>
      <c r="Q96" s="92">
        <v>4.898097910938362</v>
      </c>
      <c r="R96" s="92">
        <v>4.2921303893466778</v>
      </c>
      <c r="S96" s="92">
        <v>2.3693854204120828</v>
      </c>
      <c r="T96" s="92">
        <v>3.5644889751447453</v>
      </c>
      <c r="U96" s="92">
        <v>7.1236443640348037</v>
      </c>
      <c r="V96" s="92">
        <v>0.37400808071715447</v>
      </c>
      <c r="W96" s="93">
        <v>0</v>
      </c>
      <c r="X96" s="92">
        <v>2.9366812449097579</v>
      </c>
      <c r="Y96" s="93">
        <v>55</v>
      </c>
      <c r="Z96" s="92">
        <v>15.593837509380272</v>
      </c>
      <c r="AA96" s="93">
        <v>96</v>
      </c>
      <c r="AB96" s="92">
        <v>32.799656741963247</v>
      </c>
      <c r="AC96" s="92">
        <v>21.120689650388247</v>
      </c>
      <c r="AD96" s="92">
        <v>3.1754316438107479</v>
      </c>
      <c r="AE96" s="92">
        <v>3.9657499797843085</v>
      </c>
      <c r="AF96" s="92">
        <v>5.4132085576489537</v>
      </c>
      <c r="AG96" s="94">
        <v>7.1686289061707456</v>
      </c>
      <c r="AH96" s="92">
        <v>12.918789886406023</v>
      </c>
      <c r="AI96" s="92">
        <v>15.499906577067444</v>
      </c>
      <c r="AJ96" s="92">
        <v>6.2903329250137228</v>
      </c>
      <c r="AK96" s="92">
        <v>4.7389023490562874</v>
      </c>
      <c r="AL96" s="92">
        <v>7.1927186219964447</v>
      </c>
      <c r="AM96" s="92">
        <v>17.592171138167284</v>
      </c>
      <c r="AN96" s="115">
        <v>23.31097970884997</v>
      </c>
    </row>
    <row r="97" spans="1:40" x14ac:dyDescent="0.3">
      <c r="A97" s="91">
        <v>43354</v>
      </c>
      <c r="B97" s="1">
        <v>2</v>
      </c>
      <c r="C97" s="92">
        <v>5.2941914255233611</v>
      </c>
      <c r="D97" s="92">
        <v>6.320368677942537</v>
      </c>
      <c r="E97" s="92">
        <v>0.12450027247669629</v>
      </c>
      <c r="F97" s="1">
        <v>1</v>
      </c>
      <c r="G97" s="1">
        <v>4</v>
      </c>
      <c r="H97" s="92">
        <v>3.0019850921127231</v>
      </c>
      <c r="I97" s="92">
        <v>2.6760981125359105</v>
      </c>
      <c r="J97" s="92">
        <v>3.8923627337273548</v>
      </c>
      <c r="K97" s="1">
        <v>7</v>
      </c>
      <c r="L97" s="92">
        <v>8.6225983616772339</v>
      </c>
      <c r="M97" s="1">
        <v>17</v>
      </c>
      <c r="N97" s="92">
        <v>12.429740427268891</v>
      </c>
      <c r="O97" s="92">
        <v>2.8202100066958895</v>
      </c>
      <c r="P97" s="92">
        <v>6.8331010257807003</v>
      </c>
      <c r="Q97" s="92">
        <v>10.845788231363674</v>
      </c>
      <c r="R97" s="92">
        <v>9.5040030049820583</v>
      </c>
      <c r="S97" s="92">
        <v>5.2464962880554005</v>
      </c>
      <c r="T97" s="92">
        <v>7.8927970163920431</v>
      </c>
      <c r="U97" s="92">
        <v>15.773783948934406</v>
      </c>
      <c r="V97" s="92">
        <v>0.82816075016420354</v>
      </c>
      <c r="W97" s="93">
        <v>0</v>
      </c>
      <c r="X97" s="92">
        <v>6.5026513280175156</v>
      </c>
      <c r="Y97" s="93">
        <v>169</v>
      </c>
      <c r="Z97" s="92">
        <v>40.766036600435903</v>
      </c>
      <c r="AA97" s="93">
        <v>36</v>
      </c>
      <c r="AB97" s="92">
        <v>55.042671170022842</v>
      </c>
      <c r="AC97" s="92">
        <v>35.443638464156933</v>
      </c>
      <c r="AD97" s="92">
        <v>5.3288435689310605</v>
      </c>
      <c r="AE97" s="92">
        <v>6.6551145274810644</v>
      </c>
      <c r="AF97" s="92">
        <v>9.0841639276715309</v>
      </c>
      <c r="AG97" s="94">
        <v>12.030018689801677</v>
      </c>
      <c r="AH97" s="92">
        <v>21.679638577675107</v>
      </c>
      <c r="AI97" s="92">
        <v>26.011133823925263</v>
      </c>
      <c r="AJ97" s="92">
        <v>10.55610823821236</v>
      </c>
      <c r="AK97" s="92">
        <v>7.9525784601869027</v>
      </c>
      <c r="AL97" s="92">
        <v>12.070444792954238</v>
      </c>
      <c r="AM97" s="92">
        <v>29.522262953820398</v>
      </c>
      <c r="AN97" s="115">
        <v>39.119268865150069</v>
      </c>
    </row>
    <row r="98" spans="1:40" x14ac:dyDescent="0.3">
      <c r="A98" s="91">
        <v>43355</v>
      </c>
      <c r="B98" s="1">
        <v>1</v>
      </c>
      <c r="C98" s="92">
        <v>6.3188736369150824</v>
      </c>
      <c r="D98" s="92">
        <v>7.5436658414154056</v>
      </c>
      <c r="E98" s="92">
        <v>0.14859709940767213</v>
      </c>
      <c r="F98" s="1">
        <v>0</v>
      </c>
      <c r="G98" s="1">
        <v>2</v>
      </c>
      <c r="H98" s="92">
        <v>3.5830144647797577</v>
      </c>
      <c r="I98" s="92">
        <v>3.1940525859300082</v>
      </c>
      <c r="J98" s="92">
        <v>4.6457232628359497</v>
      </c>
      <c r="K98" s="1">
        <v>2</v>
      </c>
      <c r="L98" s="92">
        <v>10.291488367163311</v>
      </c>
      <c r="M98" s="1">
        <v>32</v>
      </c>
      <c r="N98" s="92">
        <v>14.835496638998556</v>
      </c>
      <c r="O98" s="92">
        <v>3.366057104766107</v>
      </c>
      <c r="P98" s="92">
        <v>8.1556367081899772</v>
      </c>
      <c r="Q98" s="92">
        <v>12.944973050337451</v>
      </c>
      <c r="R98" s="92">
        <v>11.343487457559364</v>
      </c>
      <c r="S98" s="92">
        <v>6.2619471825178099</v>
      </c>
      <c r="T98" s="92">
        <v>9.4204351485970665</v>
      </c>
      <c r="U98" s="92">
        <v>18.826774390663861</v>
      </c>
      <c r="V98" s="92">
        <v>0.98844992762175277</v>
      </c>
      <c r="W98" s="92">
        <v>1.1953837165193686</v>
      </c>
      <c r="X98" s="92">
        <v>7.8196272185122453</v>
      </c>
      <c r="Y98" s="93">
        <v>60</v>
      </c>
      <c r="Z98" s="92">
        <v>30.102555370006026</v>
      </c>
      <c r="AA98" s="92">
        <v>25.579402787700221</v>
      </c>
      <c r="AB98" s="92">
        <v>40.501370137926656</v>
      </c>
      <c r="AC98" s="92">
        <v>26.080055527056444</v>
      </c>
      <c r="AD98" s="92">
        <v>3.9210572680059061</v>
      </c>
      <c r="AE98" s="92">
        <v>4.8969508757164091</v>
      </c>
      <c r="AF98" s="92">
        <v>6.684288349536895</v>
      </c>
      <c r="AG98" s="94">
        <v>8.8519003414308415</v>
      </c>
      <c r="AH98" s="92">
        <v>15.952261178997844</v>
      </c>
      <c r="AI98" s="92">
        <v>19.139451925565989</v>
      </c>
      <c r="AJ98" s="92">
        <v>7.7673709848295447</v>
      </c>
      <c r="AK98" s="92">
        <v>5.8516477656560726</v>
      </c>
      <c r="AL98" s="92">
        <v>8.8816465825233841</v>
      </c>
      <c r="AM98" s="92">
        <v>21.723002786540729</v>
      </c>
      <c r="AN98" s="115">
        <v>28.78464933038164</v>
      </c>
    </row>
    <row r="99" spans="1:40" x14ac:dyDescent="0.3">
      <c r="A99" s="91">
        <v>43356</v>
      </c>
      <c r="B99" s="1">
        <v>0</v>
      </c>
      <c r="C99" s="92">
        <v>12.637747273830483</v>
      </c>
      <c r="D99" s="92">
        <v>15.087331682831177</v>
      </c>
      <c r="E99" s="92">
        <v>0.29719419881535158</v>
      </c>
      <c r="F99" s="1">
        <v>0</v>
      </c>
      <c r="G99" s="1">
        <v>8</v>
      </c>
      <c r="H99" s="92">
        <v>7.1660289295596886</v>
      </c>
      <c r="I99" s="92">
        <v>6.3881051718601674</v>
      </c>
      <c r="J99" s="92">
        <v>9.2914465256721126</v>
      </c>
      <c r="K99" s="1">
        <v>3</v>
      </c>
      <c r="L99" s="92">
        <v>20.582976734327062</v>
      </c>
      <c r="M99" s="1">
        <v>63</v>
      </c>
      <c r="N99" s="92">
        <v>29.67099327799767</v>
      </c>
      <c r="O99" s="92">
        <v>6.7321142095323392</v>
      </c>
      <c r="P99" s="92">
        <v>16.311273416380239</v>
      </c>
      <c r="Q99" s="92">
        <v>25.889946100675328</v>
      </c>
      <c r="R99" s="92">
        <v>22.686974915119091</v>
      </c>
      <c r="S99" s="92">
        <v>12.523894365035803</v>
      </c>
      <c r="T99" s="92">
        <v>18.840870297194389</v>
      </c>
      <c r="U99" s="92">
        <v>37.653548781328169</v>
      </c>
      <c r="V99" s="92">
        <v>1.9768998552664379</v>
      </c>
      <c r="W99" s="92">
        <v>2.3907674333194779</v>
      </c>
      <c r="X99" s="92">
        <v>15.639254437047217</v>
      </c>
      <c r="Y99" s="93">
        <v>5</v>
      </c>
      <c r="Z99" s="92">
        <v>45.014054452992895</v>
      </c>
      <c r="AA99" s="92">
        <v>38.250328449881003</v>
      </c>
      <c r="AB99" s="92">
        <v>60.563990612027219</v>
      </c>
      <c r="AC99" s="92">
        <v>38.998982817686247</v>
      </c>
      <c r="AD99" s="92">
        <v>5.8633788137797769</v>
      </c>
      <c r="AE99" s="92">
        <v>7.3226877474626058</v>
      </c>
      <c r="AF99" s="92">
        <v>9.9953946118692443</v>
      </c>
      <c r="AG99" s="94">
        <v>13.236747481682656</v>
      </c>
      <c r="AH99" s="92">
        <v>23.854318829154867</v>
      </c>
      <c r="AI99" s="92">
        <v>28.620305505574869</v>
      </c>
      <c r="AJ99" s="92">
        <v>11.614989364677861</v>
      </c>
      <c r="AK99" s="92">
        <v>8.7503000302885816</v>
      </c>
      <c r="AL99" s="92">
        <v>13.281228719232349</v>
      </c>
      <c r="AM99" s="92">
        <v>32.483635302967528</v>
      </c>
      <c r="AN99" s="115">
        <v>43.04331497629002</v>
      </c>
    </row>
    <row r="100" spans="1:40" x14ac:dyDescent="0.3">
      <c r="A100" s="91">
        <v>43357</v>
      </c>
      <c r="B100" s="1">
        <v>0</v>
      </c>
      <c r="C100" s="92">
        <v>0</v>
      </c>
      <c r="D100" s="92">
        <v>0</v>
      </c>
      <c r="E100" s="92">
        <v>0</v>
      </c>
      <c r="F100" s="1">
        <v>0</v>
      </c>
      <c r="G100" s="1">
        <v>0</v>
      </c>
      <c r="H100" s="92">
        <v>0</v>
      </c>
      <c r="I100" s="92">
        <v>0</v>
      </c>
      <c r="J100" s="92">
        <v>0</v>
      </c>
      <c r="K100" s="1">
        <v>0</v>
      </c>
      <c r="L100" s="92">
        <v>0</v>
      </c>
      <c r="M100" s="92">
        <v>0</v>
      </c>
      <c r="N100" s="92">
        <v>0</v>
      </c>
      <c r="O100" s="92">
        <v>0</v>
      </c>
      <c r="P100" s="92">
        <v>0</v>
      </c>
      <c r="Q100" s="92">
        <v>0</v>
      </c>
      <c r="R100" s="92">
        <v>0</v>
      </c>
      <c r="S100" s="92">
        <v>0</v>
      </c>
      <c r="T100" s="92">
        <v>0</v>
      </c>
      <c r="U100" s="92">
        <v>0</v>
      </c>
      <c r="V100" s="92">
        <v>0</v>
      </c>
      <c r="W100" s="92">
        <v>0</v>
      </c>
      <c r="X100" s="92">
        <v>0</v>
      </c>
      <c r="Y100" s="93">
        <v>0</v>
      </c>
      <c r="Z100" s="92">
        <v>0</v>
      </c>
      <c r="AA100" s="92">
        <v>0</v>
      </c>
      <c r="AB100" s="92">
        <v>0</v>
      </c>
      <c r="AC100" s="92">
        <v>0</v>
      </c>
      <c r="AD100" s="92">
        <v>0</v>
      </c>
      <c r="AE100" s="92">
        <v>0</v>
      </c>
      <c r="AF100" s="92">
        <v>0</v>
      </c>
      <c r="AG100" s="94">
        <v>0</v>
      </c>
      <c r="AH100" s="92">
        <v>0</v>
      </c>
      <c r="AI100" s="92">
        <v>0</v>
      </c>
      <c r="AJ100" s="92">
        <v>0</v>
      </c>
      <c r="AK100" s="92">
        <v>0</v>
      </c>
      <c r="AL100" s="92">
        <v>0</v>
      </c>
      <c r="AM100" s="92">
        <v>0</v>
      </c>
      <c r="AN100" s="115">
        <v>0</v>
      </c>
    </row>
    <row r="101" spans="1:40" x14ac:dyDescent="0.3">
      <c r="A101" s="91">
        <v>43358</v>
      </c>
      <c r="B101" s="1">
        <v>0</v>
      </c>
      <c r="C101" s="92">
        <v>3.3651275704788657</v>
      </c>
      <c r="D101" s="92">
        <v>4.0173928716023291</v>
      </c>
      <c r="E101" s="92">
        <v>7.913565373266708E-2</v>
      </c>
      <c r="F101" s="1">
        <v>0</v>
      </c>
      <c r="G101" s="1">
        <v>3</v>
      </c>
      <c r="H101" s="92">
        <v>1.9081408259957584</v>
      </c>
      <c r="I101" s="92">
        <v>1.7009984747500311</v>
      </c>
      <c r="J101" s="92">
        <v>2.4740883162095768</v>
      </c>
      <c r="K101" s="1">
        <v>4</v>
      </c>
      <c r="L101" s="92">
        <v>5.4807507217207849</v>
      </c>
      <c r="M101" s="92">
        <v>12.704416843636121</v>
      </c>
      <c r="N101" s="92">
        <v>7.9006705358721216</v>
      </c>
      <c r="O101" s="92">
        <v>1.7925997920293801</v>
      </c>
      <c r="P101" s="92">
        <v>4.3432990623692778</v>
      </c>
      <c r="Q101" s="92">
        <v>6.8938687835040824</v>
      </c>
      <c r="R101" s="92">
        <v>6.0409947379551614</v>
      </c>
      <c r="S101" s="92">
        <v>3.3348112844978535</v>
      </c>
      <c r="T101" s="92">
        <v>5.0168697567801592</v>
      </c>
      <c r="U101" s="92">
        <v>10.026232713140365</v>
      </c>
      <c r="V101" s="92">
        <v>0.52640079464071754</v>
      </c>
      <c r="W101" s="92">
        <v>0.6366037578307836</v>
      </c>
      <c r="X101" s="92">
        <v>4.1643566017247586</v>
      </c>
      <c r="Y101" s="93">
        <v>16</v>
      </c>
      <c r="Z101" s="92">
        <v>13.923826178277022</v>
      </c>
      <c r="AA101" s="92">
        <v>11.831658602615589</v>
      </c>
      <c r="AB101" s="92">
        <v>18.733759671140405</v>
      </c>
      <c r="AC101" s="92">
        <v>12.06323368295967</v>
      </c>
      <c r="AD101" s="92">
        <v>1.8136706060863779</v>
      </c>
      <c r="AE101" s="92">
        <v>2.2650666018121579</v>
      </c>
      <c r="AF101" s="92">
        <v>3.0917929711161576</v>
      </c>
      <c r="AG101" s="94">
        <v>4.0944139189575326</v>
      </c>
      <c r="AH101" s="92">
        <v>7.3786596878515587</v>
      </c>
      <c r="AI101" s="92">
        <v>8.8528830355811223</v>
      </c>
      <c r="AJ101" s="92">
        <v>3.5927688572373722</v>
      </c>
      <c r="AK101" s="92">
        <v>2.7066581340050302</v>
      </c>
      <c r="AL101" s="92">
        <v>4.1081729332777126</v>
      </c>
      <c r="AM101" s="92">
        <v>10.047894976228129</v>
      </c>
      <c r="AN101" s="115">
        <v>13.314233591058592</v>
      </c>
    </row>
    <row r="102" spans="1:40" x14ac:dyDescent="0.3">
      <c r="A102" s="91">
        <v>43359</v>
      </c>
      <c r="B102" s="1">
        <v>0</v>
      </c>
      <c r="C102" s="92">
        <v>0.96146502013679624</v>
      </c>
      <c r="D102" s="92">
        <v>1.1478265347434964</v>
      </c>
      <c r="E102" s="92">
        <v>2.2610186780761512E-2</v>
      </c>
      <c r="F102" s="1">
        <v>0</v>
      </c>
      <c r="G102" s="1">
        <v>2</v>
      </c>
      <c r="H102" s="92">
        <v>0.54518309314163305</v>
      </c>
      <c r="I102" s="92">
        <v>0.48599956421428375</v>
      </c>
      <c r="J102" s="92">
        <v>0.7068823760598637</v>
      </c>
      <c r="K102" s="1">
        <v>0</v>
      </c>
      <c r="L102" s="92">
        <v>1.5659287776344772</v>
      </c>
      <c r="M102" s="92">
        <v>3.6298333838959653</v>
      </c>
      <c r="N102" s="92">
        <v>2.2573344388205649</v>
      </c>
      <c r="O102" s="92">
        <v>0.51217136915124251</v>
      </c>
      <c r="P102" s="92">
        <v>1.2409425892483437</v>
      </c>
      <c r="Q102" s="92">
        <v>1.9696767952868484</v>
      </c>
      <c r="R102" s="92">
        <v>1.7259984965585899</v>
      </c>
      <c r="S102" s="92">
        <v>0.95280322414222884</v>
      </c>
      <c r="T102" s="92">
        <v>1.433391359080024</v>
      </c>
      <c r="U102" s="92">
        <v>2.8646379180400658</v>
      </c>
      <c r="V102" s="92">
        <v>0.15040022704032996</v>
      </c>
      <c r="W102" s="92">
        <v>0.18188678795232185</v>
      </c>
      <c r="X102" s="92">
        <v>1.1898161719214164</v>
      </c>
      <c r="Y102" s="92">
        <v>3.4667549475811614</v>
      </c>
      <c r="Z102" s="92">
        <v>3.8323129274693875</v>
      </c>
      <c r="AA102" s="92">
        <v>3.2564768933352464</v>
      </c>
      <c r="AB102" s="92">
        <v>5.1561710444107423</v>
      </c>
      <c r="AC102" s="92">
        <v>3.3202142714501046</v>
      </c>
      <c r="AD102" s="92">
        <v>0.49918414815832202</v>
      </c>
      <c r="AE102" s="92">
        <v>0.62342375641326342</v>
      </c>
      <c r="AF102" s="92">
        <v>0.85096711353360177</v>
      </c>
      <c r="AG102" s="94">
        <v>1.1269226713357137</v>
      </c>
      <c r="AH102" s="92">
        <v>2.0308593735018321</v>
      </c>
      <c r="AI102" s="92">
        <v>2.4366160327093094</v>
      </c>
      <c r="AJ102" s="92">
        <v>0.98885280243505524</v>
      </c>
      <c r="AK102" s="92">
        <v>0.74496484115657291</v>
      </c>
      <c r="AL102" s="92">
        <v>1.1307096224059958</v>
      </c>
      <c r="AM102" s="92">
        <v>2.7655241683025542</v>
      </c>
      <c r="AN102" s="115">
        <v>3.6645322095434913</v>
      </c>
    </row>
    <row r="103" spans="1:40" x14ac:dyDescent="0.3">
      <c r="A103" s="91">
        <v>43360</v>
      </c>
      <c r="B103" s="1">
        <v>1</v>
      </c>
      <c r="C103" s="92">
        <v>1.9229300402736151</v>
      </c>
      <c r="D103" s="92">
        <v>2.295653069487019</v>
      </c>
      <c r="E103" s="92">
        <v>4.522037356152353E-2</v>
      </c>
      <c r="F103" s="1">
        <v>0</v>
      </c>
      <c r="G103" s="1">
        <v>3</v>
      </c>
      <c r="H103" s="92">
        <v>1.0903661862832781</v>
      </c>
      <c r="I103" s="92">
        <v>0.97199912842857783</v>
      </c>
      <c r="J103" s="92">
        <v>1.4137647521197425</v>
      </c>
      <c r="K103" s="1">
        <v>0</v>
      </c>
      <c r="L103" s="92">
        <v>3.1318575552689865</v>
      </c>
      <c r="M103" s="92">
        <v>7.2596667677919928</v>
      </c>
      <c r="N103" s="92">
        <v>4.5146688776411654</v>
      </c>
      <c r="O103" s="92">
        <v>1.024342738302493</v>
      </c>
      <c r="P103" s="92">
        <v>2.4818851784967051</v>
      </c>
      <c r="Q103" s="92">
        <v>3.939353590573722</v>
      </c>
      <c r="R103" s="92">
        <v>3.4519969931172008</v>
      </c>
      <c r="S103" s="92">
        <v>1.905606448284469</v>
      </c>
      <c r="T103" s="92">
        <v>2.8667827181600636</v>
      </c>
      <c r="U103" s="92">
        <v>5.7292758360801566</v>
      </c>
      <c r="V103" s="92">
        <v>0.30080045408116318</v>
      </c>
      <c r="W103" s="92">
        <v>0.36377357590613563</v>
      </c>
      <c r="X103" s="92">
        <v>2.3796323438430869</v>
      </c>
      <c r="Y103" s="92">
        <v>6.9335098951905456</v>
      </c>
      <c r="Z103" s="92">
        <v>7.6646258549428499</v>
      </c>
      <c r="AA103" s="92">
        <v>6.5129537867005656</v>
      </c>
      <c r="AB103" s="92">
        <v>10.312342088830848</v>
      </c>
      <c r="AC103" s="92">
        <v>6.6404285429061964</v>
      </c>
      <c r="AD103" s="92">
        <v>0.99836829632262225</v>
      </c>
      <c r="AE103" s="92">
        <v>1.2468475128276533</v>
      </c>
      <c r="AF103" s="92">
        <v>1.7019342270688473</v>
      </c>
      <c r="AG103" s="94">
        <v>2.253845342673745</v>
      </c>
      <c r="AH103" s="92">
        <v>4.0617187470082667</v>
      </c>
      <c r="AI103" s="92">
        <v>4.8732320654239825</v>
      </c>
      <c r="AJ103" s="92">
        <v>1.9777056048726827</v>
      </c>
      <c r="AK103" s="92">
        <v>1.4899296823146517</v>
      </c>
      <c r="AL103" s="92">
        <v>2.2614192448142463</v>
      </c>
      <c r="AM103" s="92">
        <v>5.5310483366105379</v>
      </c>
      <c r="AN103" s="115">
        <v>7.3290644190941618</v>
      </c>
    </row>
    <row r="104" spans="1:40" x14ac:dyDescent="0.3">
      <c r="A104" s="91">
        <v>43361</v>
      </c>
      <c r="B104" s="1">
        <v>0</v>
      </c>
      <c r="C104" s="92">
        <v>0</v>
      </c>
      <c r="D104" s="92">
        <v>0</v>
      </c>
      <c r="E104" s="92">
        <v>0</v>
      </c>
      <c r="F104" s="1">
        <v>0</v>
      </c>
      <c r="G104" s="1">
        <v>0</v>
      </c>
      <c r="H104" s="92">
        <v>0</v>
      </c>
      <c r="I104" s="92">
        <v>0</v>
      </c>
      <c r="J104" s="92">
        <v>0</v>
      </c>
      <c r="K104" s="1">
        <v>0</v>
      </c>
      <c r="L104" s="92">
        <v>0</v>
      </c>
      <c r="M104" s="92">
        <v>0</v>
      </c>
      <c r="N104" s="92">
        <v>0</v>
      </c>
      <c r="O104" s="92">
        <v>0</v>
      </c>
      <c r="P104" s="92">
        <v>0</v>
      </c>
      <c r="Q104" s="92">
        <v>0</v>
      </c>
      <c r="R104" s="92">
        <v>0</v>
      </c>
      <c r="S104" s="92">
        <v>0</v>
      </c>
      <c r="T104" s="92">
        <v>0</v>
      </c>
      <c r="U104" s="92">
        <v>0</v>
      </c>
      <c r="V104" s="92">
        <v>0</v>
      </c>
      <c r="W104" s="92">
        <v>0</v>
      </c>
      <c r="X104" s="92">
        <v>0</v>
      </c>
      <c r="Y104" s="92">
        <v>0</v>
      </c>
      <c r="Z104" s="92">
        <v>0</v>
      </c>
      <c r="AA104" s="92">
        <v>0</v>
      </c>
      <c r="AB104" s="92">
        <v>0</v>
      </c>
      <c r="AC104" s="92">
        <v>0</v>
      </c>
      <c r="AD104" s="92">
        <v>0</v>
      </c>
      <c r="AE104" s="92">
        <v>0</v>
      </c>
      <c r="AF104" s="92">
        <v>0</v>
      </c>
      <c r="AG104" s="94">
        <v>0</v>
      </c>
      <c r="AH104" s="92">
        <v>0</v>
      </c>
      <c r="AI104" s="92">
        <v>0</v>
      </c>
      <c r="AJ104" s="92">
        <v>0</v>
      </c>
      <c r="AK104" s="92">
        <v>0</v>
      </c>
      <c r="AL104" s="92">
        <v>0</v>
      </c>
      <c r="AM104" s="92">
        <v>0</v>
      </c>
      <c r="AN104" s="115">
        <v>0</v>
      </c>
    </row>
    <row r="105" spans="1:40" x14ac:dyDescent="0.3">
      <c r="A105" s="91">
        <v>43362</v>
      </c>
      <c r="B105" s="1">
        <v>0</v>
      </c>
      <c r="C105" s="92">
        <v>2.4036625503421112</v>
      </c>
      <c r="D105" s="92">
        <v>2.8695663368588828</v>
      </c>
      <c r="E105" s="92">
        <v>5.6525466951906592E-2</v>
      </c>
      <c r="F105" s="1">
        <v>0</v>
      </c>
      <c r="G105" s="1">
        <v>5</v>
      </c>
      <c r="H105" s="92">
        <v>1.3629577328541496</v>
      </c>
      <c r="I105" s="92">
        <v>1.214998910535769</v>
      </c>
      <c r="J105" s="92">
        <v>1.7672059401497453</v>
      </c>
      <c r="K105" s="1">
        <v>0</v>
      </c>
      <c r="L105" s="92">
        <v>3.9148219440863801</v>
      </c>
      <c r="M105" s="92">
        <v>9.0745834597403228</v>
      </c>
      <c r="N105" s="92">
        <v>5.6433360970516615</v>
      </c>
      <c r="O105" s="92">
        <v>1.2804284228781622</v>
      </c>
      <c r="P105" s="92">
        <v>3.1023564731209929</v>
      </c>
      <c r="Q105" s="92">
        <v>4.924191988217328</v>
      </c>
      <c r="R105" s="92">
        <v>4.3149962413966536</v>
      </c>
      <c r="S105" s="92">
        <v>2.3820080603556697</v>
      </c>
      <c r="T105" s="92">
        <v>3.5834783977002034</v>
      </c>
      <c r="U105" s="92">
        <v>7.1615947951004415</v>
      </c>
      <c r="V105" s="92">
        <v>0.37600056760223266</v>
      </c>
      <c r="W105" s="92">
        <v>0.45471696988353388</v>
      </c>
      <c r="X105" s="92">
        <v>2.9745404298042364</v>
      </c>
      <c r="Y105" s="92">
        <v>8.6668873690042343</v>
      </c>
      <c r="Z105" s="92">
        <v>9.5807823186812158</v>
      </c>
      <c r="AA105" s="92">
        <v>8.1411922333930775</v>
      </c>
      <c r="AB105" s="92">
        <v>12.890427611044423</v>
      </c>
      <c r="AC105" s="92">
        <v>8.3005356786364484</v>
      </c>
      <c r="AD105" s="92">
        <v>1.2479603704075839</v>
      </c>
      <c r="AE105" s="92">
        <v>1.5585593910352655</v>
      </c>
      <c r="AF105" s="92">
        <v>2.1274177838370996</v>
      </c>
      <c r="AG105" s="94">
        <v>2.8173066783437775</v>
      </c>
      <c r="AH105" s="92">
        <v>5.0771484337638384</v>
      </c>
      <c r="AI105" s="92">
        <v>6.0915400817839442</v>
      </c>
      <c r="AJ105" s="92">
        <v>2.4721320060930849</v>
      </c>
      <c r="AK105" s="92">
        <v>1.862412102894331</v>
      </c>
      <c r="AL105" s="92">
        <v>2.8267740560192975</v>
      </c>
      <c r="AM105" s="92">
        <v>6.9138104207666906</v>
      </c>
      <c r="AN105" s="115">
        <v>9.1613305238723441</v>
      </c>
    </row>
    <row r="106" spans="1:40" x14ac:dyDescent="0.3">
      <c r="A106" s="91">
        <v>43363</v>
      </c>
      <c r="B106" s="1">
        <v>0</v>
      </c>
      <c r="C106" s="92">
        <v>0</v>
      </c>
      <c r="D106" s="92">
        <v>0</v>
      </c>
      <c r="E106" s="92">
        <v>0</v>
      </c>
      <c r="F106" s="1">
        <v>0</v>
      </c>
      <c r="G106" s="1">
        <v>0</v>
      </c>
      <c r="H106" s="92">
        <v>0</v>
      </c>
      <c r="I106" s="92">
        <v>0</v>
      </c>
      <c r="J106" s="92">
        <v>0</v>
      </c>
      <c r="K106" s="1">
        <v>0</v>
      </c>
      <c r="L106" s="92">
        <v>0</v>
      </c>
      <c r="M106" s="92">
        <v>0</v>
      </c>
      <c r="N106" s="92">
        <v>0</v>
      </c>
      <c r="O106" s="92">
        <v>0</v>
      </c>
      <c r="P106" s="92">
        <v>0</v>
      </c>
      <c r="Q106" s="92">
        <v>0</v>
      </c>
      <c r="R106" s="92">
        <v>0</v>
      </c>
      <c r="S106" s="92">
        <v>0</v>
      </c>
      <c r="T106" s="92">
        <v>0</v>
      </c>
      <c r="U106" s="92">
        <v>0</v>
      </c>
      <c r="V106" s="92">
        <v>0</v>
      </c>
      <c r="W106" s="92">
        <v>0</v>
      </c>
      <c r="X106" s="92">
        <v>0</v>
      </c>
      <c r="Y106" s="92">
        <v>0</v>
      </c>
      <c r="Z106" s="92">
        <v>0</v>
      </c>
      <c r="AA106" s="92">
        <v>0</v>
      </c>
      <c r="AB106" s="92">
        <v>0</v>
      </c>
      <c r="AC106" s="92">
        <v>0</v>
      </c>
      <c r="AD106" s="92">
        <v>0</v>
      </c>
      <c r="AE106" s="92">
        <v>0</v>
      </c>
      <c r="AF106" s="92">
        <v>0</v>
      </c>
      <c r="AG106" s="94">
        <v>0</v>
      </c>
      <c r="AH106" s="92">
        <v>0</v>
      </c>
      <c r="AI106" s="92">
        <v>0</v>
      </c>
      <c r="AJ106" s="92">
        <v>0</v>
      </c>
      <c r="AK106" s="92">
        <v>0</v>
      </c>
      <c r="AL106" s="92">
        <v>0</v>
      </c>
      <c r="AM106" s="92">
        <v>0</v>
      </c>
      <c r="AN106" s="115">
        <v>0</v>
      </c>
    </row>
    <row r="107" spans="1:40" x14ac:dyDescent="0.3">
      <c r="A107" s="91">
        <v>43364</v>
      </c>
      <c r="B107" s="1">
        <v>0</v>
      </c>
      <c r="C107" s="92">
        <v>0</v>
      </c>
      <c r="D107" s="92">
        <v>0</v>
      </c>
      <c r="E107" s="92">
        <v>0</v>
      </c>
      <c r="F107" s="1">
        <v>0</v>
      </c>
      <c r="G107" s="1">
        <v>0</v>
      </c>
      <c r="H107" s="92">
        <v>0</v>
      </c>
      <c r="I107" s="92">
        <v>0</v>
      </c>
      <c r="J107" s="92">
        <v>0</v>
      </c>
      <c r="K107" s="1">
        <v>0</v>
      </c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0</v>
      </c>
      <c r="R107" s="92">
        <v>0</v>
      </c>
      <c r="S107" s="92">
        <v>0</v>
      </c>
      <c r="T107" s="92">
        <v>0</v>
      </c>
      <c r="U107" s="92">
        <v>0</v>
      </c>
      <c r="V107" s="92">
        <v>0</v>
      </c>
      <c r="W107" s="92">
        <v>0</v>
      </c>
      <c r="X107" s="92">
        <v>0</v>
      </c>
      <c r="Y107" s="92">
        <v>0</v>
      </c>
      <c r="Z107" s="92">
        <v>0</v>
      </c>
      <c r="AA107" s="92">
        <v>0</v>
      </c>
      <c r="AB107" s="92">
        <v>0</v>
      </c>
      <c r="AC107" s="92">
        <v>0</v>
      </c>
      <c r="AD107" s="92">
        <v>0</v>
      </c>
      <c r="AE107" s="92">
        <v>0</v>
      </c>
      <c r="AF107" s="92">
        <v>0</v>
      </c>
      <c r="AG107" s="94">
        <v>0</v>
      </c>
      <c r="AH107" s="92">
        <v>0</v>
      </c>
      <c r="AI107" s="92">
        <v>0</v>
      </c>
      <c r="AJ107" s="92">
        <v>0</v>
      </c>
      <c r="AK107" s="92">
        <v>0</v>
      </c>
      <c r="AL107" s="92">
        <v>0</v>
      </c>
      <c r="AM107" s="92">
        <v>0</v>
      </c>
      <c r="AN107" s="115">
        <v>0</v>
      </c>
    </row>
    <row r="108" spans="1:40" x14ac:dyDescent="0.3">
      <c r="A108" s="91">
        <v>43365</v>
      </c>
      <c r="B108" s="1">
        <v>0</v>
      </c>
      <c r="C108" s="92">
        <v>1.442197530205265</v>
      </c>
      <c r="D108" s="92">
        <v>1.7217398021153278</v>
      </c>
      <c r="E108" s="92">
        <v>3.3915280171143911E-2</v>
      </c>
      <c r="F108" s="1">
        <v>0</v>
      </c>
      <c r="G108" s="1">
        <v>2</v>
      </c>
      <c r="H108" s="92">
        <v>0.81777463971248887</v>
      </c>
      <c r="I108" s="92">
        <v>0.72899934632146091</v>
      </c>
      <c r="J108" s="92">
        <v>1.0603235640898465</v>
      </c>
      <c r="K108" s="1">
        <v>1</v>
      </c>
      <c r="L108" s="92">
        <v>2.3488931664518273</v>
      </c>
      <c r="M108" s="92">
        <v>5.4447500758441976</v>
      </c>
      <c r="N108" s="92">
        <v>3.3860016582310006</v>
      </c>
      <c r="O108" s="92">
        <v>0.76825705372689856</v>
      </c>
      <c r="P108" s="92">
        <v>1.8614138838725991</v>
      </c>
      <c r="Q108" s="92">
        <v>2.9545151929304039</v>
      </c>
      <c r="R108" s="92">
        <v>2.5889977448379984</v>
      </c>
      <c r="S108" s="92">
        <v>1.4292048362134058</v>
      </c>
      <c r="T108" s="92">
        <v>2.1500870386201294</v>
      </c>
      <c r="U108" s="92">
        <v>4.2969568770602802</v>
      </c>
      <c r="V108" s="92">
        <v>0.2256003405616121</v>
      </c>
      <c r="W108" s="92">
        <v>0.27283018193021941</v>
      </c>
      <c r="X108" s="92">
        <v>1.7847242578826303</v>
      </c>
      <c r="Y108" s="92">
        <v>5.2001324214042723</v>
      </c>
      <c r="Z108" s="92">
        <v>5.7484693912090243</v>
      </c>
      <c r="AA108" s="92">
        <v>4.884715340037836</v>
      </c>
      <c r="AB108" s="92">
        <v>7.7342565666273444</v>
      </c>
      <c r="AC108" s="92">
        <v>4.9803214071822888</v>
      </c>
      <c r="AD108" s="92">
        <v>0.748776222245367</v>
      </c>
      <c r="AE108" s="92">
        <v>0.93513563462123894</v>
      </c>
      <c r="AF108" s="92">
        <v>1.2764506703023888</v>
      </c>
      <c r="AG108" s="94">
        <v>1.690384007006515</v>
      </c>
      <c r="AH108" s="92">
        <v>3.0462890602589709</v>
      </c>
      <c r="AI108" s="92">
        <v>3.6549240490710799</v>
      </c>
      <c r="AJ108" s="92">
        <v>1.4832792036563665</v>
      </c>
      <c r="AK108" s="92">
        <v>1.1174472617367497</v>
      </c>
      <c r="AL108" s="92">
        <v>1.6960644336117878</v>
      </c>
      <c r="AM108" s="92">
        <v>4.1482862524604807</v>
      </c>
      <c r="AN108" s="115">
        <v>5.4967983143240211</v>
      </c>
    </row>
    <row r="109" spans="1:40" x14ac:dyDescent="0.3">
      <c r="A109" s="91">
        <v>43366</v>
      </c>
      <c r="B109" s="1">
        <v>0</v>
      </c>
      <c r="C109" s="92">
        <v>0</v>
      </c>
      <c r="D109" s="92">
        <v>0</v>
      </c>
      <c r="E109" s="92">
        <v>0</v>
      </c>
      <c r="F109" s="1">
        <v>0</v>
      </c>
      <c r="G109" s="1">
        <v>0</v>
      </c>
      <c r="H109" s="92">
        <v>0</v>
      </c>
      <c r="I109" s="92">
        <v>0</v>
      </c>
      <c r="J109" s="92">
        <v>0</v>
      </c>
      <c r="K109" s="1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  <c r="AF109" s="92">
        <v>0</v>
      </c>
      <c r="AG109" s="94">
        <v>0</v>
      </c>
      <c r="AH109" s="92">
        <v>0</v>
      </c>
      <c r="AI109" s="92">
        <v>0</v>
      </c>
      <c r="AJ109" s="92">
        <v>0</v>
      </c>
      <c r="AK109" s="92">
        <v>0</v>
      </c>
      <c r="AL109" s="92">
        <v>0</v>
      </c>
      <c r="AM109" s="92">
        <v>0</v>
      </c>
      <c r="AN109" s="115">
        <v>0</v>
      </c>
    </row>
    <row r="110" spans="1:40" x14ac:dyDescent="0.3">
      <c r="A110" s="91">
        <v>43367</v>
      </c>
      <c r="B110" s="1">
        <v>0</v>
      </c>
      <c r="C110" s="92">
        <v>0</v>
      </c>
      <c r="D110" s="92">
        <v>0</v>
      </c>
      <c r="E110" s="92">
        <v>0</v>
      </c>
      <c r="F110" s="1">
        <v>0</v>
      </c>
      <c r="G110" s="1">
        <v>0</v>
      </c>
      <c r="H110" s="92">
        <v>0</v>
      </c>
      <c r="I110" s="92">
        <v>0</v>
      </c>
      <c r="J110" s="92">
        <v>0</v>
      </c>
      <c r="K110" s="1">
        <v>0</v>
      </c>
      <c r="L110" s="92">
        <v>0</v>
      </c>
      <c r="M110" s="92">
        <v>0</v>
      </c>
      <c r="N110" s="92">
        <v>0</v>
      </c>
      <c r="O110" s="92">
        <v>0</v>
      </c>
      <c r="P110" s="92">
        <v>0</v>
      </c>
      <c r="Q110" s="92">
        <v>0</v>
      </c>
      <c r="R110" s="92">
        <v>0</v>
      </c>
      <c r="S110" s="92">
        <v>0</v>
      </c>
      <c r="T110" s="92">
        <v>0</v>
      </c>
      <c r="U110" s="92">
        <v>0</v>
      </c>
      <c r="V110" s="92">
        <v>0</v>
      </c>
      <c r="W110" s="92">
        <v>0</v>
      </c>
      <c r="X110" s="92">
        <v>0</v>
      </c>
      <c r="Y110" s="92">
        <v>0</v>
      </c>
      <c r="Z110" s="92">
        <v>0</v>
      </c>
      <c r="AA110" s="92">
        <v>0</v>
      </c>
      <c r="AB110" s="92">
        <v>0</v>
      </c>
      <c r="AC110" s="92">
        <v>0</v>
      </c>
      <c r="AD110" s="92">
        <v>0</v>
      </c>
      <c r="AE110" s="92">
        <v>0</v>
      </c>
      <c r="AF110" s="92">
        <v>0</v>
      </c>
      <c r="AG110" s="94">
        <v>0</v>
      </c>
      <c r="AH110" s="92">
        <v>0</v>
      </c>
      <c r="AI110" s="92">
        <v>0</v>
      </c>
      <c r="AJ110" s="92">
        <v>0</v>
      </c>
      <c r="AK110" s="92">
        <v>0</v>
      </c>
      <c r="AL110" s="92">
        <v>0</v>
      </c>
      <c r="AM110" s="92">
        <v>0</v>
      </c>
      <c r="AN110" s="115">
        <v>0</v>
      </c>
    </row>
    <row r="111" spans="1:40" x14ac:dyDescent="0.3">
      <c r="A111" s="91">
        <v>43368</v>
      </c>
      <c r="B111" s="1">
        <v>0</v>
      </c>
      <c r="C111" s="92">
        <v>0</v>
      </c>
      <c r="D111" s="92">
        <v>0</v>
      </c>
      <c r="E111" s="92">
        <v>0</v>
      </c>
      <c r="F111" s="1">
        <v>0</v>
      </c>
      <c r="G111" s="1">
        <v>0</v>
      </c>
      <c r="H111" s="92">
        <v>0</v>
      </c>
      <c r="I111" s="92">
        <v>0</v>
      </c>
      <c r="J111" s="92">
        <v>0</v>
      </c>
      <c r="K111" s="1">
        <v>0</v>
      </c>
      <c r="L111" s="92">
        <v>0</v>
      </c>
      <c r="M111" s="92">
        <v>0</v>
      </c>
      <c r="N111" s="92">
        <v>0</v>
      </c>
      <c r="O111" s="92">
        <v>0</v>
      </c>
      <c r="P111" s="92">
        <v>0</v>
      </c>
      <c r="Q111" s="92">
        <v>0</v>
      </c>
      <c r="R111" s="92">
        <v>0</v>
      </c>
      <c r="S111" s="92">
        <v>0</v>
      </c>
      <c r="T111" s="92">
        <v>0</v>
      </c>
      <c r="U111" s="92">
        <v>0</v>
      </c>
      <c r="V111" s="92">
        <v>0</v>
      </c>
      <c r="W111" s="92">
        <v>0</v>
      </c>
      <c r="X111" s="92">
        <v>0</v>
      </c>
      <c r="Y111" s="92">
        <v>0</v>
      </c>
      <c r="Z111" s="92">
        <v>0</v>
      </c>
      <c r="AA111" s="92">
        <v>0</v>
      </c>
      <c r="AB111" s="92">
        <v>0</v>
      </c>
      <c r="AC111" s="92">
        <v>0</v>
      </c>
      <c r="AD111" s="92">
        <v>0</v>
      </c>
      <c r="AE111" s="92">
        <v>0</v>
      </c>
      <c r="AF111" s="92">
        <v>0</v>
      </c>
      <c r="AG111" s="94">
        <v>0</v>
      </c>
      <c r="AH111" s="92">
        <v>0</v>
      </c>
      <c r="AI111" s="92">
        <v>0</v>
      </c>
      <c r="AJ111" s="92">
        <v>0</v>
      </c>
      <c r="AK111" s="92">
        <v>0</v>
      </c>
      <c r="AL111" s="92">
        <v>0</v>
      </c>
      <c r="AM111" s="92">
        <v>0</v>
      </c>
      <c r="AN111" s="115">
        <v>0</v>
      </c>
    </row>
    <row r="112" spans="1:40" x14ac:dyDescent="0.3">
      <c r="A112" s="91">
        <v>43369</v>
      </c>
      <c r="B112" s="1">
        <v>0</v>
      </c>
      <c r="C112" s="92">
        <v>0.96146502013680846</v>
      </c>
      <c r="D112" s="92">
        <v>1.1478265347435104</v>
      </c>
      <c r="E112" s="92">
        <v>2.2610186780761793E-2</v>
      </c>
      <c r="F112" s="1">
        <v>0</v>
      </c>
      <c r="G112" s="1">
        <v>2</v>
      </c>
      <c r="H112" s="92">
        <v>0.54518309314163971</v>
      </c>
      <c r="I112" s="92">
        <v>0.48599956421428975</v>
      </c>
      <c r="J112" s="92">
        <v>0.70688237605987225</v>
      </c>
      <c r="K112" s="1">
        <v>0</v>
      </c>
      <c r="L112" s="92">
        <v>1.5659287776344955</v>
      </c>
      <c r="M112" s="92">
        <v>3.6298333838960013</v>
      </c>
      <c r="N112" s="92">
        <v>2.2573344388205872</v>
      </c>
      <c r="O112" s="92">
        <v>0.5121713691512475</v>
      </c>
      <c r="P112" s="92">
        <v>1.2409425892483554</v>
      </c>
      <c r="Q112" s="92">
        <v>1.9696767952868657</v>
      </c>
      <c r="R112" s="92">
        <v>1.7259984965586044</v>
      </c>
      <c r="S112" s="92">
        <v>0.9528032241422365</v>
      </c>
      <c r="T112" s="92">
        <v>1.4333913590800351</v>
      </c>
      <c r="U112" s="92">
        <v>2.8646379180400849</v>
      </c>
      <c r="V112" s="92">
        <v>0.15040022704118972</v>
      </c>
      <c r="W112" s="92">
        <v>0.18188678795347843</v>
      </c>
      <c r="X112" s="92">
        <v>1.1898161719217495</v>
      </c>
      <c r="Y112" s="92">
        <v>3.4667549476027593</v>
      </c>
      <c r="Z112" s="92">
        <v>3.8323129274725831</v>
      </c>
      <c r="AA112" s="92">
        <v>3.2564768933585437</v>
      </c>
      <c r="AB112" s="92">
        <v>5.1561710444181248</v>
      </c>
      <c r="AC112" s="92">
        <v>3.3202142714547804</v>
      </c>
      <c r="AD112" s="92">
        <v>0.49918414816378542</v>
      </c>
      <c r="AE112" s="92">
        <v>0.62342375641414505</v>
      </c>
      <c r="AF112" s="92">
        <v>0.85096711353491317</v>
      </c>
      <c r="AG112" s="94">
        <v>1.1269226713376941</v>
      </c>
      <c r="AH112" s="92">
        <v>2.0308593735061073</v>
      </c>
      <c r="AI112" s="92">
        <v>2.4366160327141677</v>
      </c>
      <c r="AJ112" s="92">
        <v>0.98885280243772444</v>
      </c>
      <c r="AK112" s="92">
        <v>0.74496484115783834</v>
      </c>
      <c r="AL112" s="92">
        <v>1.1307096224078579</v>
      </c>
      <c r="AM112" s="92">
        <v>2.7655241683069667</v>
      </c>
      <c r="AN112" s="115">
        <v>3.6645322095493182</v>
      </c>
    </row>
    <row r="113" spans="1:40" x14ac:dyDescent="0.3">
      <c r="A113" s="91">
        <v>43370</v>
      </c>
      <c r="B113" s="1">
        <v>0</v>
      </c>
      <c r="C113" s="92">
        <v>0</v>
      </c>
      <c r="D113" s="92">
        <v>0</v>
      </c>
      <c r="E113" s="92">
        <v>0</v>
      </c>
      <c r="F113" s="1">
        <v>0</v>
      </c>
      <c r="G113" s="1">
        <v>0</v>
      </c>
      <c r="H113" s="92">
        <v>0</v>
      </c>
      <c r="I113" s="92">
        <v>0</v>
      </c>
      <c r="J113" s="92">
        <v>0</v>
      </c>
      <c r="K113" s="1">
        <v>0</v>
      </c>
      <c r="L113" s="92">
        <v>0</v>
      </c>
      <c r="M113" s="92">
        <v>0</v>
      </c>
      <c r="N113" s="92">
        <v>0</v>
      </c>
      <c r="O113" s="92">
        <v>0</v>
      </c>
      <c r="P113" s="92">
        <v>0</v>
      </c>
      <c r="Q113" s="92">
        <v>0</v>
      </c>
      <c r="R113" s="92">
        <v>0</v>
      </c>
      <c r="S113" s="92">
        <v>0</v>
      </c>
      <c r="T113" s="92">
        <v>0</v>
      </c>
      <c r="U113" s="92">
        <v>0</v>
      </c>
      <c r="V113" s="92">
        <v>0</v>
      </c>
      <c r="W113" s="92">
        <v>0</v>
      </c>
      <c r="X113" s="92">
        <v>0</v>
      </c>
      <c r="Y113" s="92">
        <v>0</v>
      </c>
      <c r="Z113" s="92">
        <v>0</v>
      </c>
      <c r="AA113" s="92">
        <v>0</v>
      </c>
      <c r="AB113" s="92">
        <v>0</v>
      </c>
      <c r="AC113" s="92">
        <v>0</v>
      </c>
      <c r="AD113" s="92">
        <v>0</v>
      </c>
      <c r="AE113" s="92">
        <v>0</v>
      </c>
      <c r="AF113" s="92">
        <v>0</v>
      </c>
      <c r="AG113" s="94">
        <v>0</v>
      </c>
      <c r="AH113" s="92">
        <v>0</v>
      </c>
      <c r="AI113" s="92">
        <v>0</v>
      </c>
      <c r="AJ113" s="92">
        <v>0</v>
      </c>
      <c r="AK113" s="92">
        <v>0</v>
      </c>
      <c r="AL113" s="92">
        <v>0</v>
      </c>
      <c r="AM113" s="92">
        <v>0</v>
      </c>
      <c r="AN113" s="115">
        <v>0</v>
      </c>
    </row>
    <row r="114" spans="1:40" x14ac:dyDescent="0.3">
      <c r="A114" s="91">
        <v>43371</v>
      </c>
      <c r="B114" s="1">
        <v>0</v>
      </c>
      <c r="C114" s="92">
        <v>0</v>
      </c>
      <c r="D114" s="92">
        <v>0</v>
      </c>
      <c r="E114" s="92">
        <v>0</v>
      </c>
      <c r="F114" s="1">
        <v>0</v>
      </c>
      <c r="G114" s="1">
        <v>0</v>
      </c>
      <c r="H114" s="92">
        <v>0</v>
      </c>
      <c r="I114" s="92">
        <v>0</v>
      </c>
      <c r="J114" s="92">
        <v>0</v>
      </c>
      <c r="K114" s="1">
        <v>0</v>
      </c>
      <c r="L114" s="92">
        <v>0</v>
      </c>
      <c r="M114" s="92">
        <v>0</v>
      </c>
      <c r="N114" s="92">
        <v>0</v>
      </c>
      <c r="O114" s="92">
        <v>0</v>
      </c>
      <c r="P114" s="92">
        <v>0</v>
      </c>
      <c r="Q114" s="92">
        <v>0</v>
      </c>
      <c r="R114" s="92">
        <v>0</v>
      </c>
      <c r="S114" s="92">
        <v>0</v>
      </c>
      <c r="T114" s="92">
        <v>0</v>
      </c>
      <c r="U114" s="92">
        <v>0</v>
      </c>
      <c r="V114" s="92">
        <v>0</v>
      </c>
      <c r="W114" s="92">
        <v>0</v>
      </c>
      <c r="X114" s="92">
        <v>0</v>
      </c>
      <c r="Y114" s="92">
        <v>0</v>
      </c>
      <c r="Z114" s="92">
        <v>0</v>
      </c>
      <c r="AA114" s="92">
        <v>0</v>
      </c>
      <c r="AB114" s="92">
        <v>0</v>
      </c>
      <c r="AC114" s="92">
        <v>0</v>
      </c>
      <c r="AD114" s="92">
        <v>0</v>
      </c>
      <c r="AE114" s="92">
        <v>0</v>
      </c>
      <c r="AF114" s="92">
        <v>0</v>
      </c>
      <c r="AG114" s="94">
        <v>0</v>
      </c>
      <c r="AH114" s="92">
        <v>0</v>
      </c>
      <c r="AI114" s="92">
        <v>0</v>
      </c>
      <c r="AJ114" s="92">
        <v>0</v>
      </c>
      <c r="AK114" s="92">
        <v>0</v>
      </c>
      <c r="AL114" s="92">
        <v>0</v>
      </c>
      <c r="AM114" s="92">
        <v>0</v>
      </c>
      <c r="AN114" s="115">
        <v>0</v>
      </c>
    </row>
    <row r="115" spans="1:40" x14ac:dyDescent="0.3">
      <c r="A115" s="91">
        <v>43372</v>
      </c>
      <c r="B115" s="92">
        <v>0</v>
      </c>
      <c r="C115" s="92">
        <v>0</v>
      </c>
      <c r="D115" s="92">
        <v>0</v>
      </c>
      <c r="E115" s="92">
        <v>0</v>
      </c>
      <c r="F115" s="1">
        <v>0</v>
      </c>
      <c r="G115" s="1">
        <v>0</v>
      </c>
      <c r="H115" s="92">
        <v>0</v>
      </c>
      <c r="I115" s="92">
        <v>0</v>
      </c>
      <c r="J115" s="92">
        <v>0</v>
      </c>
      <c r="K115" s="1">
        <v>0</v>
      </c>
      <c r="L115" s="92">
        <v>0</v>
      </c>
      <c r="M115" s="92">
        <v>0</v>
      </c>
      <c r="N115" s="92">
        <v>0</v>
      </c>
      <c r="O115" s="92">
        <v>0</v>
      </c>
      <c r="P115" s="92">
        <v>0</v>
      </c>
      <c r="Q115" s="92">
        <v>0</v>
      </c>
      <c r="R115" s="92">
        <v>0</v>
      </c>
      <c r="S115" s="92">
        <v>0</v>
      </c>
      <c r="T115" s="92">
        <v>0</v>
      </c>
      <c r="U115" s="92">
        <v>0</v>
      </c>
      <c r="V115" s="92">
        <v>0</v>
      </c>
      <c r="W115" s="92">
        <v>0</v>
      </c>
      <c r="X115" s="92">
        <v>0</v>
      </c>
      <c r="Y115" s="92">
        <v>0</v>
      </c>
      <c r="Z115" s="92">
        <v>0</v>
      </c>
      <c r="AA115" s="92">
        <v>0</v>
      </c>
      <c r="AB115" s="92">
        <v>0</v>
      </c>
      <c r="AC115" s="92">
        <v>0</v>
      </c>
      <c r="AD115" s="92">
        <v>0</v>
      </c>
      <c r="AE115" s="92">
        <v>0</v>
      </c>
      <c r="AF115" s="92">
        <v>0</v>
      </c>
      <c r="AG115" s="94">
        <v>0</v>
      </c>
      <c r="AH115" s="92">
        <v>0</v>
      </c>
      <c r="AI115" s="92">
        <v>0</v>
      </c>
      <c r="AJ115" s="92">
        <v>0</v>
      </c>
      <c r="AK115" s="92">
        <v>0</v>
      </c>
      <c r="AL115" s="92">
        <v>0</v>
      </c>
      <c r="AM115" s="92">
        <v>0</v>
      </c>
      <c r="AN115" s="115">
        <v>0</v>
      </c>
    </row>
    <row r="116" spans="1:40" x14ac:dyDescent="0.3">
      <c r="A116" s="91">
        <v>43373</v>
      </c>
      <c r="B116" s="92">
        <v>0</v>
      </c>
      <c r="C116" s="92">
        <v>0</v>
      </c>
      <c r="D116" s="92">
        <v>0</v>
      </c>
      <c r="E116" s="92">
        <v>0</v>
      </c>
      <c r="F116" s="1">
        <v>0</v>
      </c>
      <c r="G116" s="1">
        <v>0</v>
      </c>
      <c r="H116" s="92">
        <v>0</v>
      </c>
      <c r="I116" s="92">
        <v>0</v>
      </c>
      <c r="J116" s="92">
        <v>0</v>
      </c>
      <c r="K116" s="1">
        <v>0</v>
      </c>
      <c r="L116" s="92">
        <v>0</v>
      </c>
      <c r="M116" s="92">
        <v>0</v>
      </c>
      <c r="N116" s="92">
        <v>0</v>
      </c>
      <c r="O116" s="92">
        <v>0</v>
      </c>
      <c r="P116" s="92">
        <v>0</v>
      </c>
      <c r="Q116" s="92">
        <v>0</v>
      </c>
      <c r="R116" s="92">
        <v>0</v>
      </c>
      <c r="S116" s="92">
        <v>0</v>
      </c>
      <c r="T116" s="92">
        <v>0</v>
      </c>
      <c r="U116" s="92">
        <v>0</v>
      </c>
      <c r="V116" s="92">
        <v>0</v>
      </c>
      <c r="W116" s="92">
        <v>0</v>
      </c>
      <c r="X116" s="92">
        <v>0</v>
      </c>
      <c r="Y116" s="92">
        <v>0</v>
      </c>
      <c r="Z116" s="92">
        <v>0</v>
      </c>
      <c r="AA116" s="92">
        <v>0</v>
      </c>
      <c r="AB116" s="92">
        <v>0</v>
      </c>
      <c r="AC116" s="92">
        <v>0</v>
      </c>
      <c r="AD116" s="92">
        <v>0</v>
      </c>
      <c r="AE116" s="92">
        <v>0</v>
      </c>
      <c r="AF116" s="92">
        <v>0</v>
      </c>
      <c r="AG116" s="94">
        <v>0</v>
      </c>
      <c r="AH116" s="92">
        <v>0</v>
      </c>
      <c r="AI116" s="92">
        <v>0</v>
      </c>
      <c r="AJ116" s="92">
        <v>0</v>
      </c>
      <c r="AK116" s="92">
        <v>0</v>
      </c>
      <c r="AL116" s="92">
        <v>0</v>
      </c>
      <c r="AM116" s="92">
        <v>0</v>
      </c>
      <c r="AN116" s="115">
        <v>0</v>
      </c>
    </row>
    <row r="117" spans="1:40" x14ac:dyDescent="0.3">
      <c r="A117" s="91">
        <v>43374</v>
      </c>
      <c r="B117" s="92">
        <v>0</v>
      </c>
      <c r="C117" s="92">
        <v>0</v>
      </c>
      <c r="D117" s="92">
        <v>0</v>
      </c>
      <c r="E117" s="92">
        <v>0</v>
      </c>
      <c r="F117" s="1">
        <v>0</v>
      </c>
      <c r="G117" s="1">
        <v>0</v>
      </c>
      <c r="H117" s="92">
        <v>0</v>
      </c>
      <c r="I117" s="92">
        <v>0</v>
      </c>
      <c r="J117" s="92">
        <v>0</v>
      </c>
      <c r="K117" s="1">
        <v>0</v>
      </c>
      <c r="L117" s="92">
        <v>0</v>
      </c>
      <c r="M117" s="92">
        <v>0</v>
      </c>
      <c r="N117" s="92">
        <v>0</v>
      </c>
      <c r="O117" s="92">
        <v>0</v>
      </c>
      <c r="P117" s="92">
        <v>0</v>
      </c>
      <c r="Q117" s="92">
        <v>0</v>
      </c>
      <c r="R117" s="92">
        <v>0</v>
      </c>
      <c r="S117" s="92">
        <v>0</v>
      </c>
      <c r="T117" s="92">
        <v>0</v>
      </c>
      <c r="U117" s="92">
        <v>0</v>
      </c>
      <c r="V117" s="92">
        <v>0</v>
      </c>
      <c r="W117" s="92">
        <v>0</v>
      </c>
      <c r="X117" s="92">
        <v>0</v>
      </c>
      <c r="Y117" s="92">
        <v>0</v>
      </c>
      <c r="Z117" s="92">
        <v>0</v>
      </c>
      <c r="AA117" s="92">
        <v>0</v>
      </c>
      <c r="AB117" s="92">
        <v>0</v>
      </c>
      <c r="AC117" s="92">
        <v>0</v>
      </c>
      <c r="AD117" s="92">
        <v>0</v>
      </c>
      <c r="AE117" s="92">
        <v>0</v>
      </c>
      <c r="AF117" s="92">
        <v>0</v>
      </c>
      <c r="AG117" s="94">
        <v>0</v>
      </c>
      <c r="AH117" s="92">
        <v>0</v>
      </c>
      <c r="AI117" s="92">
        <v>0</v>
      </c>
      <c r="AJ117" s="92">
        <v>0</v>
      </c>
      <c r="AK117" s="92">
        <v>0</v>
      </c>
      <c r="AL117" s="92">
        <v>0</v>
      </c>
      <c r="AM117" s="92">
        <v>0</v>
      </c>
      <c r="AN117" s="115">
        <v>0</v>
      </c>
    </row>
    <row r="118" spans="1:40" x14ac:dyDescent="0.3">
      <c r="A118" s="91">
        <v>43375</v>
      </c>
      <c r="B118" s="92">
        <v>0</v>
      </c>
      <c r="C118" s="92">
        <v>0</v>
      </c>
      <c r="D118" s="92">
        <v>0</v>
      </c>
      <c r="E118" s="92">
        <v>0</v>
      </c>
      <c r="F118" s="1">
        <v>0</v>
      </c>
      <c r="G118" s="1">
        <v>0</v>
      </c>
      <c r="H118" s="92">
        <v>0</v>
      </c>
      <c r="I118" s="92">
        <v>0</v>
      </c>
      <c r="J118" s="92">
        <v>0</v>
      </c>
      <c r="K118" s="1">
        <v>0</v>
      </c>
      <c r="L118" s="92">
        <v>0</v>
      </c>
      <c r="M118" s="92">
        <v>0</v>
      </c>
      <c r="N118" s="92">
        <v>0</v>
      </c>
      <c r="O118" s="92">
        <v>0</v>
      </c>
      <c r="P118" s="92">
        <v>0</v>
      </c>
      <c r="Q118" s="92">
        <v>0</v>
      </c>
      <c r="R118" s="92">
        <v>0</v>
      </c>
      <c r="S118" s="92">
        <v>0</v>
      </c>
      <c r="T118" s="92">
        <v>0</v>
      </c>
      <c r="U118" s="92">
        <v>0</v>
      </c>
      <c r="V118" s="92">
        <v>0</v>
      </c>
      <c r="W118" s="92">
        <v>0</v>
      </c>
      <c r="X118" s="92">
        <v>0</v>
      </c>
      <c r="Y118" s="92">
        <v>0</v>
      </c>
      <c r="Z118" s="92">
        <v>0</v>
      </c>
      <c r="AA118" s="92">
        <v>0</v>
      </c>
      <c r="AB118" s="92">
        <v>0</v>
      </c>
      <c r="AC118" s="92">
        <v>0</v>
      </c>
      <c r="AD118" s="92">
        <v>0</v>
      </c>
      <c r="AE118" s="92">
        <v>0</v>
      </c>
      <c r="AF118" s="92">
        <v>0</v>
      </c>
      <c r="AG118" s="94">
        <v>0</v>
      </c>
      <c r="AH118" s="92">
        <v>0</v>
      </c>
      <c r="AI118" s="92">
        <v>0</v>
      </c>
      <c r="AJ118" s="92">
        <v>0</v>
      </c>
      <c r="AK118" s="92">
        <v>0</v>
      </c>
      <c r="AL118" s="92">
        <v>0</v>
      </c>
      <c r="AM118" s="92">
        <v>0</v>
      </c>
      <c r="AN118" s="115">
        <v>0</v>
      </c>
    </row>
    <row r="119" spans="1:40" x14ac:dyDescent="0.3">
      <c r="A119" s="91">
        <v>43376</v>
      </c>
      <c r="B119" s="92">
        <v>0</v>
      </c>
      <c r="C119" s="92">
        <v>0</v>
      </c>
      <c r="D119" s="92">
        <v>0</v>
      </c>
      <c r="E119" s="92">
        <v>0</v>
      </c>
      <c r="F119" s="1">
        <v>0</v>
      </c>
      <c r="G119" s="1">
        <v>0</v>
      </c>
      <c r="H119" s="92">
        <v>0</v>
      </c>
      <c r="I119" s="92">
        <v>0</v>
      </c>
      <c r="J119" s="92">
        <v>0</v>
      </c>
      <c r="K119" s="1">
        <v>0</v>
      </c>
      <c r="L119" s="92">
        <v>0</v>
      </c>
      <c r="M119" s="92">
        <v>0</v>
      </c>
      <c r="N119" s="92">
        <v>0</v>
      </c>
      <c r="O119" s="92">
        <v>0</v>
      </c>
      <c r="P119" s="92">
        <v>0</v>
      </c>
      <c r="Q119" s="92">
        <v>0</v>
      </c>
      <c r="R119" s="92">
        <v>0</v>
      </c>
      <c r="S119" s="92">
        <v>0</v>
      </c>
      <c r="T119" s="92">
        <v>0</v>
      </c>
      <c r="U119" s="92">
        <v>0</v>
      </c>
      <c r="V119" s="92">
        <v>0</v>
      </c>
      <c r="W119" s="92">
        <v>0</v>
      </c>
      <c r="X119" s="92">
        <v>0</v>
      </c>
      <c r="Y119" s="92">
        <v>0</v>
      </c>
      <c r="Z119" s="92">
        <v>0</v>
      </c>
      <c r="AA119" s="92">
        <v>0</v>
      </c>
      <c r="AB119" s="92">
        <v>0</v>
      </c>
      <c r="AC119" s="92">
        <v>0</v>
      </c>
      <c r="AD119" s="92">
        <v>0</v>
      </c>
      <c r="AE119" s="92">
        <v>0</v>
      </c>
      <c r="AF119" s="92">
        <v>0</v>
      </c>
      <c r="AG119" s="94">
        <v>0</v>
      </c>
      <c r="AH119" s="92">
        <v>0</v>
      </c>
      <c r="AI119" s="92">
        <v>0</v>
      </c>
      <c r="AJ119" s="92">
        <v>0</v>
      </c>
      <c r="AK119" s="92">
        <v>0</v>
      </c>
      <c r="AL119" s="92">
        <v>0</v>
      </c>
      <c r="AM119" s="92">
        <v>0</v>
      </c>
      <c r="AN119" s="115">
        <v>0</v>
      </c>
    </row>
    <row r="120" spans="1:40" x14ac:dyDescent="0.3">
      <c r="A120" s="91">
        <v>43377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1">
        <v>0</v>
      </c>
      <c r="H120" s="92">
        <v>0</v>
      </c>
      <c r="I120" s="92">
        <v>0</v>
      </c>
      <c r="J120" s="92">
        <v>0</v>
      </c>
      <c r="K120" s="1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94">
        <v>0</v>
      </c>
      <c r="AH120" s="92">
        <v>0</v>
      </c>
      <c r="AI120" s="92">
        <v>0</v>
      </c>
      <c r="AJ120" s="92">
        <v>0</v>
      </c>
      <c r="AK120" s="92">
        <v>0</v>
      </c>
      <c r="AL120" s="92">
        <v>0</v>
      </c>
      <c r="AM120" s="92">
        <v>0</v>
      </c>
      <c r="AN120" s="115">
        <v>0</v>
      </c>
    </row>
    <row r="121" spans="1:40" x14ac:dyDescent="0.3">
      <c r="A121" s="91">
        <v>43378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1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2">
        <v>0</v>
      </c>
      <c r="O121" s="92">
        <v>0</v>
      </c>
      <c r="P121" s="92">
        <v>0</v>
      </c>
      <c r="Q121" s="92">
        <v>0</v>
      </c>
      <c r="R121" s="92">
        <v>0</v>
      </c>
      <c r="S121" s="92">
        <v>0</v>
      </c>
      <c r="T121" s="92">
        <v>0</v>
      </c>
      <c r="U121" s="92">
        <v>0</v>
      </c>
      <c r="V121" s="92">
        <v>0</v>
      </c>
      <c r="W121" s="92">
        <v>0</v>
      </c>
      <c r="X121" s="92">
        <v>0</v>
      </c>
      <c r="Y121" s="92">
        <v>0</v>
      </c>
      <c r="Z121" s="92">
        <v>0</v>
      </c>
      <c r="AA121" s="92">
        <v>0</v>
      </c>
      <c r="AB121" s="92">
        <v>0</v>
      </c>
      <c r="AC121" s="92">
        <v>0</v>
      </c>
      <c r="AD121" s="92">
        <v>0</v>
      </c>
      <c r="AE121" s="92">
        <v>0</v>
      </c>
      <c r="AF121" s="92">
        <v>0</v>
      </c>
      <c r="AG121" s="94">
        <v>0</v>
      </c>
      <c r="AH121" s="92">
        <v>0</v>
      </c>
      <c r="AI121" s="92">
        <v>0</v>
      </c>
      <c r="AJ121" s="92">
        <v>0</v>
      </c>
      <c r="AK121" s="92">
        <v>0</v>
      </c>
      <c r="AL121" s="92">
        <v>0</v>
      </c>
      <c r="AM121" s="92">
        <v>0</v>
      </c>
      <c r="AN121" s="115">
        <v>0</v>
      </c>
    </row>
    <row r="122" spans="1:40" x14ac:dyDescent="0.3">
      <c r="A122" s="91">
        <v>43379</v>
      </c>
      <c r="B122" s="92">
        <v>1.9819190695367597</v>
      </c>
      <c r="C122" s="92">
        <v>1.6739264395417208</v>
      </c>
      <c r="D122" s="92">
        <v>1.9983851418925731</v>
      </c>
      <c r="E122" s="92">
        <v>3.9364712397900417E-2</v>
      </c>
      <c r="F122" s="92">
        <v>0.21932638090484205</v>
      </c>
      <c r="G122" s="1">
        <v>1</v>
      </c>
      <c r="H122" s="92">
        <v>0.94917292586054114</v>
      </c>
      <c r="I122" s="92">
        <v>0.84613344959976711</v>
      </c>
      <c r="J122" s="92">
        <v>1.2306942444711759</v>
      </c>
      <c r="K122" s="92">
        <v>0.28083326440680534</v>
      </c>
      <c r="L122" s="92">
        <v>2.7263091256603977</v>
      </c>
      <c r="M122" s="92">
        <v>6.3196051092227297</v>
      </c>
      <c r="N122" s="92">
        <v>3.9300606879397892</v>
      </c>
      <c r="O122" s="92">
        <v>0.89169979962143553</v>
      </c>
      <c r="P122" s="92">
        <v>2.160504202590205</v>
      </c>
      <c r="Q122" s="92">
        <v>3.4292447252453391</v>
      </c>
      <c r="R122" s="92">
        <v>3.004996691589267</v>
      </c>
      <c r="S122" s="92">
        <v>1.6588489572760856</v>
      </c>
      <c r="T122" s="92">
        <v>2.4955626065977818</v>
      </c>
      <c r="U122" s="92">
        <v>4.9873924743750582</v>
      </c>
      <c r="V122" s="92">
        <v>0.26184983301615899</v>
      </c>
      <c r="W122" s="92">
        <v>0.31666857151988903</v>
      </c>
      <c r="X122" s="92">
        <v>2.0714939868534947</v>
      </c>
      <c r="Y122" s="92">
        <v>6.0356903842165508</v>
      </c>
      <c r="Z122" s="92">
        <v>6.6721342105964947</v>
      </c>
      <c r="AA122" s="92">
        <v>5.6695920446466861</v>
      </c>
      <c r="AB122" s="92">
        <v>8.9769979310740116</v>
      </c>
      <c r="AC122" s="92">
        <v>5.7805601072598582</v>
      </c>
      <c r="AD122" s="92">
        <v>0.86908968432021594</v>
      </c>
      <c r="AE122" s="92">
        <v>1.085393351636516</v>
      </c>
      <c r="AF122" s="92">
        <v>1.481550932233878</v>
      </c>
      <c r="AG122" s="94">
        <v>1.9619951320333149</v>
      </c>
      <c r="AH122" s="92">
        <v>3.5357671879417851</v>
      </c>
      <c r="AI122" s="92">
        <v>4.2421977269700424</v>
      </c>
      <c r="AJ122" s="92">
        <v>1.7216127015864984</v>
      </c>
      <c r="AK122" s="92">
        <v>1.2969988350244497</v>
      </c>
      <c r="AL122" s="92">
        <v>1.9685882903340766</v>
      </c>
      <c r="AM122" s="92">
        <v>4.8148334342211436</v>
      </c>
      <c r="AN122" s="115">
        <v>6.3800245919094296</v>
      </c>
    </row>
    <row r="123" spans="1:40" x14ac:dyDescent="0.3">
      <c r="A123" s="91">
        <v>43380</v>
      </c>
      <c r="B123" s="92">
        <v>0</v>
      </c>
      <c r="C123" s="92">
        <v>0</v>
      </c>
      <c r="D123" s="92">
        <v>0</v>
      </c>
      <c r="E123" s="92">
        <v>0</v>
      </c>
      <c r="F123" s="92">
        <v>0</v>
      </c>
      <c r="G123" s="1">
        <v>0</v>
      </c>
      <c r="H123" s="92">
        <v>0</v>
      </c>
      <c r="I123" s="92">
        <v>0</v>
      </c>
      <c r="J123" s="92">
        <v>0</v>
      </c>
      <c r="K123" s="92">
        <v>0</v>
      </c>
      <c r="L123" s="92">
        <v>0</v>
      </c>
      <c r="M123" s="92">
        <v>0</v>
      </c>
      <c r="N123" s="92">
        <v>0</v>
      </c>
      <c r="O123" s="92">
        <v>0</v>
      </c>
      <c r="P123" s="92">
        <v>0</v>
      </c>
      <c r="Q123" s="92">
        <v>0</v>
      </c>
      <c r="R123" s="92">
        <v>0</v>
      </c>
      <c r="S123" s="92">
        <v>0</v>
      </c>
      <c r="T123" s="92">
        <v>0</v>
      </c>
      <c r="U123" s="92">
        <v>0</v>
      </c>
      <c r="V123" s="92">
        <v>0</v>
      </c>
      <c r="W123" s="92">
        <v>0</v>
      </c>
      <c r="X123" s="92">
        <v>0</v>
      </c>
      <c r="Y123" s="92">
        <v>0</v>
      </c>
      <c r="Z123" s="92">
        <v>0</v>
      </c>
      <c r="AA123" s="92">
        <v>0</v>
      </c>
      <c r="AB123" s="92">
        <v>0</v>
      </c>
      <c r="AC123" s="92">
        <v>0</v>
      </c>
      <c r="AD123" s="92">
        <v>0</v>
      </c>
      <c r="AE123" s="92">
        <v>0</v>
      </c>
      <c r="AF123" s="92">
        <v>0</v>
      </c>
      <c r="AG123" s="94">
        <v>0</v>
      </c>
      <c r="AH123" s="92">
        <v>0</v>
      </c>
      <c r="AI123" s="92">
        <v>0</v>
      </c>
      <c r="AJ123" s="92">
        <v>0</v>
      </c>
      <c r="AK123" s="92">
        <v>0</v>
      </c>
      <c r="AL123" s="92">
        <v>0</v>
      </c>
      <c r="AM123" s="92">
        <v>0</v>
      </c>
      <c r="AN123" s="116">
        <v>0</v>
      </c>
    </row>
    <row r="124" spans="1:40" x14ac:dyDescent="0.3">
      <c r="A124" s="110" t="s">
        <v>137</v>
      </c>
      <c r="B124" s="104">
        <v>22942</v>
      </c>
      <c r="C124" s="104">
        <v>19148</v>
      </c>
      <c r="D124" s="104">
        <v>22877</v>
      </c>
      <c r="E124" s="104">
        <v>430</v>
      </c>
      <c r="F124" s="104">
        <v>2525</v>
      </c>
      <c r="G124" s="104">
        <v>11545</v>
      </c>
      <c r="H124" s="104">
        <v>10669</v>
      </c>
      <c r="I124" s="104">
        <v>9414</v>
      </c>
      <c r="J124" s="104">
        <v>12990</v>
      </c>
      <c r="K124" s="104">
        <v>1889</v>
      </c>
      <c r="L124" s="104">
        <v>28669</v>
      </c>
      <c r="M124" s="104">
        <v>72517</v>
      </c>
      <c r="N124" s="104">
        <v>45039</v>
      </c>
      <c r="O124" s="104">
        <v>10231</v>
      </c>
      <c r="P124" s="104">
        <v>24707</v>
      </c>
      <c r="Q124" s="104">
        <v>39216</v>
      </c>
      <c r="R124" s="104">
        <v>34216</v>
      </c>
      <c r="S124" s="104">
        <v>18725</v>
      </c>
      <c r="T124" s="104">
        <v>28127</v>
      </c>
      <c r="U124" s="104">
        <v>57469</v>
      </c>
      <c r="V124" s="104">
        <v>2948</v>
      </c>
      <c r="W124" s="104">
        <v>3661</v>
      </c>
      <c r="X124" s="104">
        <v>23918.447414749116</v>
      </c>
      <c r="Y124" s="104">
        <v>69859</v>
      </c>
      <c r="Z124" s="104">
        <v>77049</v>
      </c>
      <c r="AA124" s="104">
        <v>65546</v>
      </c>
      <c r="AB124" s="104">
        <v>101067</v>
      </c>
      <c r="AC124" s="104">
        <v>66708</v>
      </c>
      <c r="AD124" s="104">
        <v>10019.018015609114</v>
      </c>
      <c r="AE124" s="104">
        <v>12503</v>
      </c>
      <c r="AF124" s="104">
        <v>17066.276062329005</v>
      </c>
      <c r="AG124" s="104">
        <v>21645</v>
      </c>
      <c r="AH124" s="104">
        <v>40272</v>
      </c>
      <c r="AI124" s="104">
        <v>48355</v>
      </c>
      <c r="AJ124" s="104">
        <v>18694</v>
      </c>
      <c r="AK124" s="104">
        <v>12540</v>
      </c>
      <c r="AL124" s="104">
        <v>22553</v>
      </c>
      <c r="AM124" s="104">
        <v>55397</v>
      </c>
      <c r="AN124" s="105">
        <f>SUM(AN10:AN87)</f>
        <v>72409</v>
      </c>
    </row>
    <row r="125" spans="1:40" x14ac:dyDescent="0.3">
      <c r="A125" s="111" t="s">
        <v>130</v>
      </c>
      <c r="B125" s="105">
        <f>SUM(B4:B123)</f>
        <v>22950.501812255519</v>
      </c>
      <c r="C125" s="105">
        <f t="shared" ref="C125:AN125" si="0">SUM(C4:C123)</f>
        <v>19383.964046157831</v>
      </c>
      <c r="D125" s="105">
        <f t="shared" si="0"/>
        <v>23141.172912795402</v>
      </c>
      <c r="E125" s="105">
        <f t="shared" si="0"/>
        <v>455.8408662342689</v>
      </c>
      <c r="F125" s="105">
        <f t="shared" si="0"/>
        <v>2539.7855103785087</v>
      </c>
      <c r="G125" s="105">
        <f t="shared" si="0"/>
        <v>11579.406940083547</v>
      </c>
      <c r="H125" s="105">
        <f t="shared" si="0"/>
        <v>10991.361364818644</v>
      </c>
      <c r="I125" s="105">
        <f t="shared" si="0"/>
        <v>9798.1703772778565</v>
      </c>
      <c r="J125" s="105">
        <f t="shared" si="0"/>
        <v>14251.358370057878</v>
      </c>
      <c r="K125" s="105">
        <f t="shared" si="0"/>
        <v>3252.0306691668725</v>
      </c>
      <c r="L125" s="105">
        <f t="shared" si="0"/>
        <v>31570.474732028444</v>
      </c>
      <c r="M125" s="105">
        <f t="shared" si="0"/>
        <v>73180.571660014248</v>
      </c>
      <c r="N125" s="105">
        <f t="shared" si="0"/>
        <v>45509.809180830263</v>
      </c>
      <c r="O125" s="105">
        <f t="shared" si="0"/>
        <v>10325.816536999801</v>
      </c>
      <c r="P125" s="105">
        <f t="shared" si="0"/>
        <v>25018.47288086998</v>
      </c>
      <c r="Q125" s="105">
        <f t="shared" si="0"/>
        <v>39710.382989154925</v>
      </c>
      <c r="R125" s="105">
        <f t="shared" si="0"/>
        <v>34797.618320235895</v>
      </c>
      <c r="S125" s="105">
        <f t="shared" si="0"/>
        <v>19209.334767083867</v>
      </c>
      <c r="T125" s="105">
        <f t="shared" si="0"/>
        <v>28898.406062239013</v>
      </c>
      <c r="U125" s="105">
        <f t="shared" si="0"/>
        <v>57753.571103648006</v>
      </c>
      <c r="V125" s="105">
        <f t="shared" si="0"/>
        <v>3032.1982934523489</v>
      </c>
      <c r="W125" s="105">
        <f t="shared" si="0"/>
        <v>3666.9945177828154</v>
      </c>
      <c r="X125" s="105">
        <f t="shared" si="0"/>
        <v>23987.72021155481</v>
      </c>
      <c r="Y125" s="105">
        <f t="shared" si="0"/>
        <v>69892.769729965003</v>
      </c>
      <c r="Z125" s="105">
        <f t="shared" si="0"/>
        <v>77262.733888424016</v>
      </c>
      <c r="AA125" s="105">
        <f t="shared" si="0"/>
        <v>65653.382797031678</v>
      </c>
      <c r="AB125" s="105">
        <f t="shared" si="0"/>
        <v>103952.85531936215</v>
      </c>
      <c r="AC125" s="105">
        <f t="shared" si="0"/>
        <v>66938.383311286743</v>
      </c>
      <c r="AD125" s="105">
        <f t="shared" si="0"/>
        <v>10063.982960379346</v>
      </c>
      <c r="AE125" s="105">
        <f t="shared" si="0"/>
        <v>12568.76061614167</v>
      </c>
      <c r="AF125" s="105">
        <f t="shared" si="0"/>
        <v>17156.230945944797</v>
      </c>
      <c r="AG125" s="105">
        <f t="shared" si="0"/>
        <v>22719.73299576675</v>
      </c>
      <c r="AH125" s="105">
        <f t="shared" si="0"/>
        <v>40943.876533464463</v>
      </c>
      <c r="AI125" s="105">
        <f t="shared" si="0"/>
        <v>49124.280737701352</v>
      </c>
      <c r="AJ125" s="105">
        <f t="shared" si="0"/>
        <v>19936.125357064222</v>
      </c>
      <c r="AK125" s="105">
        <f t="shared" si="0"/>
        <v>13982.744429542156</v>
      </c>
      <c r="AL125" s="105">
        <f t="shared" si="0"/>
        <v>22774.331237082741</v>
      </c>
      <c r="AM125" s="105">
        <f t="shared" si="0"/>
        <v>55702.155712672684</v>
      </c>
      <c r="AN125" s="105">
        <f t="shared" si="0"/>
        <v>73809.640172258092</v>
      </c>
    </row>
    <row r="126" spans="1:40" x14ac:dyDescent="0.3">
      <c r="A126" s="112" t="s">
        <v>131</v>
      </c>
      <c r="B126" s="106">
        <f>B124/B125</f>
        <v>0.99962955876411475</v>
      </c>
      <c r="C126" s="106">
        <f t="shared" ref="C126:AN126" si="1">C124/C125</f>
        <v>0.98782684255934727</v>
      </c>
      <c r="D126" s="106">
        <f t="shared" si="1"/>
        <v>0.98858429026951644</v>
      </c>
      <c r="E126" s="106">
        <f t="shared" si="1"/>
        <v>0.94331165073517431</v>
      </c>
      <c r="F126" s="106">
        <f t="shared" si="1"/>
        <v>0.99417844132187949</v>
      </c>
      <c r="G126" s="106">
        <f t="shared" si="1"/>
        <v>0.99702860947356098</v>
      </c>
      <c r="H126" s="106">
        <f t="shared" si="1"/>
        <v>0.97067138872801839</v>
      </c>
      <c r="I126" s="106">
        <f t="shared" si="1"/>
        <v>0.96079162103888749</v>
      </c>
      <c r="J126" s="106">
        <f t="shared" si="1"/>
        <v>0.91149206010368855</v>
      </c>
      <c r="K126" s="106">
        <f t="shared" si="1"/>
        <v>0.58086783064808456</v>
      </c>
      <c r="L126" s="106">
        <f t="shared" si="1"/>
        <v>0.90809530877643474</v>
      </c>
      <c r="M126" s="106">
        <f t="shared" si="1"/>
        <v>0.99093240671722138</v>
      </c>
      <c r="N126" s="106">
        <f t="shared" si="1"/>
        <v>0.98965477576582372</v>
      </c>
      <c r="O126" s="106">
        <f t="shared" si="1"/>
        <v>0.99081752647259891</v>
      </c>
      <c r="P126" s="106">
        <f t="shared" si="1"/>
        <v>0.98755028404998513</v>
      </c>
      <c r="Q126" s="106">
        <f t="shared" si="1"/>
        <v>0.98755028403302125</v>
      </c>
      <c r="R126" s="106">
        <f t="shared" si="1"/>
        <v>0.98328568596610921</v>
      </c>
      <c r="S126" s="106">
        <f t="shared" si="1"/>
        <v>0.97478648933154111</v>
      </c>
      <c r="T126" s="106">
        <f t="shared" si="1"/>
        <v>0.97330627645768342</v>
      </c>
      <c r="U126" s="106">
        <f t="shared" si="1"/>
        <v>0.99507266653455428</v>
      </c>
      <c r="V126" s="106">
        <f t="shared" si="1"/>
        <v>0.97223193033444921</v>
      </c>
      <c r="W126" s="106">
        <f t="shared" si="1"/>
        <v>0.99836527768074224</v>
      </c>
      <c r="X126" s="106">
        <f t="shared" si="1"/>
        <v>0.99711215587830959</v>
      </c>
      <c r="Y126" s="106">
        <f t="shared" si="1"/>
        <v>0.99951683514481582</v>
      </c>
      <c r="Z126" s="106">
        <f t="shared" si="1"/>
        <v>0.99723367427390452</v>
      </c>
      <c r="AA126" s="106">
        <f t="shared" si="1"/>
        <v>0.99836439810933042</v>
      </c>
      <c r="AB126" s="106">
        <f t="shared" si="1"/>
        <v>0.97223880661578488</v>
      </c>
      <c r="AC126" s="106">
        <f t="shared" si="1"/>
        <v>0.99655827792829443</v>
      </c>
      <c r="AD126" s="106">
        <f t="shared" si="1"/>
        <v>0.99553209251771857</v>
      </c>
      <c r="AE126" s="106">
        <f t="shared" si="1"/>
        <v>0.99476793152880838</v>
      </c>
      <c r="AF126" s="106">
        <f t="shared" si="1"/>
        <v>0.99475672227197109</v>
      </c>
      <c r="AG126" s="106">
        <f t="shared" si="1"/>
        <v>0.95269605518836864</v>
      </c>
      <c r="AH126" s="106">
        <f t="shared" si="1"/>
        <v>0.98359030481846721</v>
      </c>
      <c r="AI126" s="106">
        <f t="shared" si="1"/>
        <v>0.98434011193346693</v>
      </c>
      <c r="AJ126" s="106">
        <f t="shared" si="1"/>
        <v>0.93769474585370804</v>
      </c>
      <c r="AK126" s="106">
        <f t="shared" si="1"/>
        <v>0.89681965247866613</v>
      </c>
      <c r="AL126" s="106">
        <f t="shared" si="1"/>
        <v>0.99028154834586957</v>
      </c>
      <c r="AM126" s="106">
        <f t="shared" si="1"/>
        <v>0.99452165344826582</v>
      </c>
      <c r="AN126" s="106">
        <f t="shared" si="1"/>
        <v>0.98102361467974564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</vt:vector>
  </HeadingPairs>
  <TitlesOfParts>
    <vt:vector size="12" baseType="lpstr">
      <vt:lpstr>Summary Data</vt:lpstr>
      <vt:lpstr>S-R Summary</vt:lpstr>
      <vt:lpstr>Run Reconstruction 1</vt:lpstr>
      <vt:lpstr>Run Reconstruction 2</vt:lpstr>
      <vt:lpstr>Run Reconstruction 3</vt:lpstr>
      <vt:lpstr>Run Reconstruction 4</vt:lpstr>
      <vt:lpstr>Harvest</vt:lpstr>
      <vt:lpstr>Escapement Age</vt:lpstr>
      <vt:lpstr>Return Age</vt:lpstr>
      <vt:lpstr>Weir Count</vt:lpstr>
      <vt:lpstr>Weir - Filled</vt:lpstr>
      <vt:lpstr>Chart1</vt:lpstr>
    </vt:vector>
  </TitlesOfParts>
  <Company>State of Alaska Dept. Fish &amp;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dmeggers</dc:creator>
  <cp:lastModifiedBy>Blake Toney</cp:lastModifiedBy>
  <dcterms:created xsi:type="dcterms:W3CDTF">2008-04-30T20:44:39Z</dcterms:created>
  <dcterms:modified xsi:type="dcterms:W3CDTF">2026-04-18T01:02:57Z</dcterms:modified>
</cp:coreProperties>
</file>